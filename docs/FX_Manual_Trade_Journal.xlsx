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ダッシュボード" sheetId="1" state="visible" r:id="rId1"/>
    <sheet name="TRIPLE" sheetId="2" state="visible" r:id="rId2"/>
    <sheet name="ORZ" sheetId="3" state="visible" r:id="rId3"/>
    <sheet name="PDHL" sheetId="4" state="visible" r:id="rId4"/>
    <sheet name="BOTH" sheetId="5" state="visible" r:id="rId5"/>
    <sheet name="CLAUDE" sheetId="6" state="visible" r:id="rId6"/>
    <sheet name="設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¥#,##0"/>
    <numFmt numFmtId="165" formatCode="0.0\%"/>
    <numFmt numFmtId="166" formatCode="0.0000"/>
    <numFmt numFmtId="167" formatCode="0.0%"/>
    <numFmt numFmtId="168" formatCode="+0.000;-0.000;-"/>
    <numFmt numFmtId="169" formatCode="+0.00;-0.00;-"/>
    <numFmt numFmtId="170" formatCode="¥#,##0;[Red]-¥#,##0;-"/>
    <numFmt numFmtId="171" formatCode="yyyy/mm/dd"/>
    <numFmt numFmtId="172" formatCode="0.00000"/>
    <numFmt numFmtId="173" formatCode="0.0"/>
    <numFmt numFmtId="174" formatCode="+0.0;-0.0;-"/>
  </numFmts>
  <fonts count="14">
    <font>
      <name val="Calibri"/>
      <family val="2"/>
      <color theme="1"/>
      <sz val="11"/>
      <scheme val="minor"/>
    </font>
    <font>
      <name val="Noto Sans JP"/>
      <b val="1"/>
      <color rgb="001F1B4E"/>
      <sz val="20"/>
    </font>
    <font>
      <name val="Noto Sans JP"/>
      <sz val="10"/>
    </font>
    <font>
      <name val="Noto Sans JP"/>
      <b val="1"/>
      <sz val="10"/>
    </font>
    <font>
      <name val="Noto Sans JP"/>
      <b val="1"/>
      <color rgb="00F5ECD7"/>
      <sz val="10"/>
    </font>
    <font>
      <name val="Noto Sans JP"/>
      <i val="1"/>
      <color rgb="006B5B95"/>
      <sz val="9"/>
    </font>
    <font>
      <name val="Noto Sans JP"/>
      <b val="1"/>
      <color rgb="0092400E"/>
      <sz val="20"/>
    </font>
    <font>
      <name val="Noto Sans JP"/>
      <color rgb="006B5B95"/>
      <sz val="11"/>
    </font>
    <font>
      <name val="Noto Sans JP"/>
      <i val="1"/>
      <color rgb="006B5B95"/>
      <sz val="10"/>
    </font>
    <font>
      <name val="Noto Sans JP"/>
      <b val="1"/>
      <color rgb="000E7490"/>
      <sz val="20"/>
    </font>
    <font>
      <name val="Noto Sans JP"/>
      <b val="1"/>
      <color rgb="009A6203"/>
      <sz val="20"/>
    </font>
    <font>
      <name val="Noto Sans JP"/>
      <b val="1"/>
      <color rgb="007E22CE"/>
      <sz val="20"/>
    </font>
    <font>
      <name val="Noto Sans JP"/>
      <b val="1"/>
      <color rgb="00166534"/>
      <sz val="20"/>
    </font>
    <font>
      <name val="Noto Sans JP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F3F0FF"/>
      </patternFill>
    </fill>
    <fill>
      <patternFill patternType="solid">
        <fgColor rgb="00FFF7E0"/>
      </patternFill>
    </fill>
    <fill>
      <patternFill patternType="solid">
        <fgColor rgb="001F1B4E"/>
      </patternFill>
    </fill>
    <fill>
      <patternFill patternType="solid">
        <fgColor rgb="00F8F4FF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87CEEB"/>
      </patternFill>
    </fill>
    <fill>
      <patternFill patternType="solid">
        <fgColor rgb="00FFA07A"/>
      </patternFill>
    </fill>
    <fill>
      <patternFill patternType="solid">
        <fgColor rgb="00FF6B6B"/>
      </patternFill>
    </fill>
    <fill>
      <patternFill patternType="solid">
        <fgColor rgb="00E0F7FB"/>
      </patternFill>
    </fill>
    <fill>
      <patternFill patternType="solid">
        <fgColor rgb="00FFF4E0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E9C46A"/>
      </patternFill>
    </fill>
    <fill>
      <patternFill patternType="solid">
        <fgColor rgb="0022D3EE"/>
      </patternFill>
    </fill>
    <fill>
      <patternFill patternType="solid">
        <fgColor rgb="00F0A93B"/>
      </patternFill>
    </fill>
    <fill>
      <patternFill patternType="solid">
        <fgColor rgb="00A855F7"/>
      </patternFill>
    </fill>
    <fill>
      <patternFill patternType="solid">
        <fgColor rgb="004ADE80"/>
      </patternFill>
    </fill>
  </fills>
  <borders count="6">
    <border>
      <left/>
      <right/>
      <top/>
      <bottom/>
      <diagonal/>
    </border>
    <border>
      <left style="thin">
        <color rgb="00C7C0E0"/>
      </left>
      <right style="thin">
        <color rgb="00C7C0E0"/>
      </right>
      <top style="thin">
        <color rgb="00C7C0E0"/>
      </top>
      <bottom style="thin">
        <color rgb="00C7C0E0"/>
      </bottom>
    </border>
    <border>
      <left style="medium">
        <color rgb="001F1B4E"/>
      </left>
      <right style="medium">
        <color rgb="001F1B4E"/>
      </right>
      <top style="medium">
        <color rgb="001F1B4E"/>
      </top>
      <bottom style="medium">
        <color rgb="001F1B4E"/>
      </bottom>
    </border>
    <border>
      <left/>
      <right/>
      <top style="thin">
        <color rgb="00C7C0E0"/>
      </top>
      <bottom/>
      <diagonal/>
    </border>
    <border>
      <left/>
      <right style="thin">
        <color rgb="00C7C0E0"/>
      </right>
      <top style="thin">
        <color rgb="00C7C0E0"/>
      </top>
      <bottom/>
      <diagonal/>
    </border>
    <border>
      <left/>
      <right style="thin">
        <color rgb="00C7C0E0"/>
      </right>
      <top style="thin">
        <color rgb="00C7C0E0"/>
      </top>
      <bottom style="thin">
        <color rgb="00C7C0E0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4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" fontId="3" fillId="0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9" fontId="3" fillId="5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169" fontId="3" fillId="3" borderId="1" applyAlignment="1" pivotButton="0" quotePrefix="0" xfId="0">
      <alignment horizontal="right" vertical="center"/>
    </xf>
    <xf numFmtId="17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top" wrapText="1" indent="1"/>
    </xf>
    <xf numFmtId="0" fontId="6" fillId="3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wrapText="1" indent="1"/>
    </xf>
    <xf numFmtId="0" fontId="0" fillId="0" borderId="5" pivotButton="0" quotePrefix="0" xfId="0"/>
    <xf numFmtId="1" fontId="3" fillId="2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center" vertical="center"/>
    </xf>
    <xf numFmtId="167" fontId="2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indent="1"/>
    </xf>
    <xf numFmtId="0" fontId="8" fillId="3" borderId="2" applyAlignment="1" pivotButton="0" quotePrefix="0" xfId="0">
      <alignment horizontal="left" vertical="top" wrapText="1" indent="1"/>
    </xf>
    <xf numFmtId="167" fontId="3" fillId="2" borderId="1" applyAlignment="1" pivotButton="0" quotePrefix="0" xfId="0">
      <alignment horizontal="right" vertical="center"/>
    </xf>
    <xf numFmtId="1" fontId="3" fillId="7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right" vertical="center"/>
    </xf>
    <xf numFmtId="1" fontId="3" fillId="8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right" vertical="center"/>
    </xf>
    <xf numFmtId="1" fontId="3" fillId="10" borderId="1" applyAlignment="1" pivotButton="0" quotePrefix="0" xfId="0">
      <alignment horizontal="center" vertical="center"/>
    </xf>
    <xf numFmtId="169" fontId="3" fillId="2" borderId="1" applyAlignment="1" pivotButton="0" quotePrefix="0" xfId="0">
      <alignment horizontal="right" vertical="center"/>
    </xf>
    <xf numFmtId="168" fontId="3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right" vertical="center"/>
    </xf>
    <xf numFmtId="171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 indent="1"/>
    </xf>
    <xf numFmtId="172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73" fontId="2" fillId="0" borderId="1" applyAlignment="1" pivotButton="0" quotePrefix="0" xfId="0">
      <alignment horizontal="right" vertical="center"/>
    </xf>
    <xf numFmtId="174" fontId="2" fillId="0" borderId="1" applyAlignment="1" pivotButton="0" quotePrefix="0" xfId="0">
      <alignment horizontal="right" vertical="center"/>
    </xf>
    <xf numFmtId="169" fontId="2" fillId="0" borderId="1" applyAlignment="1" pivotButton="0" quotePrefix="0" xfId="0">
      <alignment horizontal="right" vertical="center"/>
    </xf>
    <xf numFmtId="170" fontId="2" fillId="0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right" vertical="center"/>
    </xf>
    <xf numFmtId="171" fontId="2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left" vertical="center" indent="1"/>
    </xf>
    <xf numFmtId="172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73" fontId="2" fillId="5" borderId="1" applyAlignment="1" pivotButton="0" quotePrefix="0" xfId="0">
      <alignment horizontal="right" vertical="center"/>
    </xf>
    <xf numFmtId="174" fontId="2" fillId="5" borderId="1" applyAlignment="1" pivotButton="0" quotePrefix="0" xfId="0">
      <alignment horizontal="right" vertical="center"/>
    </xf>
    <xf numFmtId="169" fontId="2" fillId="5" borderId="1" applyAlignment="1" pivotButton="0" quotePrefix="0" xfId="0">
      <alignment horizontal="right" vertical="center"/>
    </xf>
    <xf numFmtId="170" fontId="2" fillId="5" borderId="1" applyAlignment="1" pivotButton="0" quotePrefix="0" xfId="0">
      <alignment horizontal="right" vertical="center"/>
    </xf>
    <xf numFmtId="0" fontId="9" fillId="11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wrapText="1" indent="1"/>
    </xf>
    <xf numFmtId="0" fontId="8" fillId="11" borderId="2" applyAlignment="1" pivotButton="0" quotePrefix="0" xfId="0">
      <alignment horizontal="left" vertical="top" wrapText="1" indent="1"/>
    </xf>
    <xf numFmtId="0" fontId="10" fillId="12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wrapText="1" indent="1"/>
    </xf>
    <xf numFmtId="0" fontId="8" fillId="12" borderId="2" applyAlignment="1" pivotButton="0" quotePrefix="0" xfId="0">
      <alignment horizontal="left" vertical="top" wrapText="1" indent="1"/>
    </xf>
    <xf numFmtId="0" fontId="11" fillId="13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wrapText="1" indent="1"/>
    </xf>
    <xf numFmtId="0" fontId="8" fillId="13" borderId="2" applyAlignment="1" pivotButton="0" quotePrefix="0" xfId="0">
      <alignment horizontal="left" vertical="top" wrapText="1" indent="1"/>
    </xf>
    <xf numFmtId="0" fontId="12" fillId="14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wrapText="1" indent="1"/>
    </xf>
    <xf numFmtId="0" fontId="8" fillId="14" borderId="2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indent="1"/>
    </xf>
    <xf numFmtId="165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indent="1"/>
    </xf>
    <xf numFmtId="166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indent="1"/>
    </xf>
    <xf numFmtId="166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ont>
        <b val="1"/>
        <color rgb="00B8860B"/>
      </font>
      <fill>
        <patternFill patternType="solid">
          <fgColor rgb="00FFF7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2" ht="36" customHeight="1">
      <c r="B2" s="1" t="inlineStr">
        <is>
          <t>📊  手動トレード戦績 · 5 手法 比較ダッシュボード</t>
        </is>
      </c>
    </row>
    <row r="3">
      <c r="B3" s="2" t="inlineStr">
        <is>
          <t>各手法のシートにトレードを記録 → ここで横並び比較。「どの手法が勝てるか」を客観評価。</t>
        </is>
      </c>
    </row>
    <row r="5" ht="22" customHeight="1">
      <c r="B5" s="3" t="inlineStr">
        <is>
          <t>🎯  手法別パフォーマンス (5 手法横並び)</t>
        </is>
      </c>
    </row>
    <row r="6">
      <c r="B6" s="4" t="inlineStr">
        <is>
          <t>指標</t>
        </is>
      </c>
      <c r="C6" s="5" t="inlineStr">
        <is>
          <t>TRIPLE</t>
        </is>
      </c>
      <c r="D6" s="6" t="inlineStr">
        <is>
          <t>ORZ</t>
        </is>
      </c>
      <c r="E6" s="7" t="inlineStr">
        <is>
          <t>PDHL</t>
        </is>
      </c>
      <c r="F6" s="8" t="inlineStr">
        <is>
          <t>BOTH</t>
        </is>
      </c>
      <c r="G6" s="9" t="inlineStr">
        <is>
          <t>CLAUDE</t>
        </is>
      </c>
    </row>
    <row r="7">
      <c r="B7" s="10" t="inlineStr">
        <is>
          <t>件数</t>
        </is>
      </c>
      <c r="C7" s="11">
        <f>'TRIPLE'!C4</f>
        <v/>
      </c>
      <c r="D7" s="11">
        <f>'ORZ'!C4</f>
        <v/>
      </c>
      <c r="E7" s="11">
        <f>'PDHL'!C4</f>
        <v/>
      </c>
      <c r="F7" s="11">
        <f>'BOTH'!C4</f>
        <v/>
      </c>
      <c r="G7" s="11">
        <f>'CLAUDE'!C4</f>
        <v/>
      </c>
    </row>
    <row r="8">
      <c r="B8" s="10" t="inlineStr">
        <is>
          <t>勝率</t>
        </is>
      </c>
      <c r="C8" s="12">
        <f>'TRIPLE'!C5</f>
        <v/>
      </c>
      <c r="D8" s="12">
        <f>'ORZ'!C5</f>
        <v/>
      </c>
      <c r="E8" s="12">
        <f>'PDHL'!C5</f>
        <v/>
      </c>
      <c r="F8" s="12">
        <f>'BOTH'!C5</f>
        <v/>
      </c>
      <c r="G8" s="12">
        <f>'CLAUDE'!C5</f>
        <v/>
      </c>
    </row>
    <row r="9">
      <c r="B9" s="10" t="inlineStr">
        <is>
          <t>平均 RR (計画)</t>
        </is>
      </c>
      <c r="C9" s="13">
        <f>'TRIPLE'!C6</f>
        <v/>
      </c>
      <c r="D9" s="13">
        <f>'ORZ'!C6</f>
        <v/>
      </c>
      <c r="E9" s="13">
        <f>'PDHL'!C6</f>
        <v/>
      </c>
      <c r="F9" s="13">
        <f>'BOTH'!C6</f>
        <v/>
      </c>
      <c r="G9" s="13">
        <f>'CLAUDE'!C6</f>
        <v/>
      </c>
    </row>
    <row r="10">
      <c r="B10" s="10" t="inlineStr">
        <is>
          <t>PF</t>
        </is>
      </c>
      <c r="C10" s="14">
        <f>'TRIPLE'!C7</f>
        <v/>
      </c>
      <c r="D10" s="14">
        <f>'ORZ'!C7</f>
        <v/>
      </c>
      <c r="E10" s="14">
        <f>'PDHL'!C7</f>
        <v/>
      </c>
      <c r="F10" s="14">
        <f>'BOTH'!C7</f>
        <v/>
      </c>
      <c r="G10" s="14">
        <f>'CLAUDE'!C7</f>
        <v/>
      </c>
    </row>
    <row r="11">
      <c r="B11" s="10" t="inlineStr">
        <is>
          <t>期待値 (R)</t>
        </is>
      </c>
      <c r="C11" s="15">
        <f>'TRIPLE'!C8</f>
        <v/>
      </c>
      <c r="D11" s="15">
        <f>'ORZ'!C8</f>
        <v/>
      </c>
      <c r="E11" s="15">
        <f>'PDHL'!C8</f>
        <v/>
      </c>
      <c r="F11" s="15">
        <f>'BOTH'!C8</f>
        <v/>
      </c>
      <c r="G11" s="15">
        <f>'CLAUDE'!C8</f>
        <v/>
      </c>
    </row>
    <row r="12">
      <c r="B12" s="10" t="inlineStr">
        <is>
          <t>累計 R</t>
        </is>
      </c>
      <c r="C12" s="16">
        <f>'TRIPLE'!C9</f>
        <v/>
      </c>
      <c r="D12" s="16">
        <f>'ORZ'!C9</f>
        <v/>
      </c>
      <c r="E12" s="16">
        <f>'PDHL'!C9</f>
        <v/>
      </c>
      <c r="F12" s="16">
        <f>'BOTH'!C9</f>
        <v/>
      </c>
      <c r="G12" s="16">
        <f>'CLAUDE'!C9</f>
        <v/>
      </c>
    </row>
    <row r="13">
      <c r="B13" s="10" t="inlineStr">
        <is>
          <t>累計損益 ¥</t>
        </is>
      </c>
      <c r="C13" s="17">
        <f>'TRIPLE'!C10</f>
        <v/>
      </c>
      <c r="D13" s="17">
        <f>'ORZ'!C10</f>
        <v/>
      </c>
      <c r="E13" s="17">
        <f>'PDHL'!C10</f>
        <v/>
      </c>
      <c r="F13" s="17">
        <f>'BOTH'!C10</f>
        <v/>
      </c>
      <c r="G13" s="17">
        <f>'CLAUDE'!C10</f>
        <v/>
      </c>
    </row>
    <row r="14">
      <c r="B14" s="10" t="inlineStr">
        <is>
          <t>最大 DD (R)</t>
        </is>
      </c>
      <c r="C14" s="16">
        <f>'TRIPLE'!C11</f>
        <v/>
      </c>
      <c r="D14" s="16">
        <f>'ORZ'!C11</f>
        <v/>
      </c>
      <c r="E14" s="16">
        <f>'PDHL'!C11</f>
        <v/>
      </c>
      <c r="F14" s="16">
        <f>'BOTH'!C11</f>
        <v/>
      </c>
      <c r="G14" s="16">
        <f>'CLAUDE'!C11</f>
        <v/>
      </c>
    </row>
    <row r="15">
      <c r="B15" s="10" t="inlineStr">
        <is>
          <t>勝ち平均 R</t>
        </is>
      </c>
      <c r="C15" s="15">
        <f>'TRIPLE'!C12</f>
        <v/>
      </c>
      <c r="D15" s="15">
        <f>'ORZ'!C12</f>
        <v/>
      </c>
      <c r="E15" s="15">
        <f>'PDHL'!C12</f>
        <v/>
      </c>
      <c r="F15" s="15">
        <f>'BOTH'!C12</f>
        <v/>
      </c>
      <c r="G15" s="15">
        <f>'CLAUDE'!C12</f>
        <v/>
      </c>
    </row>
    <row r="16">
      <c r="B16" s="10" t="inlineStr">
        <is>
          <t>負け平均 R</t>
        </is>
      </c>
      <c r="C16" s="18">
        <f>'TRIPLE'!C13</f>
        <v/>
      </c>
      <c r="D16" s="18">
        <f>'ORZ'!C13</f>
        <v/>
      </c>
      <c r="E16" s="18">
        <f>'PDHL'!C13</f>
        <v/>
      </c>
      <c r="F16" s="18">
        <f>'BOTH'!C13</f>
        <v/>
      </c>
      <c r="G16" s="18">
        <f>'CLAUDE'!C13</f>
        <v/>
      </c>
    </row>
    <row r="17">
      <c r="B17" s="10" t="inlineStr">
        <is>
          <t>評価 S 件数</t>
        </is>
      </c>
      <c r="C17" s="11">
        <f>'TRIPLE'!C14</f>
        <v/>
      </c>
      <c r="D17" s="11">
        <f>'ORZ'!C14</f>
        <v/>
      </c>
      <c r="E17" s="11">
        <f>'PDHL'!C14</f>
        <v/>
      </c>
      <c r="F17" s="11">
        <f>'BOTH'!C14</f>
        <v/>
      </c>
      <c r="G17" s="11">
        <f>'CLAUDE'!C14</f>
        <v/>
      </c>
    </row>
    <row r="18">
      <c r="B18" s="10" t="inlineStr">
        <is>
          <t>評価 D 件数</t>
        </is>
      </c>
      <c r="C18" s="19">
        <f>'TRIPLE'!C15</f>
        <v/>
      </c>
      <c r="D18" s="19">
        <f>'ORZ'!C15</f>
        <v/>
      </c>
      <c r="E18" s="19">
        <f>'PDHL'!C15</f>
        <v/>
      </c>
      <c r="F18" s="19">
        <f>'BOTH'!C15</f>
        <v/>
      </c>
      <c r="G18" s="19">
        <f>'CLAUDE'!C15</f>
        <v/>
      </c>
    </row>
    <row r="21" ht="22" customHeight="1">
      <c r="B21" s="3" t="inlineStr">
        <is>
          <t>💡  全体サマリ</t>
        </is>
      </c>
    </row>
    <row r="22">
      <c r="B22" s="10" t="inlineStr">
        <is>
          <t>総トレード数 (全手法合計)</t>
        </is>
      </c>
      <c r="C22" s="20">
        <f>'TRIPLE'!C4+'ORZ'!C4+'PDHL'!C4+'BOTH'!C4+'CLAUDE'!C4</f>
        <v/>
      </c>
      <c r="D22" s="21" t="n"/>
      <c r="E22" s="21" t="n"/>
      <c r="F22" s="21" t="n"/>
      <c r="G22" s="21" t="n"/>
    </row>
    <row r="23">
      <c r="B23" s="10" t="inlineStr">
        <is>
          <t>全手法 合計累計 R</t>
        </is>
      </c>
      <c r="C23" s="22">
        <f>'TRIPLE'!C9+'ORZ'!C9+'PDHL'!C9+'BOTH'!C9+'CLAUDE'!C9</f>
        <v/>
      </c>
      <c r="D23" s="21" t="n"/>
      <c r="E23" s="21" t="n"/>
      <c r="F23" s="21" t="n"/>
      <c r="G23" s="21" t="n"/>
    </row>
    <row r="24">
      <c r="B24" s="10" t="inlineStr">
        <is>
          <t>全手法 合計累計損益 ¥</t>
        </is>
      </c>
      <c r="C24" s="23">
        <f>'TRIPLE'!C10+'ORZ'!C10+'PDHL'!C10+'BOTH'!C10+'CLAUDE'!C10</f>
        <v/>
      </c>
      <c r="D24" s="21" t="n"/>
      <c r="E24" s="21" t="n"/>
      <c r="F24" s="21" t="n"/>
      <c r="G24" s="21" t="n"/>
    </row>
    <row r="25">
      <c r="B25" s="10" t="inlineStr">
        <is>
          <t>現在残高</t>
        </is>
      </c>
      <c r="C25" s="24">
        <f>設定!C3+('TRIPLE'!C10+'ORZ'!C10+'PDHL'!C10+'BOTH'!C10+'CLAUDE'!C10)</f>
        <v/>
      </c>
      <c r="D25" s="21" t="n"/>
      <c r="E25" s="21" t="n"/>
      <c r="F25" s="21" t="n"/>
      <c r="G25" s="21" t="n"/>
    </row>
    <row r="28" ht="22" customHeight="1">
      <c r="B28" s="25" t="inlineStr">
        <is>
          <t>💡 使い方:
1. 手法シート (ORZ / PDHL / BOTH / CLAUDE / TRIPLE) でトレードを記録
2. このダッシュボードで横並び比較
3. 累計 R が +EV の手法を継続、 -EV を停止判断
4. 「評価」列で S/A ランクが多い手法 = 自分のスキルが乗っている手法</t>
        </is>
      </c>
    </row>
    <row r="29" ht="22" customHeight="1"/>
    <row r="30" ht="22" customHeight="1"/>
    <row r="31" ht="22" customHeight="1"/>
  </sheetData>
  <mergeCells count="9">
    <mergeCell ref="B3:G3"/>
    <mergeCell ref="B2:G2"/>
    <mergeCell ref="C22:G22"/>
    <mergeCell ref="B5:G5"/>
    <mergeCell ref="C24:G24"/>
    <mergeCell ref="B28:G31"/>
    <mergeCell ref="C25:G25"/>
    <mergeCell ref="C23:G23"/>
    <mergeCell ref="B21:G21"/>
  </mergeCells>
  <conditionalFormatting sqref="C12:G12">
    <cfRule type="cellIs" priority="1" operator="greaterThan" dxfId="0">
      <formula>0</formula>
    </cfRule>
    <cfRule type="cellIs" priority="2" operator="lessThan" dxfId="1">
      <formula>0</formula>
    </cfRule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C11:G11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7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11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35" customWidth="1" min="22" max="22"/>
  </cols>
  <sheetData>
    <row r="1" ht="36" customHeight="1">
      <c r="A1" s="26" t="inlineStr">
        <is>
          <t>TRIPLE  ·  手動トレード履歴</t>
        </is>
      </c>
    </row>
    <row r="2" ht="32" customHeight="1">
      <c r="A2" s="27" t="inlineStr">
        <is>
          <t>ORZ + PDHL + Claude の 3 手法すべてが合意したときのみ発火。最も厳しく、Backtest で唯一の +EV を実証 (PF 3.42)。</t>
        </is>
      </c>
    </row>
    <row r="3">
      <c r="B3" s="4" t="inlineStr">
        <is>
          <t>📊 集計サマリ</t>
        </is>
      </c>
      <c r="C3" s="28" t="n"/>
      <c r="E3" s="4" t="inlineStr">
        <is>
          <t>🏅 トレード評価分布</t>
        </is>
      </c>
      <c r="I3" s="4" t="inlineStr">
        <is>
          <t>📝 TRIPLE で学んだこと · 観察メモ</t>
        </is>
      </c>
    </row>
    <row r="4">
      <c r="B4" s="10" t="inlineStr">
        <is>
          <t>件数</t>
        </is>
      </c>
      <c r="C4" s="29">
        <f>COUNT(R18:R217)</f>
        <v/>
      </c>
      <c r="E4" s="10" t="inlineStr">
        <is>
          <t>S ランク</t>
        </is>
      </c>
      <c r="F4" s="30">
        <f>COUNTIF(U18:U217,"S")</f>
        <v/>
      </c>
      <c r="G4" s="31">
        <f>IFERROR(F4/COUNTA(U18:U217),0)</f>
        <v/>
      </c>
      <c r="H4" s="32" t="inlineStr">
        <is>
          <t>完璧 (計画通り + 理想的展開)</t>
        </is>
      </c>
      <c r="I4" s="33" t="inlineStr">
        <is>
          <t>(ここに TRIPLE で気づいたこと・パターン・反省を自由記述。例:
 ・東京時間の発火は勝率が低い、ロンドン時間に絞ると改善
 ・スコア 80+ のシグナルだけ取ると勝率が劇的に上がる
 ・SL を少しタイトめにすると RR 向上)</t>
        </is>
      </c>
    </row>
    <row r="5">
      <c r="B5" s="10" t="inlineStr">
        <is>
          <t>勝率</t>
        </is>
      </c>
      <c r="C5" s="34">
        <f>IFERROR(COUNTIF(R18:R217,"&gt;0")/COUNT(R18:R217),0)</f>
        <v/>
      </c>
      <c r="E5" s="10" t="inlineStr">
        <is>
          <t>A ランク</t>
        </is>
      </c>
      <c r="F5" s="35">
        <f>COUNTIF(U18:U217,"A")</f>
        <v/>
      </c>
      <c r="G5" s="31">
        <f>IFERROR(F5/COUNTA(U18:U217),0)</f>
        <v/>
      </c>
      <c r="H5" s="32" t="inlineStr">
        <is>
          <t>良い (利益確保)</t>
        </is>
      </c>
    </row>
    <row r="6">
      <c r="B6" s="10" t="inlineStr">
        <is>
          <t>平均 RR (計画)</t>
        </is>
      </c>
      <c r="C6" s="36">
        <f>IFERROR(AVERAGE(P18:P217),0)</f>
        <v/>
      </c>
      <c r="E6" s="10" t="inlineStr">
        <is>
          <t>B ランク</t>
        </is>
      </c>
      <c r="F6" s="37">
        <f>COUNTIF(U18:U217,"B")</f>
        <v/>
      </c>
      <c r="G6" s="31">
        <f>IFERROR(F6/COUNTA(U18:U217),0)</f>
        <v/>
      </c>
      <c r="H6" s="32" t="inlineStr">
        <is>
          <t>普通 (微益微損)</t>
        </is>
      </c>
    </row>
    <row r="7">
      <c r="B7" s="10" t="inlineStr">
        <is>
          <t>PF</t>
        </is>
      </c>
      <c r="C7" s="36">
        <f>IFERROR(SUMIF(R18:R217,"&gt;0")/-SUMIF(R18:R217,"&lt;0"),0)</f>
        <v/>
      </c>
      <c r="E7" s="10" t="inlineStr">
        <is>
          <t>C ランク</t>
        </is>
      </c>
      <c r="F7" s="38">
        <f>COUNTIF(U18:U217,"C")</f>
        <v/>
      </c>
      <c r="G7" s="31">
        <f>IFERROR(F7/COUNTA(U18:U217),0)</f>
        <v/>
      </c>
      <c r="H7" s="32" t="inlineStr">
        <is>
          <t>悪い (損失だが学びあり)</t>
        </is>
      </c>
    </row>
    <row r="8">
      <c r="B8" s="10" t="inlineStr">
        <is>
          <t>期待値 (R)</t>
        </is>
      </c>
      <c r="C8" s="39">
        <f>IFERROR(AVERAGE(R18:R217),0)</f>
        <v/>
      </c>
      <c r="E8" s="10" t="inlineStr">
        <is>
          <t>D ランク</t>
        </is>
      </c>
      <c r="F8" s="40">
        <f>COUNTIF(U18:U217,"D")</f>
        <v/>
      </c>
      <c r="G8" s="31">
        <f>IFERROR(F8/COUNTA(U18:U217),0)</f>
        <v/>
      </c>
      <c r="H8" s="32" t="inlineStr">
        <is>
          <t>失敗 (規律違反含む)</t>
        </is>
      </c>
    </row>
    <row r="9">
      <c r="B9" s="10" t="inlineStr">
        <is>
          <t>累計 R</t>
        </is>
      </c>
      <c r="C9" s="22">
        <f>SUM(R18:R217)</f>
        <v/>
      </c>
    </row>
    <row r="10">
      <c r="B10" s="10" t="inlineStr">
        <is>
          <t>累計損益 ¥</t>
        </is>
      </c>
      <c r="C10" s="23">
        <f>SUM(T18:T217)</f>
        <v/>
      </c>
    </row>
    <row r="11">
      <c r="B11" s="10" t="inlineStr">
        <is>
          <t>最大 DD (R)</t>
        </is>
      </c>
      <c r="C11" s="41">
        <f>IFERROR(MAX(S18:S217)-MIN(S18:S217),0)</f>
        <v/>
      </c>
    </row>
    <row r="12">
      <c r="B12" s="10" t="inlineStr">
        <is>
          <t>勝ち平均 R</t>
        </is>
      </c>
      <c r="C12" s="42">
        <f>IFERROR(AVERAGEIF(R18:R217,"&gt;0"),0)</f>
        <v/>
      </c>
    </row>
    <row r="13">
      <c r="B13" s="10" t="inlineStr">
        <is>
          <t>負け平均 R</t>
        </is>
      </c>
      <c r="C13" s="42">
        <f>IFERROR(AVERAGEIF(R18:R217,"&lt;0"),0)</f>
        <v/>
      </c>
    </row>
    <row r="14">
      <c r="B14" s="10" t="inlineStr">
        <is>
          <t>評価 S 件数</t>
        </is>
      </c>
      <c r="C14" s="29">
        <f>COUNTIF(U18:U217,"S")</f>
        <v/>
      </c>
    </row>
    <row r="15">
      <c r="B15" s="10" t="inlineStr">
        <is>
          <t>評価 D 件数</t>
        </is>
      </c>
      <c r="C15" s="29">
        <f>COUNTIF(U18:U217,"D")</f>
        <v/>
      </c>
    </row>
    <row r="17" ht="28" customHeight="1">
      <c r="A17" s="43" t="inlineStr">
        <is>
          <t>#</t>
        </is>
      </c>
      <c r="B17" s="43" t="inlineStr">
        <is>
          <t>日付</t>
        </is>
      </c>
      <c r="C17" s="43" t="inlineStr">
        <is>
          <t>通貨ペア</t>
        </is>
      </c>
      <c r="D17" s="43" t="inlineStr">
        <is>
          <t>方向</t>
        </is>
      </c>
      <c r="E17" s="43" t="inlineStr">
        <is>
          <t>スコア</t>
        </is>
      </c>
      <c r="F17" s="43" t="inlineStr">
        <is>
          <t>計画Entry</t>
        </is>
      </c>
      <c r="G17" s="43" t="inlineStr">
        <is>
          <t>実Entry</t>
        </is>
      </c>
      <c r="H17" s="43" t="inlineStr">
        <is>
          <t>計画SL</t>
        </is>
      </c>
      <c r="I17" s="43" t="inlineStr">
        <is>
          <t>実SL</t>
        </is>
      </c>
      <c r="J17" s="43" t="inlineStr">
        <is>
          <t>計画TP</t>
        </is>
      </c>
      <c r="K17" s="43" t="inlineStr">
        <is>
          <t>実TP</t>
        </is>
      </c>
      <c r="L17" s="43" t="inlineStr">
        <is>
          <t>ロット</t>
        </is>
      </c>
      <c r="M17" s="43" t="inlineStr">
        <is>
          <t>決済価格</t>
        </is>
      </c>
      <c r="N17" s="43" t="inlineStr">
        <is>
          <t>決済理由</t>
        </is>
      </c>
      <c r="O17" s="43" t="inlineStr">
        <is>
          <t>実SL pips</t>
        </is>
      </c>
      <c r="P17" s="43" t="inlineStr">
        <is>
          <t>計画RR</t>
        </is>
      </c>
      <c r="Q17" s="43" t="inlineStr">
        <is>
          <t>損益 pips</t>
        </is>
      </c>
      <c r="R17" s="43" t="inlineStr">
        <is>
          <t>R-mult</t>
        </is>
      </c>
      <c r="S17" s="43" t="inlineStr">
        <is>
          <t>累計R</t>
        </is>
      </c>
      <c r="T17" s="43" t="inlineStr">
        <is>
          <t>損益 ¥</t>
        </is>
      </c>
      <c r="U17" s="43" t="inlineStr">
        <is>
          <t>評価</t>
        </is>
      </c>
      <c r="V17" s="43" t="inlineStr">
        <is>
          <t>学び / 反省</t>
        </is>
      </c>
    </row>
    <row r="18">
      <c r="A18" s="44">
        <f>IF(ISBLANK(B18),"",COUNTA($B$18:B18))</f>
        <v/>
      </c>
      <c r="B18" s="45" t="n"/>
      <c r="C18" s="46" t="n"/>
      <c r="D18" s="46" t="n"/>
      <c r="E18" s="44" t="n"/>
      <c r="F18" s="47" t="n"/>
      <c r="G18" s="47" t="n"/>
      <c r="H18" s="47" t="n"/>
      <c r="I18" s="47" t="n"/>
      <c r="J18" s="47" t="n"/>
      <c r="K18" s="47" t="n"/>
      <c r="L18" s="48" t="n"/>
      <c r="M18" s="47" t="n"/>
      <c r="N18" s="46" t="n"/>
      <c r="O18" s="49">
        <f>IFERROR(IF(OR(ISBLANK(G18),ISBLANK(I18)),"",ABS(G18-I18)/VLOOKUP(C18,設定!$B$9:$D$23,2,FALSE)),"")</f>
        <v/>
      </c>
      <c r="P18" s="48">
        <f>IFERROR(IF(OR(ISBLANK(F18),ISBLANK(H18),ISBLANK(J18)),"",ABS(J18-F18)/ABS(F18-H18)),"")</f>
        <v/>
      </c>
      <c r="Q18" s="50">
        <f>IFERROR(IF(OR(ISBLANK(M18),ISBLANK(D18),ISBLANK(G18)),"",IF(D18="Long",(M18-G18),(G18-M18))/VLOOKUP(C18,設定!$B$9:$D$23,2,FALSE)),"")</f>
        <v/>
      </c>
      <c r="R18" s="51">
        <f>IFERROR(IF(OR(ISBLANK(Q18),O18=0),"",Q18/O18),"")</f>
        <v/>
      </c>
      <c r="S18" s="51">
        <f>IFERROR(IF(ISBLANK(R18),"",R18),"")</f>
        <v/>
      </c>
      <c r="T18" s="52">
        <f>IFERROR(IF(OR(ISBLANK(Q18),ISBLANK(L18)),"",Q18*L18*VLOOKUP(C18,設定!$B$9:$D$23,3,FALSE)),"")</f>
        <v/>
      </c>
      <c r="U18" s="46" t="n"/>
      <c r="V18" s="46" t="n"/>
    </row>
    <row r="19">
      <c r="A19" s="53">
        <f>IF(ISBLANK(B19),"",COUNTA($B$18:B19))</f>
        <v/>
      </c>
      <c r="B19" s="54" t="n"/>
      <c r="C19" s="55" t="n"/>
      <c r="D19" s="55" t="n"/>
      <c r="E19" s="53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5" t="n"/>
      <c r="O19" s="58">
        <f>IFERROR(IF(OR(ISBLANK(G19),ISBLANK(I19)),"",ABS(G19-I19)/VLOOKUP(C19,設定!$B$9:$D$23,2,FALSE)),"")</f>
        <v/>
      </c>
      <c r="P19" s="57">
        <f>IFERROR(IF(OR(ISBLANK(F19),ISBLANK(H19),ISBLANK(J19)),"",ABS(J19-F19)/ABS(F19-H19)),"")</f>
        <v/>
      </c>
      <c r="Q19" s="59">
        <f>IFERROR(IF(OR(ISBLANK(M19),ISBLANK(D19),ISBLANK(G19)),"",IF(D19="Long",(M19-G19),(G19-M19))/VLOOKUP(C19,設定!$B$9:$D$23,2,FALSE)),"")</f>
        <v/>
      </c>
      <c r="R19" s="60">
        <f>IFERROR(IF(OR(ISBLANK(Q19),O19=0),"",Q19/O19),"")</f>
        <v/>
      </c>
      <c r="S19" s="60">
        <f>IFERROR(IF(ISBLANK(R19),S18,IF(ISNUMBER(S18),S18,0)+R19),"")</f>
        <v/>
      </c>
      <c r="T19" s="61">
        <f>IFERROR(IF(OR(ISBLANK(Q19),ISBLANK(L19)),"",Q19*L19*VLOOKUP(C19,設定!$B$9:$D$23,3,FALSE)),"")</f>
        <v/>
      </c>
      <c r="U19" s="55" t="n"/>
      <c r="V19" s="55" t="n"/>
    </row>
    <row r="20">
      <c r="A20" s="44">
        <f>IF(ISBLANK(B20),"",COUNTA($B$18:B20))</f>
        <v/>
      </c>
      <c r="B20" s="45" t="n"/>
      <c r="C20" s="46" t="n"/>
      <c r="D20" s="46" t="n"/>
      <c r="E20" s="44" t="n"/>
      <c r="F20" s="47" t="n"/>
      <c r="G20" s="47" t="n"/>
      <c r="H20" s="47" t="n"/>
      <c r="I20" s="47" t="n"/>
      <c r="J20" s="47" t="n"/>
      <c r="K20" s="47" t="n"/>
      <c r="L20" s="48" t="n"/>
      <c r="M20" s="47" t="n"/>
      <c r="N20" s="46" t="n"/>
      <c r="O20" s="49">
        <f>IFERROR(IF(OR(ISBLANK(G20),ISBLANK(I20)),"",ABS(G20-I20)/VLOOKUP(C20,設定!$B$9:$D$23,2,FALSE)),"")</f>
        <v/>
      </c>
      <c r="P20" s="48">
        <f>IFERROR(IF(OR(ISBLANK(F20),ISBLANK(H20),ISBLANK(J20)),"",ABS(J20-F20)/ABS(F20-H20)),"")</f>
        <v/>
      </c>
      <c r="Q20" s="50">
        <f>IFERROR(IF(OR(ISBLANK(M20),ISBLANK(D20),ISBLANK(G20)),"",IF(D20="Long",(M20-G20),(G20-M20))/VLOOKUP(C20,設定!$B$9:$D$23,2,FALSE)),"")</f>
        <v/>
      </c>
      <c r="R20" s="51">
        <f>IFERROR(IF(OR(ISBLANK(Q20),O20=0),"",Q20/O20),"")</f>
        <v/>
      </c>
      <c r="S20" s="51">
        <f>IFERROR(IF(ISBLANK(R20),S19,IF(ISNUMBER(S19),S19,0)+R20),"")</f>
        <v/>
      </c>
      <c r="T20" s="52">
        <f>IFERROR(IF(OR(ISBLANK(Q20),ISBLANK(L20)),"",Q20*L20*VLOOKUP(C20,設定!$B$9:$D$23,3,FALSE)),"")</f>
        <v/>
      </c>
      <c r="U20" s="46" t="n"/>
      <c r="V20" s="46" t="n"/>
    </row>
    <row r="21">
      <c r="A21" s="53">
        <f>IF(ISBLANK(B21),"",COUNTA($B$18:B21))</f>
        <v/>
      </c>
      <c r="B21" s="54" t="n"/>
      <c r="C21" s="55" t="n"/>
      <c r="D21" s="55" t="n"/>
      <c r="E21" s="53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5" t="n"/>
      <c r="O21" s="58">
        <f>IFERROR(IF(OR(ISBLANK(G21),ISBLANK(I21)),"",ABS(G21-I21)/VLOOKUP(C21,設定!$B$9:$D$23,2,FALSE)),"")</f>
        <v/>
      </c>
      <c r="P21" s="57">
        <f>IFERROR(IF(OR(ISBLANK(F21),ISBLANK(H21),ISBLANK(J21)),"",ABS(J21-F21)/ABS(F21-H21)),"")</f>
        <v/>
      </c>
      <c r="Q21" s="59">
        <f>IFERROR(IF(OR(ISBLANK(M21),ISBLANK(D21),ISBLANK(G21)),"",IF(D21="Long",(M21-G21),(G21-M21))/VLOOKUP(C21,設定!$B$9:$D$23,2,FALSE)),"")</f>
        <v/>
      </c>
      <c r="R21" s="60">
        <f>IFERROR(IF(OR(ISBLANK(Q21),O21=0),"",Q21/O21),"")</f>
        <v/>
      </c>
      <c r="S21" s="60">
        <f>IFERROR(IF(ISBLANK(R21),S20,IF(ISNUMBER(S20),S20,0)+R21),"")</f>
        <v/>
      </c>
      <c r="T21" s="61">
        <f>IFERROR(IF(OR(ISBLANK(Q21),ISBLANK(L21)),"",Q21*L21*VLOOKUP(C21,設定!$B$9:$D$23,3,FALSE)),"")</f>
        <v/>
      </c>
      <c r="U21" s="55" t="n"/>
      <c r="V21" s="55" t="n"/>
    </row>
    <row r="22">
      <c r="A22" s="44">
        <f>IF(ISBLANK(B22),"",COUNTA($B$18:B22))</f>
        <v/>
      </c>
      <c r="B22" s="45" t="n"/>
      <c r="C22" s="46" t="n"/>
      <c r="D22" s="46" t="n"/>
      <c r="E22" s="44" t="n"/>
      <c r="F22" s="47" t="n"/>
      <c r="G22" s="47" t="n"/>
      <c r="H22" s="47" t="n"/>
      <c r="I22" s="47" t="n"/>
      <c r="J22" s="47" t="n"/>
      <c r="K22" s="47" t="n"/>
      <c r="L22" s="48" t="n"/>
      <c r="M22" s="47" t="n"/>
      <c r="N22" s="46" t="n"/>
      <c r="O22" s="49">
        <f>IFERROR(IF(OR(ISBLANK(G22),ISBLANK(I22)),"",ABS(G22-I22)/VLOOKUP(C22,設定!$B$9:$D$23,2,FALSE)),"")</f>
        <v/>
      </c>
      <c r="P22" s="48">
        <f>IFERROR(IF(OR(ISBLANK(F22),ISBLANK(H22),ISBLANK(J22)),"",ABS(J22-F22)/ABS(F22-H22)),"")</f>
        <v/>
      </c>
      <c r="Q22" s="50">
        <f>IFERROR(IF(OR(ISBLANK(M22),ISBLANK(D22),ISBLANK(G22)),"",IF(D22="Long",(M22-G22),(G22-M22))/VLOOKUP(C22,設定!$B$9:$D$23,2,FALSE)),"")</f>
        <v/>
      </c>
      <c r="R22" s="51">
        <f>IFERROR(IF(OR(ISBLANK(Q22),O22=0),"",Q22/O22),"")</f>
        <v/>
      </c>
      <c r="S22" s="51">
        <f>IFERROR(IF(ISBLANK(R22),S21,IF(ISNUMBER(S21),S21,0)+R22),"")</f>
        <v/>
      </c>
      <c r="T22" s="52">
        <f>IFERROR(IF(OR(ISBLANK(Q22),ISBLANK(L22)),"",Q22*L22*VLOOKUP(C22,設定!$B$9:$D$23,3,FALSE)),"")</f>
        <v/>
      </c>
      <c r="U22" s="46" t="n"/>
      <c r="V22" s="46" t="n"/>
    </row>
    <row r="23">
      <c r="A23" s="53">
        <f>IF(ISBLANK(B23),"",COUNTA($B$18:B23))</f>
        <v/>
      </c>
      <c r="B23" s="54" t="n"/>
      <c r="C23" s="55" t="n"/>
      <c r="D23" s="55" t="n"/>
      <c r="E23" s="53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5" t="n"/>
      <c r="O23" s="58">
        <f>IFERROR(IF(OR(ISBLANK(G23),ISBLANK(I23)),"",ABS(G23-I23)/VLOOKUP(C23,設定!$B$9:$D$23,2,FALSE)),"")</f>
        <v/>
      </c>
      <c r="P23" s="57">
        <f>IFERROR(IF(OR(ISBLANK(F23),ISBLANK(H23),ISBLANK(J23)),"",ABS(J23-F23)/ABS(F23-H23)),"")</f>
        <v/>
      </c>
      <c r="Q23" s="59">
        <f>IFERROR(IF(OR(ISBLANK(M23),ISBLANK(D23),ISBLANK(G23)),"",IF(D23="Long",(M23-G23),(G23-M23))/VLOOKUP(C23,設定!$B$9:$D$23,2,FALSE)),"")</f>
        <v/>
      </c>
      <c r="R23" s="60">
        <f>IFERROR(IF(OR(ISBLANK(Q23),O23=0),"",Q23/O23),"")</f>
        <v/>
      </c>
      <c r="S23" s="60">
        <f>IFERROR(IF(ISBLANK(R23),S22,IF(ISNUMBER(S22),S22,0)+R23),"")</f>
        <v/>
      </c>
      <c r="T23" s="61">
        <f>IFERROR(IF(OR(ISBLANK(Q23),ISBLANK(L23)),"",Q23*L23*VLOOKUP(C23,設定!$B$9:$D$23,3,FALSE)),"")</f>
        <v/>
      </c>
      <c r="U23" s="55" t="n"/>
      <c r="V23" s="55" t="n"/>
    </row>
    <row r="24">
      <c r="A24" s="44">
        <f>IF(ISBLANK(B24),"",COUNTA($B$18:B24))</f>
        <v/>
      </c>
      <c r="B24" s="45" t="n"/>
      <c r="C24" s="46" t="n"/>
      <c r="D24" s="46" t="n"/>
      <c r="E24" s="44" t="n"/>
      <c r="F24" s="47" t="n"/>
      <c r="G24" s="47" t="n"/>
      <c r="H24" s="47" t="n"/>
      <c r="I24" s="47" t="n"/>
      <c r="J24" s="47" t="n"/>
      <c r="K24" s="47" t="n"/>
      <c r="L24" s="48" t="n"/>
      <c r="M24" s="47" t="n"/>
      <c r="N24" s="46" t="n"/>
      <c r="O24" s="49">
        <f>IFERROR(IF(OR(ISBLANK(G24),ISBLANK(I24)),"",ABS(G24-I24)/VLOOKUP(C24,設定!$B$9:$D$23,2,FALSE)),"")</f>
        <v/>
      </c>
      <c r="P24" s="48">
        <f>IFERROR(IF(OR(ISBLANK(F24),ISBLANK(H24),ISBLANK(J24)),"",ABS(J24-F24)/ABS(F24-H24)),"")</f>
        <v/>
      </c>
      <c r="Q24" s="50">
        <f>IFERROR(IF(OR(ISBLANK(M24),ISBLANK(D24),ISBLANK(G24)),"",IF(D24="Long",(M24-G24),(G24-M24))/VLOOKUP(C24,設定!$B$9:$D$23,2,FALSE)),"")</f>
        <v/>
      </c>
      <c r="R24" s="51">
        <f>IFERROR(IF(OR(ISBLANK(Q24),O24=0),"",Q24/O24),"")</f>
        <v/>
      </c>
      <c r="S24" s="51">
        <f>IFERROR(IF(ISBLANK(R24),S23,IF(ISNUMBER(S23),S23,0)+R24),"")</f>
        <v/>
      </c>
      <c r="T24" s="52">
        <f>IFERROR(IF(OR(ISBLANK(Q24),ISBLANK(L24)),"",Q24*L24*VLOOKUP(C24,設定!$B$9:$D$23,3,FALSE)),"")</f>
        <v/>
      </c>
      <c r="U24" s="46" t="n"/>
      <c r="V24" s="46" t="n"/>
    </row>
    <row r="25">
      <c r="A25" s="53">
        <f>IF(ISBLANK(B25),"",COUNTA($B$18:B25))</f>
        <v/>
      </c>
      <c r="B25" s="54" t="n"/>
      <c r="C25" s="55" t="n"/>
      <c r="D25" s="55" t="n"/>
      <c r="E25" s="53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5" t="n"/>
      <c r="O25" s="58">
        <f>IFERROR(IF(OR(ISBLANK(G25),ISBLANK(I25)),"",ABS(G25-I25)/VLOOKUP(C25,設定!$B$9:$D$23,2,FALSE)),"")</f>
        <v/>
      </c>
      <c r="P25" s="57">
        <f>IFERROR(IF(OR(ISBLANK(F25),ISBLANK(H25),ISBLANK(J25)),"",ABS(J25-F25)/ABS(F25-H25)),"")</f>
        <v/>
      </c>
      <c r="Q25" s="59">
        <f>IFERROR(IF(OR(ISBLANK(M25),ISBLANK(D25),ISBLANK(G25)),"",IF(D25="Long",(M25-G25),(G25-M25))/VLOOKUP(C25,設定!$B$9:$D$23,2,FALSE)),"")</f>
        <v/>
      </c>
      <c r="R25" s="60">
        <f>IFERROR(IF(OR(ISBLANK(Q25),O25=0),"",Q25/O25),"")</f>
        <v/>
      </c>
      <c r="S25" s="60">
        <f>IFERROR(IF(ISBLANK(R25),S24,IF(ISNUMBER(S24),S24,0)+R25),"")</f>
        <v/>
      </c>
      <c r="T25" s="61">
        <f>IFERROR(IF(OR(ISBLANK(Q25),ISBLANK(L25)),"",Q25*L25*VLOOKUP(C25,設定!$B$9:$D$23,3,FALSE)),"")</f>
        <v/>
      </c>
      <c r="U25" s="55" t="n"/>
      <c r="V25" s="55" t="n"/>
    </row>
    <row r="26">
      <c r="A26" s="44">
        <f>IF(ISBLANK(B26),"",COUNTA($B$18:B26))</f>
        <v/>
      </c>
      <c r="B26" s="45" t="n"/>
      <c r="C26" s="46" t="n"/>
      <c r="D26" s="46" t="n"/>
      <c r="E26" s="44" t="n"/>
      <c r="F26" s="47" t="n"/>
      <c r="G26" s="47" t="n"/>
      <c r="H26" s="47" t="n"/>
      <c r="I26" s="47" t="n"/>
      <c r="J26" s="47" t="n"/>
      <c r="K26" s="47" t="n"/>
      <c r="L26" s="48" t="n"/>
      <c r="M26" s="47" t="n"/>
      <c r="N26" s="46" t="n"/>
      <c r="O26" s="49">
        <f>IFERROR(IF(OR(ISBLANK(G26),ISBLANK(I26)),"",ABS(G26-I26)/VLOOKUP(C26,設定!$B$9:$D$23,2,FALSE)),"")</f>
        <v/>
      </c>
      <c r="P26" s="48">
        <f>IFERROR(IF(OR(ISBLANK(F26),ISBLANK(H26),ISBLANK(J26)),"",ABS(J26-F26)/ABS(F26-H26)),"")</f>
        <v/>
      </c>
      <c r="Q26" s="50">
        <f>IFERROR(IF(OR(ISBLANK(M26),ISBLANK(D26),ISBLANK(G26)),"",IF(D26="Long",(M26-G26),(G26-M26))/VLOOKUP(C26,設定!$B$9:$D$23,2,FALSE)),"")</f>
        <v/>
      </c>
      <c r="R26" s="51">
        <f>IFERROR(IF(OR(ISBLANK(Q26),O26=0),"",Q26/O26),"")</f>
        <v/>
      </c>
      <c r="S26" s="51">
        <f>IFERROR(IF(ISBLANK(R26),S25,IF(ISNUMBER(S25),S25,0)+R26),"")</f>
        <v/>
      </c>
      <c r="T26" s="52">
        <f>IFERROR(IF(OR(ISBLANK(Q26),ISBLANK(L26)),"",Q26*L26*VLOOKUP(C26,設定!$B$9:$D$23,3,FALSE)),"")</f>
        <v/>
      </c>
      <c r="U26" s="46" t="n"/>
      <c r="V26" s="46" t="n"/>
    </row>
    <row r="27">
      <c r="A27" s="53">
        <f>IF(ISBLANK(B27),"",COUNTA($B$18:B27))</f>
        <v/>
      </c>
      <c r="B27" s="54" t="n"/>
      <c r="C27" s="55" t="n"/>
      <c r="D27" s="55" t="n"/>
      <c r="E27" s="53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5" t="n"/>
      <c r="O27" s="58">
        <f>IFERROR(IF(OR(ISBLANK(G27),ISBLANK(I27)),"",ABS(G27-I27)/VLOOKUP(C27,設定!$B$9:$D$23,2,FALSE)),"")</f>
        <v/>
      </c>
      <c r="P27" s="57">
        <f>IFERROR(IF(OR(ISBLANK(F27),ISBLANK(H27),ISBLANK(J27)),"",ABS(J27-F27)/ABS(F27-H27)),"")</f>
        <v/>
      </c>
      <c r="Q27" s="59">
        <f>IFERROR(IF(OR(ISBLANK(M27),ISBLANK(D27),ISBLANK(G27)),"",IF(D27="Long",(M27-G27),(G27-M27))/VLOOKUP(C27,設定!$B$9:$D$23,2,FALSE)),"")</f>
        <v/>
      </c>
      <c r="R27" s="60">
        <f>IFERROR(IF(OR(ISBLANK(Q27),O27=0),"",Q27/O27),"")</f>
        <v/>
      </c>
      <c r="S27" s="60">
        <f>IFERROR(IF(ISBLANK(R27),S26,IF(ISNUMBER(S26),S26,0)+R27),"")</f>
        <v/>
      </c>
      <c r="T27" s="61">
        <f>IFERROR(IF(OR(ISBLANK(Q27),ISBLANK(L27)),"",Q27*L27*VLOOKUP(C27,設定!$B$9:$D$23,3,FALSE)),"")</f>
        <v/>
      </c>
      <c r="U27" s="55" t="n"/>
      <c r="V27" s="55" t="n"/>
    </row>
    <row r="28">
      <c r="A28" s="44">
        <f>IF(ISBLANK(B28),"",COUNTA($B$18:B28))</f>
        <v/>
      </c>
      <c r="B28" s="45" t="n"/>
      <c r="C28" s="46" t="n"/>
      <c r="D28" s="46" t="n"/>
      <c r="E28" s="44" t="n"/>
      <c r="F28" s="47" t="n"/>
      <c r="G28" s="47" t="n"/>
      <c r="H28" s="47" t="n"/>
      <c r="I28" s="47" t="n"/>
      <c r="J28" s="47" t="n"/>
      <c r="K28" s="47" t="n"/>
      <c r="L28" s="48" t="n"/>
      <c r="M28" s="47" t="n"/>
      <c r="N28" s="46" t="n"/>
      <c r="O28" s="49">
        <f>IFERROR(IF(OR(ISBLANK(G28),ISBLANK(I28)),"",ABS(G28-I28)/VLOOKUP(C28,設定!$B$9:$D$23,2,FALSE)),"")</f>
        <v/>
      </c>
      <c r="P28" s="48">
        <f>IFERROR(IF(OR(ISBLANK(F28),ISBLANK(H28),ISBLANK(J28)),"",ABS(J28-F28)/ABS(F28-H28)),"")</f>
        <v/>
      </c>
      <c r="Q28" s="50">
        <f>IFERROR(IF(OR(ISBLANK(M28),ISBLANK(D28),ISBLANK(G28)),"",IF(D28="Long",(M28-G28),(G28-M28))/VLOOKUP(C28,設定!$B$9:$D$23,2,FALSE)),"")</f>
        <v/>
      </c>
      <c r="R28" s="51">
        <f>IFERROR(IF(OR(ISBLANK(Q28),O28=0),"",Q28/O28),"")</f>
        <v/>
      </c>
      <c r="S28" s="51">
        <f>IFERROR(IF(ISBLANK(R28),S27,IF(ISNUMBER(S27),S27,0)+R28),"")</f>
        <v/>
      </c>
      <c r="T28" s="52">
        <f>IFERROR(IF(OR(ISBLANK(Q28),ISBLANK(L28)),"",Q28*L28*VLOOKUP(C28,設定!$B$9:$D$23,3,FALSE)),"")</f>
        <v/>
      </c>
      <c r="U28" s="46" t="n"/>
      <c r="V28" s="46" t="n"/>
    </row>
    <row r="29">
      <c r="A29" s="53">
        <f>IF(ISBLANK(B29),"",COUNTA($B$18:B29))</f>
        <v/>
      </c>
      <c r="B29" s="54" t="n"/>
      <c r="C29" s="55" t="n"/>
      <c r="D29" s="55" t="n"/>
      <c r="E29" s="53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5" t="n"/>
      <c r="O29" s="58">
        <f>IFERROR(IF(OR(ISBLANK(G29),ISBLANK(I29)),"",ABS(G29-I29)/VLOOKUP(C29,設定!$B$9:$D$23,2,FALSE)),"")</f>
        <v/>
      </c>
      <c r="P29" s="57">
        <f>IFERROR(IF(OR(ISBLANK(F29),ISBLANK(H29),ISBLANK(J29)),"",ABS(J29-F29)/ABS(F29-H29)),"")</f>
        <v/>
      </c>
      <c r="Q29" s="59">
        <f>IFERROR(IF(OR(ISBLANK(M29),ISBLANK(D29),ISBLANK(G29)),"",IF(D29="Long",(M29-G29),(G29-M29))/VLOOKUP(C29,設定!$B$9:$D$23,2,FALSE)),"")</f>
        <v/>
      </c>
      <c r="R29" s="60">
        <f>IFERROR(IF(OR(ISBLANK(Q29),O29=0),"",Q29/O29),"")</f>
        <v/>
      </c>
      <c r="S29" s="60">
        <f>IFERROR(IF(ISBLANK(R29),S28,IF(ISNUMBER(S28),S28,0)+R29),"")</f>
        <v/>
      </c>
      <c r="T29" s="61">
        <f>IFERROR(IF(OR(ISBLANK(Q29),ISBLANK(L29)),"",Q29*L29*VLOOKUP(C29,設定!$B$9:$D$23,3,FALSE)),"")</f>
        <v/>
      </c>
      <c r="U29" s="55" t="n"/>
      <c r="V29" s="55" t="n"/>
    </row>
    <row r="30">
      <c r="A30" s="44">
        <f>IF(ISBLANK(B30),"",COUNTA($B$18:B30))</f>
        <v/>
      </c>
      <c r="B30" s="45" t="n"/>
      <c r="C30" s="46" t="n"/>
      <c r="D30" s="46" t="n"/>
      <c r="E30" s="44" t="n"/>
      <c r="F30" s="47" t="n"/>
      <c r="G30" s="47" t="n"/>
      <c r="H30" s="47" t="n"/>
      <c r="I30" s="47" t="n"/>
      <c r="J30" s="47" t="n"/>
      <c r="K30" s="47" t="n"/>
      <c r="L30" s="48" t="n"/>
      <c r="M30" s="47" t="n"/>
      <c r="N30" s="46" t="n"/>
      <c r="O30" s="49">
        <f>IFERROR(IF(OR(ISBLANK(G30),ISBLANK(I30)),"",ABS(G30-I30)/VLOOKUP(C30,設定!$B$9:$D$23,2,FALSE)),"")</f>
        <v/>
      </c>
      <c r="P30" s="48">
        <f>IFERROR(IF(OR(ISBLANK(F30),ISBLANK(H30),ISBLANK(J30)),"",ABS(J30-F30)/ABS(F30-H30)),"")</f>
        <v/>
      </c>
      <c r="Q30" s="50">
        <f>IFERROR(IF(OR(ISBLANK(M30),ISBLANK(D30),ISBLANK(G30)),"",IF(D30="Long",(M30-G30),(G30-M30))/VLOOKUP(C30,設定!$B$9:$D$23,2,FALSE)),"")</f>
        <v/>
      </c>
      <c r="R30" s="51">
        <f>IFERROR(IF(OR(ISBLANK(Q30),O30=0),"",Q30/O30),"")</f>
        <v/>
      </c>
      <c r="S30" s="51">
        <f>IFERROR(IF(ISBLANK(R30),S29,IF(ISNUMBER(S29),S29,0)+R30),"")</f>
        <v/>
      </c>
      <c r="T30" s="52">
        <f>IFERROR(IF(OR(ISBLANK(Q30),ISBLANK(L30)),"",Q30*L30*VLOOKUP(C30,設定!$B$9:$D$23,3,FALSE)),"")</f>
        <v/>
      </c>
      <c r="U30" s="46" t="n"/>
      <c r="V30" s="46" t="n"/>
    </row>
    <row r="31">
      <c r="A31" s="53">
        <f>IF(ISBLANK(B31),"",COUNTA($B$18:B31))</f>
        <v/>
      </c>
      <c r="B31" s="54" t="n"/>
      <c r="C31" s="55" t="n"/>
      <c r="D31" s="55" t="n"/>
      <c r="E31" s="53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5" t="n"/>
      <c r="O31" s="58">
        <f>IFERROR(IF(OR(ISBLANK(G31),ISBLANK(I31)),"",ABS(G31-I31)/VLOOKUP(C31,設定!$B$9:$D$23,2,FALSE)),"")</f>
        <v/>
      </c>
      <c r="P31" s="57">
        <f>IFERROR(IF(OR(ISBLANK(F31),ISBLANK(H31),ISBLANK(J31)),"",ABS(J31-F31)/ABS(F31-H31)),"")</f>
        <v/>
      </c>
      <c r="Q31" s="59">
        <f>IFERROR(IF(OR(ISBLANK(M31),ISBLANK(D31),ISBLANK(G31)),"",IF(D31="Long",(M31-G31),(G31-M31))/VLOOKUP(C31,設定!$B$9:$D$23,2,FALSE)),"")</f>
        <v/>
      </c>
      <c r="R31" s="60">
        <f>IFERROR(IF(OR(ISBLANK(Q31),O31=0),"",Q31/O31),"")</f>
        <v/>
      </c>
      <c r="S31" s="60">
        <f>IFERROR(IF(ISBLANK(R31),S30,IF(ISNUMBER(S30),S30,0)+R31),"")</f>
        <v/>
      </c>
      <c r="T31" s="61">
        <f>IFERROR(IF(OR(ISBLANK(Q31),ISBLANK(L31)),"",Q31*L31*VLOOKUP(C31,設定!$B$9:$D$23,3,FALSE)),"")</f>
        <v/>
      </c>
      <c r="U31" s="55" t="n"/>
      <c r="V31" s="55" t="n"/>
    </row>
    <row r="32">
      <c r="A32" s="44">
        <f>IF(ISBLANK(B32),"",COUNTA($B$18:B32))</f>
        <v/>
      </c>
      <c r="B32" s="45" t="n"/>
      <c r="C32" s="46" t="n"/>
      <c r="D32" s="46" t="n"/>
      <c r="E32" s="44" t="n"/>
      <c r="F32" s="47" t="n"/>
      <c r="G32" s="47" t="n"/>
      <c r="H32" s="47" t="n"/>
      <c r="I32" s="47" t="n"/>
      <c r="J32" s="47" t="n"/>
      <c r="K32" s="47" t="n"/>
      <c r="L32" s="48" t="n"/>
      <c r="M32" s="47" t="n"/>
      <c r="N32" s="46" t="n"/>
      <c r="O32" s="49">
        <f>IFERROR(IF(OR(ISBLANK(G32),ISBLANK(I32)),"",ABS(G32-I32)/VLOOKUP(C32,設定!$B$9:$D$23,2,FALSE)),"")</f>
        <v/>
      </c>
      <c r="P32" s="48">
        <f>IFERROR(IF(OR(ISBLANK(F32),ISBLANK(H32),ISBLANK(J32)),"",ABS(J32-F32)/ABS(F32-H32)),"")</f>
        <v/>
      </c>
      <c r="Q32" s="50">
        <f>IFERROR(IF(OR(ISBLANK(M32),ISBLANK(D32),ISBLANK(G32)),"",IF(D32="Long",(M32-G32),(G32-M32))/VLOOKUP(C32,設定!$B$9:$D$23,2,FALSE)),"")</f>
        <v/>
      </c>
      <c r="R32" s="51">
        <f>IFERROR(IF(OR(ISBLANK(Q32),O32=0),"",Q32/O32),"")</f>
        <v/>
      </c>
      <c r="S32" s="51">
        <f>IFERROR(IF(ISBLANK(R32),S31,IF(ISNUMBER(S31),S31,0)+R32),"")</f>
        <v/>
      </c>
      <c r="T32" s="52">
        <f>IFERROR(IF(OR(ISBLANK(Q32),ISBLANK(L32)),"",Q32*L32*VLOOKUP(C32,設定!$B$9:$D$23,3,FALSE)),"")</f>
        <v/>
      </c>
      <c r="U32" s="46" t="n"/>
      <c r="V32" s="46" t="n"/>
    </row>
    <row r="33">
      <c r="A33" s="53">
        <f>IF(ISBLANK(B33),"",COUNTA($B$18:B33))</f>
        <v/>
      </c>
      <c r="B33" s="54" t="n"/>
      <c r="C33" s="55" t="n"/>
      <c r="D33" s="55" t="n"/>
      <c r="E33" s="53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5" t="n"/>
      <c r="O33" s="58">
        <f>IFERROR(IF(OR(ISBLANK(G33),ISBLANK(I33)),"",ABS(G33-I33)/VLOOKUP(C33,設定!$B$9:$D$23,2,FALSE)),"")</f>
        <v/>
      </c>
      <c r="P33" s="57">
        <f>IFERROR(IF(OR(ISBLANK(F33),ISBLANK(H33),ISBLANK(J33)),"",ABS(J33-F33)/ABS(F33-H33)),"")</f>
        <v/>
      </c>
      <c r="Q33" s="59">
        <f>IFERROR(IF(OR(ISBLANK(M33),ISBLANK(D33),ISBLANK(G33)),"",IF(D33="Long",(M33-G33),(G33-M33))/VLOOKUP(C33,設定!$B$9:$D$23,2,FALSE)),"")</f>
        <v/>
      </c>
      <c r="R33" s="60">
        <f>IFERROR(IF(OR(ISBLANK(Q33),O33=0),"",Q33/O33),"")</f>
        <v/>
      </c>
      <c r="S33" s="60">
        <f>IFERROR(IF(ISBLANK(R33),S32,IF(ISNUMBER(S32),S32,0)+R33),"")</f>
        <v/>
      </c>
      <c r="T33" s="61">
        <f>IFERROR(IF(OR(ISBLANK(Q33),ISBLANK(L33)),"",Q33*L33*VLOOKUP(C33,設定!$B$9:$D$23,3,FALSE)),"")</f>
        <v/>
      </c>
      <c r="U33" s="55" t="n"/>
      <c r="V33" s="55" t="n"/>
    </row>
    <row r="34">
      <c r="A34" s="44">
        <f>IF(ISBLANK(B34),"",COUNTA($B$18:B34))</f>
        <v/>
      </c>
      <c r="B34" s="45" t="n"/>
      <c r="C34" s="46" t="n"/>
      <c r="D34" s="46" t="n"/>
      <c r="E34" s="44" t="n"/>
      <c r="F34" s="47" t="n"/>
      <c r="G34" s="47" t="n"/>
      <c r="H34" s="47" t="n"/>
      <c r="I34" s="47" t="n"/>
      <c r="J34" s="47" t="n"/>
      <c r="K34" s="47" t="n"/>
      <c r="L34" s="48" t="n"/>
      <c r="M34" s="47" t="n"/>
      <c r="N34" s="46" t="n"/>
      <c r="O34" s="49">
        <f>IFERROR(IF(OR(ISBLANK(G34),ISBLANK(I34)),"",ABS(G34-I34)/VLOOKUP(C34,設定!$B$9:$D$23,2,FALSE)),"")</f>
        <v/>
      </c>
      <c r="P34" s="48">
        <f>IFERROR(IF(OR(ISBLANK(F34),ISBLANK(H34),ISBLANK(J34)),"",ABS(J34-F34)/ABS(F34-H34)),"")</f>
        <v/>
      </c>
      <c r="Q34" s="50">
        <f>IFERROR(IF(OR(ISBLANK(M34),ISBLANK(D34),ISBLANK(G34)),"",IF(D34="Long",(M34-G34),(G34-M34))/VLOOKUP(C34,設定!$B$9:$D$23,2,FALSE)),"")</f>
        <v/>
      </c>
      <c r="R34" s="51">
        <f>IFERROR(IF(OR(ISBLANK(Q34),O34=0),"",Q34/O34),"")</f>
        <v/>
      </c>
      <c r="S34" s="51">
        <f>IFERROR(IF(ISBLANK(R34),S33,IF(ISNUMBER(S33),S33,0)+R34),"")</f>
        <v/>
      </c>
      <c r="T34" s="52">
        <f>IFERROR(IF(OR(ISBLANK(Q34),ISBLANK(L34)),"",Q34*L34*VLOOKUP(C34,設定!$B$9:$D$23,3,FALSE)),"")</f>
        <v/>
      </c>
      <c r="U34" s="46" t="n"/>
      <c r="V34" s="46" t="n"/>
    </row>
    <row r="35">
      <c r="A35" s="53">
        <f>IF(ISBLANK(B35),"",COUNTA($B$18:B35))</f>
        <v/>
      </c>
      <c r="B35" s="54" t="n"/>
      <c r="C35" s="55" t="n"/>
      <c r="D35" s="55" t="n"/>
      <c r="E35" s="53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5" t="n"/>
      <c r="O35" s="58">
        <f>IFERROR(IF(OR(ISBLANK(G35),ISBLANK(I35)),"",ABS(G35-I35)/VLOOKUP(C35,設定!$B$9:$D$23,2,FALSE)),"")</f>
        <v/>
      </c>
      <c r="P35" s="57">
        <f>IFERROR(IF(OR(ISBLANK(F35),ISBLANK(H35),ISBLANK(J35)),"",ABS(J35-F35)/ABS(F35-H35)),"")</f>
        <v/>
      </c>
      <c r="Q35" s="59">
        <f>IFERROR(IF(OR(ISBLANK(M35),ISBLANK(D35),ISBLANK(G35)),"",IF(D35="Long",(M35-G35),(G35-M35))/VLOOKUP(C35,設定!$B$9:$D$23,2,FALSE)),"")</f>
        <v/>
      </c>
      <c r="R35" s="60">
        <f>IFERROR(IF(OR(ISBLANK(Q35),O35=0),"",Q35/O35),"")</f>
        <v/>
      </c>
      <c r="S35" s="60">
        <f>IFERROR(IF(ISBLANK(R35),S34,IF(ISNUMBER(S34),S34,0)+R35),"")</f>
        <v/>
      </c>
      <c r="T35" s="61">
        <f>IFERROR(IF(OR(ISBLANK(Q35),ISBLANK(L35)),"",Q35*L35*VLOOKUP(C35,設定!$B$9:$D$23,3,FALSE)),"")</f>
        <v/>
      </c>
      <c r="U35" s="55" t="n"/>
      <c r="V35" s="55" t="n"/>
    </row>
    <row r="36">
      <c r="A36" s="44">
        <f>IF(ISBLANK(B36),"",COUNTA($B$18:B36))</f>
        <v/>
      </c>
      <c r="B36" s="45" t="n"/>
      <c r="C36" s="46" t="n"/>
      <c r="D36" s="46" t="n"/>
      <c r="E36" s="44" t="n"/>
      <c r="F36" s="47" t="n"/>
      <c r="G36" s="47" t="n"/>
      <c r="H36" s="47" t="n"/>
      <c r="I36" s="47" t="n"/>
      <c r="J36" s="47" t="n"/>
      <c r="K36" s="47" t="n"/>
      <c r="L36" s="48" t="n"/>
      <c r="M36" s="47" t="n"/>
      <c r="N36" s="46" t="n"/>
      <c r="O36" s="49">
        <f>IFERROR(IF(OR(ISBLANK(G36),ISBLANK(I36)),"",ABS(G36-I36)/VLOOKUP(C36,設定!$B$9:$D$23,2,FALSE)),"")</f>
        <v/>
      </c>
      <c r="P36" s="48">
        <f>IFERROR(IF(OR(ISBLANK(F36),ISBLANK(H36),ISBLANK(J36)),"",ABS(J36-F36)/ABS(F36-H36)),"")</f>
        <v/>
      </c>
      <c r="Q36" s="50">
        <f>IFERROR(IF(OR(ISBLANK(M36),ISBLANK(D36),ISBLANK(G36)),"",IF(D36="Long",(M36-G36),(G36-M36))/VLOOKUP(C36,設定!$B$9:$D$23,2,FALSE)),"")</f>
        <v/>
      </c>
      <c r="R36" s="51">
        <f>IFERROR(IF(OR(ISBLANK(Q36),O36=0),"",Q36/O36),"")</f>
        <v/>
      </c>
      <c r="S36" s="51">
        <f>IFERROR(IF(ISBLANK(R36),S35,IF(ISNUMBER(S35),S35,0)+R36),"")</f>
        <v/>
      </c>
      <c r="T36" s="52">
        <f>IFERROR(IF(OR(ISBLANK(Q36),ISBLANK(L36)),"",Q36*L36*VLOOKUP(C36,設定!$B$9:$D$23,3,FALSE)),"")</f>
        <v/>
      </c>
      <c r="U36" s="46" t="n"/>
      <c r="V36" s="46" t="n"/>
    </row>
    <row r="37">
      <c r="A37" s="53">
        <f>IF(ISBLANK(B37),"",COUNTA($B$18:B37))</f>
        <v/>
      </c>
      <c r="B37" s="54" t="n"/>
      <c r="C37" s="55" t="n"/>
      <c r="D37" s="55" t="n"/>
      <c r="E37" s="53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5" t="n"/>
      <c r="O37" s="58">
        <f>IFERROR(IF(OR(ISBLANK(G37),ISBLANK(I37)),"",ABS(G37-I37)/VLOOKUP(C37,設定!$B$9:$D$23,2,FALSE)),"")</f>
        <v/>
      </c>
      <c r="P37" s="57">
        <f>IFERROR(IF(OR(ISBLANK(F37),ISBLANK(H37),ISBLANK(J37)),"",ABS(J37-F37)/ABS(F37-H37)),"")</f>
        <v/>
      </c>
      <c r="Q37" s="59">
        <f>IFERROR(IF(OR(ISBLANK(M37),ISBLANK(D37),ISBLANK(G37)),"",IF(D37="Long",(M37-G37),(G37-M37))/VLOOKUP(C37,設定!$B$9:$D$23,2,FALSE)),"")</f>
        <v/>
      </c>
      <c r="R37" s="60">
        <f>IFERROR(IF(OR(ISBLANK(Q37),O37=0),"",Q37/O37),"")</f>
        <v/>
      </c>
      <c r="S37" s="60">
        <f>IFERROR(IF(ISBLANK(R37),S36,IF(ISNUMBER(S36),S36,0)+R37),"")</f>
        <v/>
      </c>
      <c r="T37" s="61">
        <f>IFERROR(IF(OR(ISBLANK(Q37),ISBLANK(L37)),"",Q37*L37*VLOOKUP(C37,設定!$B$9:$D$23,3,FALSE)),"")</f>
        <v/>
      </c>
      <c r="U37" s="55" t="n"/>
      <c r="V37" s="55" t="n"/>
    </row>
    <row r="38">
      <c r="A38" s="44">
        <f>IF(ISBLANK(B38),"",COUNTA($B$18:B38))</f>
        <v/>
      </c>
      <c r="B38" s="45" t="n"/>
      <c r="C38" s="46" t="n"/>
      <c r="D38" s="46" t="n"/>
      <c r="E38" s="44" t="n"/>
      <c r="F38" s="47" t="n"/>
      <c r="G38" s="47" t="n"/>
      <c r="H38" s="47" t="n"/>
      <c r="I38" s="47" t="n"/>
      <c r="J38" s="47" t="n"/>
      <c r="K38" s="47" t="n"/>
      <c r="L38" s="48" t="n"/>
      <c r="M38" s="47" t="n"/>
      <c r="N38" s="46" t="n"/>
      <c r="O38" s="49">
        <f>IFERROR(IF(OR(ISBLANK(G38),ISBLANK(I38)),"",ABS(G38-I38)/VLOOKUP(C38,設定!$B$9:$D$23,2,FALSE)),"")</f>
        <v/>
      </c>
      <c r="P38" s="48">
        <f>IFERROR(IF(OR(ISBLANK(F38),ISBLANK(H38),ISBLANK(J38)),"",ABS(J38-F38)/ABS(F38-H38)),"")</f>
        <v/>
      </c>
      <c r="Q38" s="50">
        <f>IFERROR(IF(OR(ISBLANK(M38),ISBLANK(D38),ISBLANK(G38)),"",IF(D38="Long",(M38-G38),(G38-M38))/VLOOKUP(C38,設定!$B$9:$D$23,2,FALSE)),"")</f>
        <v/>
      </c>
      <c r="R38" s="51">
        <f>IFERROR(IF(OR(ISBLANK(Q38),O38=0),"",Q38/O38),"")</f>
        <v/>
      </c>
      <c r="S38" s="51">
        <f>IFERROR(IF(ISBLANK(R38),S37,IF(ISNUMBER(S37),S37,0)+R38),"")</f>
        <v/>
      </c>
      <c r="T38" s="52">
        <f>IFERROR(IF(OR(ISBLANK(Q38),ISBLANK(L38)),"",Q38*L38*VLOOKUP(C38,設定!$B$9:$D$23,3,FALSE)),"")</f>
        <v/>
      </c>
      <c r="U38" s="46" t="n"/>
      <c r="V38" s="46" t="n"/>
    </row>
    <row r="39">
      <c r="A39" s="53">
        <f>IF(ISBLANK(B39),"",COUNTA($B$18:B39))</f>
        <v/>
      </c>
      <c r="B39" s="54" t="n"/>
      <c r="C39" s="55" t="n"/>
      <c r="D39" s="55" t="n"/>
      <c r="E39" s="53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5" t="n"/>
      <c r="O39" s="58">
        <f>IFERROR(IF(OR(ISBLANK(G39),ISBLANK(I39)),"",ABS(G39-I39)/VLOOKUP(C39,設定!$B$9:$D$23,2,FALSE)),"")</f>
        <v/>
      </c>
      <c r="P39" s="57">
        <f>IFERROR(IF(OR(ISBLANK(F39),ISBLANK(H39),ISBLANK(J39)),"",ABS(J39-F39)/ABS(F39-H39)),"")</f>
        <v/>
      </c>
      <c r="Q39" s="59">
        <f>IFERROR(IF(OR(ISBLANK(M39),ISBLANK(D39),ISBLANK(G39)),"",IF(D39="Long",(M39-G39),(G39-M39))/VLOOKUP(C39,設定!$B$9:$D$23,2,FALSE)),"")</f>
        <v/>
      </c>
      <c r="R39" s="60">
        <f>IFERROR(IF(OR(ISBLANK(Q39),O39=0),"",Q39/O39),"")</f>
        <v/>
      </c>
      <c r="S39" s="60">
        <f>IFERROR(IF(ISBLANK(R39),S38,IF(ISNUMBER(S38),S38,0)+R39),"")</f>
        <v/>
      </c>
      <c r="T39" s="61">
        <f>IFERROR(IF(OR(ISBLANK(Q39),ISBLANK(L39)),"",Q39*L39*VLOOKUP(C39,設定!$B$9:$D$23,3,FALSE)),"")</f>
        <v/>
      </c>
      <c r="U39" s="55" t="n"/>
      <c r="V39" s="55" t="n"/>
    </row>
    <row r="40">
      <c r="A40" s="44">
        <f>IF(ISBLANK(B40),"",COUNTA($B$18:B40))</f>
        <v/>
      </c>
      <c r="B40" s="45" t="n"/>
      <c r="C40" s="46" t="n"/>
      <c r="D40" s="46" t="n"/>
      <c r="E40" s="44" t="n"/>
      <c r="F40" s="47" t="n"/>
      <c r="G40" s="47" t="n"/>
      <c r="H40" s="47" t="n"/>
      <c r="I40" s="47" t="n"/>
      <c r="J40" s="47" t="n"/>
      <c r="K40" s="47" t="n"/>
      <c r="L40" s="48" t="n"/>
      <c r="M40" s="47" t="n"/>
      <c r="N40" s="46" t="n"/>
      <c r="O40" s="49">
        <f>IFERROR(IF(OR(ISBLANK(G40),ISBLANK(I40)),"",ABS(G40-I40)/VLOOKUP(C40,設定!$B$9:$D$23,2,FALSE)),"")</f>
        <v/>
      </c>
      <c r="P40" s="48">
        <f>IFERROR(IF(OR(ISBLANK(F40),ISBLANK(H40),ISBLANK(J40)),"",ABS(J40-F40)/ABS(F40-H40)),"")</f>
        <v/>
      </c>
      <c r="Q40" s="50">
        <f>IFERROR(IF(OR(ISBLANK(M40),ISBLANK(D40),ISBLANK(G40)),"",IF(D40="Long",(M40-G40),(G40-M40))/VLOOKUP(C40,設定!$B$9:$D$23,2,FALSE)),"")</f>
        <v/>
      </c>
      <c r="R40" s="51">
        <f>IFERROR(IF(OR(ISBLANK(Q40),O40=0),"",Q40/O40),"")</f>
        <v/>
      </c>
      <c r="S40" s="51">
        <f>IFERROR(IF(ISBLANK(R40),S39,IF(ISNUMBER(S39),S39,0)+R40),"")</f>
        <v/>
      </c>
      <c r="T40" s="52">
        <f>IFERROR(IF(OR(ISBLANK(Q40),ISBLANK(L40)),"",Q40*L40*VLOOKUP(C40,設定!$B$9:$D$23,3,FALSE)),"")</f>
        <v/>
      </c>
      <c r="U40" s="46" t="n"/>
      <c r="V40" s="46" t="n"/>
    </row>
    <row r="41">
      <c r="A41" s="53">
        <f>IF(ISBLANK(B41),"",COUNTA($B$18:B41))</f>
        <v/>
      </c>
      <c r="B41" s="54" t="n"/>
      <c r="C41" s="55" t="n"/>
      <c r="D41" s="55" t="n"/>
      <c r="E41" s="53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5" t="n"/>
      <c r="O41" s="58">
        <f>IFERROR(IF(OR(ISBLANK(G41),ISBLANK(I41)),"",ABS(G41-I41)/VLOOKUP(C41,設定!$B$9:$D$23,2,FALSE)),"")</f>
        <v/>
      </c>
      <c r="P41" s="57">
        <f>IFERROR(IF(OR(ISBLANK(F41),ISBLANK(H41),ISBLANK(J41)),"",ABS(J41-F41)/ABS(F41-H41)),"")</f>
        <v/>
      </c>
      <c r="Q41" s="59">
        <f>IFERROR(IF(OR(ISBLANK(M41),ISBLANK(D41),ISBLANK(G41)),"",IF(D41="Long",(M41-G41),(G41-M41))/VLOOKUP(C41,設定!$B$9:$D$23,2,FALSE)),"")</f>
        <v/>
      </c>
      <c r="R41" s="60">
        <f>IFERROR(IF(OR(ISBLANK(Q41),O41=0),"",Q41/O41),"")</f>
        <v/>
      </c>
      <c r="S41" s="60">
        <f>IFERROR(IF(ISBLANK(R41),S40,IF(ISNUMBER(S40),S40,0)+R41),"")</f>
        <v/>
      </c>
      <c r="T41" s="61">
        <f>IFERROR(IF(OR(ISBLANK(Q41),ISBLANK(L41)),"",Q41*L41*VLOOKUP(C41,設定!$B$9:$D$23,3,FALSE)),"")</f>
        <v/>
      </c>
      <c r="U41" s="55" t="n"/>
      <c r="V41" s="55" t="n"/>
    </row>
    <row r="42">
      <c r="A42" s="44">
        <f>IF(ISBLANK(B42),"",COUNTA($B$18:B42))</f>
        <v/>
      </c>
      <c r="B42" s="45" t="n"/>
      <c r="C42" s="46" t="n"/>
      <c r="D42" s="46" t="n"/>
      <c r="E42" s="44" t="n"/>
      <c r="F42" s="47" t="n"/>
      <c r="G42" s="47" t="n"/>
      <c r="H42" s="47" t="n"/>
      <c r="I42" s="47" t="n"/>
      <c r="J42" s="47" t="n"/>
      <c r="K42" s="47" t="n"/>
      <c r="L42" s="48" t="n"/>
      <c r="M42" s="47" t="n"/>
      <c r="N42" s="46" t="n"/>
      <c r="O42" s="49">
        <f>IFERROR(IF(OR(ISBLANK(G42),ISBLANK(I42)),"",ABS(G42-I42)/VLOOKUP(C42,設定!$B$9:$D$23,2,FALSE)),"")</f>
        <v/>
      </c>
      <c r="P42" s="48">
        <f>IFERROR(IF(OR(ISBLANK(F42),ISBLANK(H42),ISBLANK(J42)),"",ABS(J42-F42)/ABS(F42-H42)),"")</f>
        <v/>
      </c>
      <c r="Q42" s="50">
        <f>IFERROR(IF(OR(ISBLANK(M42),ISBLANK(D42),ISBLANK(G42)),"",IF(D42="Long",(M42-G42),(G42-M42))/VLOOKUP(C42,設定!$B$9:$D$23,2,FALSE)),"")</f>
        <v/>
      </c>
      <c r="R42" s="51">
        <f>IFERROR(IF(OR(ISBLANK(Q42),O42=0),"",Q42/O42),"")</f>
        <v/>
      </c>
      <c r="S42" s="51">
        <f>IFERROR(IF(ISBLANK(R42),S41,IF(ISNUMBER(S41),S41,0)+R42),"")</f>
        <v/>
      </c>
      <c r="T42" s="52">
        <f>IFERROR(IF(OR(ISBLANK(Q42),ISBLANK(L42)),"",Q42*L42*VLOOKUP(C42,設定!$B$9:$D$23,3,FALSE)),"")</f>
        <v/>
      </c>
      <c r="U42" s="46" t="n"/>
      <c r="V42" s="46" t="n"/>
    </row>
    <row r="43">
      <c r="A43" s="53">
        <f>IF(ISBLANK(B43),"",COUNTA($B$18:B43))</f>
        <v/>
      </c>
      <c r="B43" s="54" t="n"/>
      <c r="C43" s="55" t="n"/>
      <c r="D43" s="55" t="n"/>
      <c r="E43" s="53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5" t="n"/>
      <c r="O43" s="58">
        <f>IFERROR(IF(OR(ISBLANK(G43),ISBLANK(I43)),"",ABS(G43-I43)/VLOOKUP(C43,設定!$B$9:$D$23,2,FALSE)),"")</f>
        <v/>
      </c>
      <c r="P43" s="57">
        <f>IFERROR(IF(OR(ISBLANK(F43),ISBLANK(H43),ISBLANK(J43)),"",ABS(J43-F43)/ABS(F43-H43)),"")</f>
        <v/>
      </c>
      <c r="Q43" s="59">
        <f>IFERROR(IF(OR(ISBLANK(M43),ISBLANK(D43),ISBLANK(G43)),"",IF(D43="Long",(M43-G43),(G43-M43))/VLOOKUP(C43,設定!$B$9:$D$23,2,FALSE)),"")</f>
        <v/>
      </c>
      <c r="R43" s="60">
        <f>IFERROR(IF(OR(ISBLANK(Q43),O43=0),"",Q43/O43),"")</f>
        <v/>
      </c>
      <c r="S43" s="60">
        <f>IFERROR(IF(ISBLANK(R43),S42,IF(ISNUMBER(S42),S42,0)+R43),"")</f>
        <v/>
      </c>
      <c r="T43" s="61">
        <f>IFERROR(IF(OR(ISBLANK(Q43),ISBLANK(L43)),"",Q43*L43*VLOOKUP(C43,設定!$B$9:$D$23,3,FALSE)),"")</f>
        <v/>
      </c>
      <c r="U43" s="55" t="n"/>
      <c r="V43" s="55" t="n"/>
    </row>
    <row r="44">
      <c r="A44" s="44">
        <f>IF(ISBLANK(B44),"",COUNTA($B$18:B44))</f>
        <v/>
      </c>
      <c r="B44" s="45" t="n"/>
      <c r="C44" s="46" t="n"/>
      <c r="D44" s="46" t="n"/>
      <c r="E44" s="44" t="n"/>
      <c r="F44" s="47" t="n"/>
      <c r="G44" s="47" t="n"/>
      <c r="H44" s="47" t="n"/>
      <c r="I44" s="47" t="n"/>
      <c r="J44" s="47" t="n"/>
      <c r="K44" s="47" t="n"/>
      <c r="L44" s="48" t="n"/>
      <c r="M44" s="47" t="n"/>
      <c r="N44" s="46" t="n"/>
      <c r="O44" s="49">
        <f>IFERROR(IF(OR(ISBLANK(G44),ISBLANK(I44)),"",ABS(G44-I44)/VLOOKUP(C44,設定!$B$9:$D$23,2,FALSE)),"")</f>
        <v/>
      </c>
      <c r="P44" s="48">
        <f>IFERROR(IF(OR(ISBLANK(F44),ISBLANK(H44),ISBLANK(J44)),"",ABS(J44-F44)/ABS(F44-H44)),"")</f>
        <v/>
      </c>
      <c r="Q44" s="50">
        <f>IFERROR(IF(OR(ISBLANK(M44),ISBLANK(D44),ISBLANK(G44)),"",IF(D44="Long",(M44-G44),(G44-M44))/VLOOKUP(C44,設定!$B$9:$D$23,2,FALSE)),"")</f>
        <v/>
      </c>
      <c r="R44" s="51">
        <f>IFERROR(IF(OR(ISBLANK(Q44),O44=0),"",Q44/O44),"")</f>
        <v/>
      </c>
      <c r="S44" s="51">
        <f>IFERROR(IF(ISBLANK(R44),S43,IF(ISNUMBER(S43),S43,0)+R44),"")</f>
        <v/>
      </c>
      <c r="T44" s="52">
        <f>IFERROR(IF(OR(ISBLANK(Q44),ISBLANK(L44)),"",Q44*L44*VLOOKUP(C44,設定!$B$9:$D$23,3,FALSE)),"")</f>
        <v/>
      </c>
      <c r="U44" s="46" t="n"/>
      <c r="V44" s="46" t="n"/>
    </row>
    <row r="45">
      <c r="A45" s="53">
        <f>IF(ISBLANK(B45),"",COUNTA($B$18:B45))</f>
        <v/>
      </c>
      <c r="B45" s="54" t="n"/>
      <c r="C45" s="55" t="n"/>
      <c r="D45" s="55" t="n"/>
      <c r="E45" s="53" t="n"/>
      <c r="F45" s="56" t="n"/>
      <c r="G45" s="56" t="n"/>
      <c r="H45" s="56" t="n"/>
      <c r="I45" s="56" t="n"/>
      <c r="J45" s="56" t="n"/>
      <c r="K45" s="56" t="n"/>
      <c r="L45" s="57" t="n"/>
      <c r="M45" s="56" t="n"/>
      <c r="N45" s="55" t="n"/>
      <c r="O45" s="58">
        <f>IFERROR(IF(OR(ISBLANK(G45),ISBLANK(I45)),"",ABS(G45-I45)/VLOOKUP(C45,設定!$B$9:$D$23,2,FALSE)),"")</f>
        <v/>
      </c>
      <c r="P45" s="57">
        <f>IFERROR(IF(OR(ISBLANK(F45),ISBLANK(H45),ISBLANK(J45)),"",ABS(J45-F45)/ABS(F45-H45)),"")</f>
        <v/>
      </c>
      <c r="Q45" s="59">
        <f>IFERROR(IF(OR(ISBLANK(M45),ISBLANK(D45),ISBLANK(G45)),"",IF(D45="Long",(M45-G45),(G45-M45))/VLOOKUP(C45,設定!$B$9:$D$23,2,FALSE)),"")</f>
        <v/>
      </c>
      <c r="R45" s="60">
        <f>IFERROR(IF(OR(ISBLANK(Q45),O45=0),"",Q45/O45),"")</f>
        <v/>
      </c>
      <c r="S45" s="60">
        <f>IFERROR(IF(ISBLANK(R45),S44,IF(ISNUMBER(S44),S44,0)+R45),"")</f>
        <v/>
      </c>
      <c r="T45" s="61">
        <f>IFERROR(IF(OR(ISBLANK(Q45),ISBLANK(L45)),"",Q45*L45*VLOOKUP(C45,設定!$B$9:$D$23,3,FALSE)),"")</f>
        <v/>
      </c>
      <c r="U45" s="55" t="n"/>
      <c r="V45" s="55" t="n"/>
    </row>
    <row r="46">
      <c r="A46" s="44">
        <f>IF(ISBLANK(B46),"",COUNTA($B$18:B46))</f>
        <v/>
      </c>
      <c r="B46" s="45" t="n"/>
      <c r="C46" s="46" t="n"/>
      <c r="D46" s="46" t="n"/>
      <c r="E46" s="44" t="n"/>
      <c r="F46" s="47" t="n"/>
      <c r="G46" s="47" t="n"/>
      <c r="H46" s="47" t="n"/>
      <c r="I46" s="47" t="n"/>
      <c r="J46" s="47" t="n"/>
      <c r="K46" s="47" t="n"/>
      <c r="L46" s="48" t="n"/>
      <c r="M46" s="47" t="n"/>
      <c r="N46" s="46" t="n"/>
      <c r="O46" s="49">
        <f>IFERROR(IF(OR(ISBLANK(G46),ISBLANK(I46)),"",ABS(G46-I46)/VLOOKUP(C46,設定!$B$9:$D$23,2,FALSE)),"")</f>
        <v/>
      </c>
      <c r="P46" s="48">
        <f>IFERROR(IF(OR(ISBLANK(F46),ISBLANK(H46),ISBLANK(J46)),"",ABS(J46-F46)/ABS(F46-H46)),"")</f>
        <v/>
      </c>
      <c r="Q46" s="50">
        <f>IFERROR(IF(OR(ISBLANK(M46),ISBLANK(D46),ISBLANK(G46)),"",IF(D46="Long",(M46-G46),(G46-M46))/VLOOKUP(C46,設定!$B$9:$D$23,2,FALSE)),"")</f>
        <v/>
      </c>
      <c r="R46" s="51">
        <f>IFERROR(IF(OR(ISBLANK(Q46),O46=0),"",Q46/O46),"")</f>
        <v/>
      </c>
      <c r="S46" s="51">
        <f>IFERROR(IF(ISBLANK(R46),S45,IF(ISNUMBER(S45),S45,0)+R46),"")</f>
        <v/>
      </c>
      <c r="T46" s="52">
        <f>IFERROR(IF(OR(ISBLANK(Q46),ISBLANK(L46)),"",Q46*L46*VLOOKUP(C46,設定!$B$9:$D$23,3,FALSE)),"")</f>
        <v/>
      </c>
      <c r="U46" s="46" t="n"/>
      <c r="V46" s="46" t="n"/>
    </row>
    <row r="47">
      <c r="A47" s="53">
        <f>IF(ISBLANK(B47),"",COUNTA($B$18:B47))</f>
        <v/>
      </c>
      <c r="B47" s="54" t="n"/>
      <c r="C47" s="55" t="n"/>
      <c r="D47" s="55" t="n"/>
      <c r="E47" s="53" t="n"/>
      <c r="F47" s="56" t="n"/>
      <c r="G47" s="56" t="n"/>
      <c r="H47" s="56" t="n"/>
      <c r="I47" s="56" t="n"/>
      <c r="J47" s="56" t="n"/>
      <c r="K47" s="56" t="n"/>
      <c r="L47" s="57" t="n"/>
      <c r="M47" s="56" t="n"/>
      <c r="N47" s="55" t="n"/>
      <c r="O47" s="58">
        <f>IFERROR(IF(OR(ISBLANK(G47),ISBLANK(I47)),"",ABS(G47-I47)/VLOOKUP(C47,設定!$B$9:$D$23,2,FALSE)),"")</f>
        <v/>
      </c>
      <c r="P47" s="57">
        <f>IFERROR(IF(OR(ISBLANK(F47),ISBLANK(H47),ISBLANK(J47)),"",ABS(J47-F47)/ABS(F47-H47)),"")</f>
        <v/>
      </c>
      <c r="Q47" s="59">
        <f>IFERROR(IF(OR(ISBLANK(M47),ISBLANK(D47),ISBLANK(G47)),"",IF(D47="Long",(M47-G47),(G47-M47))/VLOOKUP(C47,設定!$B$9:$D$23,2,FALSE)),"")</f>
        <v/>
      </c>
      <c r="R47" s="60">
        <f>IFERROR(IF(OR(ISBLANK(Q47),O47=0),"",Q47/O47),"")</f>
        <v/>
      </c>
      <c r="S47" s="60">
        <f>IFERROR(IF(ISBLANK(R47),S46,IF(ISNUMBER(S46),S46,0)+R47),"")</f>
        <v/>
      </c>
      <c r="T47" s="61">
        <f>IFERROR(IF(OR(ISBLANK(Q47),ISBLANK(L47)),"",Q47*L47*VLOOKUP(C47,設定!$B$9:$D$23,3,FALSE)),"")</f>
        <v/>
      </c>
      <c r="U47" s="55" t="n"/>
      <c r="V47" s="55" t="n"/>
    </row>
    <row r="48">
      <c r="A48" s="44">
        <f>IF(ISBLANK(B48),"",COUNTA($B$18:B48))</f>
        <v/>
      </c>
      <c r="B48" s="45" t="n"/>
      <c r="C48" s="46" t="n"/>
      <c r="D48" s="46" t="n"/>
      <c r="E48" s="44" t="n"/>
      <c r="F48" s="47" t="n"/>
      <c r="G48" s="47" t="n"/>
      <c r="H48" s="47" t="n"/>
      <c r="I48" s="47" t="n"/>
      <c r="J48" s="47" t="n"/>
      <c r="K48" s="47" t="n"/>
      <c r="L48" s="48" t="n"/>
      <c r="M48" s="47" t="n"/>
      <c r="N48" s="46" t="n"/>
      <c r="O48" s="49">
        <f>IFERROR(IF(OR(ISBLANK(G48),ISBLANK(I48)),"",ABS(G48-I48)/VLOOKUP(C48,設定!$B$9:$D$23,2,FALSE)),"")</f>
        <v/>
      </c>
      <c r="P48" s="48">
        <f>IFERROR(IF(OR(ISBLANK(F48),ISBLANK(H48),ISBLANK(J48)),"",ABS(J48-F48)/ABS(F48-H48)),"")</f>
        <v/>
      </c>
      <c r="Q48" s="50">
        <f>IFERROR(IF(OR(ISBLANK(M48),ISBLANK(D48),ISBLANK(G48)),"",IF(D48="Long",(M48-G48),(G48-M48))/VLOOKUP(C48,設定!$B$9:$D$23,2,FALSE)),"")</f>
        <v/>
      </c>
      <c r="R48" s="51">
        <f>IFERROR(IF(OR(ISBLANK(Q48),O48=0),"",Q48/O48),"")</f>
        <v/>
      </c>
      <c r="S48" s="51">
        <f>IFERROR(IF(ISBLANK(R48),S47,IF(ISNUMBER(S47),S47,0)+R48),"")</f>
        <v/>
      </c>
      <c r="T48" s="52">
        <f>IFERROR(IF(OR(ISBLANK(Q48),ISBLANK(L48)),"",Q48*L48*VLOOKUP(C48,設定!$B$9:$D$23,3,FALSE)),"")</f>
        <v/>
      </c>
      <c r="U48" s="46" t="n"/>
      <c r="V48" s="46" t="n"/>
    </row>
    <row r="49">
      <c r="A49" s="53">
        <f>IF(ISBLANK(B49),"",COUNTA($B$18:B49))</f>
        <v/>
      </c>
      <c r="B49" s="54" t="n"/>
      <c r="C49" s="55" t="n"/>
      <c r="D49" s="55" t="n"/>
      <c r="E49" s="53" t="n"/>
      <c r="F49" s="56" t="n"/>
      <c r="G49" s="56" t="n"/>
      <c r="H49" s="56" t="n"/>
      <c r="I49" s="56" t="n"/>
      <c r="J49" s="56" t="n"/>
      <c r="K49" s="56" t="n"/>
      <c r="L49" s="57" t="n"/>
      <c r="M49" s="56" t="n"/>
      <c r="N49" s="55" t="n"/>
      <c r="O49" s="58">
        <f>IFERROR(IF(OR(ISBLANK(G49),ISBLANK(I49)),"",ABS(G49-I49)/VLOOKUP(C49,設定!$B$9:$D$23,2,FALSE)),"")</f>
        <v/>
      </c>
      <c r="P49" s="57">
        <f>IFERROR(IF(OR(ISBLANK(F49),ISBLANK(H49),ISBLANK(J49)),"",ABS(J49-F49)/ABS(F49-H49)),"")</f>
        <v/>
      </c>
      <c r="Q49" s="59">
        <f>IFERROR(IF(OR(ISBLANK(M49),ISBLANK(D49),ISBLANK(G49)),"",IF(D49="Long",(M49-G49),(G49-M49))/VLOOKUP(C49,設定!$B$9:$D$23,2,FALSE)),"")</f>
        <v/>
      </c>
      <c r="R49" s="60">
        <f>IFERROR(IF(OR(ISBLANK(Q49),O49=0),"",Q49/O49),"")</f>
        <v/>
      </c>
      <c r="S49" s="60">
        <f>IFERROR(IF(ISBLANK(R49),S48,IF(ISNUMBER(S48),S48,0)+R49),"")</f>
        <v/>
      </c>
      <c r="T49" s="61">
        <f>IFERROR(IF(OR(ISBLANK(Q49),ISBLANK(L49)),"",Q49*L49*VLOOKUP(C49,設定!$B$9:$D$23,3,FALSE)),"")</f>
        <v/>
      </c>
      <c r="U49" s="55" t="n"/>
      <c r="V49" s="55" t="n"/>
    </row>
    <row r="50">
      <c r="A50" s="44">
        <f>IF(ISBLANK(B50),"",COUNTA($B$18:B50))</f>
        <v/>
      </c>
      <c r="B50" s="45" t="n"/>
      <c r="C50" s="46" t="n"/>
      <c r="D50" s="46" t="n"/>
      <c r="E50" s="44" t="n"/>
      <c r="F50" s="47" t="n"/>
      <c r="G50" s="47" t="n"/>
      <c r="H50" s="47" t="n"/>
      <c r="I50" s="47" t="n"/>
      <c r="J50" s="47" t="n"/>
      <c r="K50" s="47" t="n"/>
      <c r="L50" s="48" t="n"/>
      <c r="M50" s="47" t="n"/>
      <c r="N50" s="46" t="n"/>
      <c r="O50" s="49">
        <f>IFERROR(IF(OR(ISBLANK(G50),ISBLANK(I50)),"",ABS(G50-I50)/VLOOKUP(C50,設定!$B$9:$D$23,2,FALSE)),"")</f>
        <v/>
      </c>
      <c r="P50" s="48">
        <f>IFERROR(IF(OR(ISBLANK(F50),ISBLANK(H50),ISBLANK(J50)),"",ABS(J50-F50)/ABS(F50-H50)),"")</f>
        <v/>
      </c>
      <c r="Q50" s="50">
        <f>IFERROR(IF(OR(ISBLANK(M50),ISBLANK(D50),ISBLANK(G50)),"",IF(D50="Long",(M50-G50),(G50-M50))/VLOOKUP(C50,設定!$B$9:$D$23,2,FALSE)),"")</f>
        <v/>
      </c>
      <c r="R50" s="51">
        <f>IFERROR(IF(OR(ISBLANK(Q50),O50=0),"",Q50/O50),"")</f>
        <v/>
      </c>
      <c r="S50" s="51">
        <f>IFERROR(IF(ISBLANK(R50),S49,IF(ISNUMBER(S49),S49,0)+R50),"")</f>
        <v/>
      </c>
      <c r="T50" s="52">
        <f>IFERROR(IF(OR(ISBLANK(Q50),ISBLANK(L50)),"",Q50*L50*VLOOKUP(C50,設定!$B$9:$D$23,3,FALSE)),"")</f>
        <v/>
      </c>
      <c r="U50" s="46" t="n"/>
      <c r="V50" s="46" t="n"/>
    </row>
    <row r="51">
      <c r="A51" s="53">
        <f>IF(ISBLANK(B51),"",COUNTA($B$18:B51))</f>
        <v/>
      </c>
      <c r="B51" s="54" t="n"/>
      <c r="C51" s="55" t="n"/>
      <c r="D51" s="55" t="n"/>
      <c r="E51" s="53" t="n"/>
      <c r="F51" s="56" t="n"/>
      <c r="G51" s="56" t="n"/>
      <c r="H51" s="56" t="n"/>
      <c r="I51" s="56" t="n"/>
      <c r="J51" s="56" t="n"/>
      <c r="K51" s="56" t="n"/>
      <c r="L51" s="57" t="n"/>
      <c r="M51" s="56" t="n"/>
      <c r="N51" s="55" t="n"/>
      <c r="O51" s="58">
        <f>IFERROR(IF(OR(ISBLANK(G51),ISBLANK(I51)),"",ABS(G51-I51)/VLOOKUP(C51,設定!$B$9:$D$23,2,FALSE)),"")</f>
        <v/>
      </c>
      <c r="P51" s="57">
        <f>IFERROR(IF(OR(ISBLANK(F51),ISBLANK(H51),ISBLANK(J51)),"",ABS(J51-F51)/ABS(F51-H51)),"")</f>
        <v/>
      </c>
      <c r="Q51" s="59">
        <f>IFERROR(IF(OR(ISBLANK(M51),ISBLANK(D51),ISBLANK(G51)),"",IF(D51="Long",(M51-G51),(G51-M51))/VLOOKUP(C51,設定!$B$9:$D$23,2,FALSE)),"")</f>
        <v/>
      </c>
      <c r="R51" s="60">
        <f>IFERROR(IF(OR(ISBLANK(Q51),O51=0),"",Q51/O51),"")</f>
        <v/>
      </c>
      <c r="S51" s="60">
        <f>IFERROR(IF(ISBLANK(R51),S50,IF(ISNUMBER(S50),S50,0)+R51),"")</f>
        <v/>
      </c>
      <c r="T51" s="61">
        <f>IFERROR(IF(OR(ISBLANK(Q51),ISBLANK(L51)),"",Q51*L51*VLOOKUP(C51,設定!$B$9:$D$23,3,FALSE)),"")</f>
        <v/>
      </c>
      <c r="U51" s="55" t="n"/>
      <c r="V51" s="55" t="n"/>
    </row>
    <row r="52">
      <c r="A52" s="44">
        <f>IF(ISBLANK(B52),"",COUNTA($B$18:B52))</f>
        <v/>
      </c>
      <c r="B52" s="45" t="n"/>
      <c r="C52" s="46" t="n"/>
      <c r="D52" s="46" t="n"/>
      <c r="E52" s="44" t="n"/>
      <c r="F52" s="47" t="n"/>
      <c r="G52" s="47" t="n"/>
      <c r="H52" s="47" t="n"/>
      <c r="I52" s="47" t="n"/>
      <c r="J52" s="47" t="n"/>
      <c r="K52" s="47" t="n"/>
      <c r="L52" s="48" t="n"/>
      <c r="M52" s="47" t="n"/>
      <c r="N52" s="46" t="n"/>
      <c r="O52" s="49">
        <f>IFERROR(IF(OR(ISBLANK(G52),ISBLANK(I52)),"",ABS(G52-I52)/VLOOKUP(C52,設定!$B$9:$D$23,2,FALSE)),"")</f>
        <v/>
      </c>
      <c r="P52" s="48">
        <f>IFERROR(IF(OR(ISBLANK(F52),ISBLANK(H52),ISBLANK(J52)),"",ABS(J52-F52)/ABS(F52-H52)),"")</f>
        <v/>
      </c>
      <c r="Q52" s="50">
        <f>IFERROR(IF(OR(ISBLANK(M52),ISBLANK(D52),ISBLANK(G52)),"",IF(D52="Long",(M52-G52),(G52-M52))/VLOOKUP(C52,設定!$B$9:$D$23,2,FALSE)),"")</f>
        <v/>
      </c>
      <c r="R52" s="51">
        <f>IFERROR(IF(OR(ISBLANK(Q52),O52=0),"",Q52/O52),"")</f>
        <v/>
      </c>
      <c r="S52" s="51">
        <f>IFERROR(IF(ISBLANK(R52),S51,IF(ISNUMBER(S51),S51,0)+R52),"")</f>
        <v/>
      </c>
      <c r="T52" s="52">
        <f>IFERROR(IF(OR(ISBLANK(Q52),ISBLANK(L52)),"",Q52*L52*VLOOKUP(C52,設定!$B$9:$D$23,3,FALSE)),"")</f>
        <v/>
      </c>
      <c r="U52" s="46" t="n"/>
      <c r="V52" s="46" t="n"/>
    </row>
    <row r="53">
      <c r="A53" s="53">
        <f>IF(ISBLANK(B53),"",COUNTA($B$18:B53))</f>
        <v/>
      </c>
      <c r="B53" s="54" t="n"/>
      <c r="C53" s="55" t="n"/>
      <c r="D53" s="55" t="n"/>
      <c r="E53" s="53" t="n"/>
      <c r="F53" s="56" t="n"/>
      <c r="G53" s="56" t="n"/>
      <c r="H53" s="56" t="n"/>
      <c r="I53" s="56" t="n"/>
      <c r="J53" s="56" t="n"/>
      <c r="K53" s="56" t="n"/>
      <c r="L53" s="57" t="n"/>
      <c r="M53" s="56" t="n"/>
      <c r="N53" s="55" t="n"/>
      <c r="O53" s="58">
        <f>IFERROR(IF(OR(ISBLANK(G53),ISBLANK(I53)),"",ABS(G53-I53)/VLOOKUP(C53,設定!$B$9:$D$23,2,FALSE)),"")</f>
        <v/>
      </c>
      <c r="P53" s="57">
        <f>IFERROR(IF(OR(ISBLANK(F53),ISBLANK(H53),ISBLANK(J53)),"",ABS(J53-F53)/ABS(F53-H53)),"")</f>
        <v/>
      </c>
      <c r="Q53" s="59">
        <f>IFERROR(IF(OR(ISBLANK(M53),ISBLANK(D53),ISBLANK(G53)),"",IF(D53="Long",(M53-G53),(G53-M53))/VLOOKUP(C53,設定!$B$9:$D$23,2,FALSE)),"")</f>
        <v/>
      </c>
      <c r="R53" s="60">
        <f>IFERROR(IF(OR(ISBLANK(Q53),O53=0),"",Q53/O53),"")</f>
        <v/>
      </c>
      <c r="S53" s="60">
        <f>IFERROR(IF(ISBLANK(R53),S52,IF(ISNUMBER(S52),S52,0)+R53),"")</f>
        <v/>
      </c>
      <c r="T53" s="61">
        <f>IFERROR(IF(OR(ISBLANK(Q53),ISBLANK(L53)),"",Q53*L53*VLOOKUP(C53,設定!$B$9:$D$23,3,FALSE)),"")</f>
        <v/>
      </c>
      <c r="U53" s="55" t="n"/>
      <c r="V53" s="55" t="n"/>
    </row>
    <row r="54">
      <c r="A54" s="44">
        <f>IF(ISBLANK(B54),"",COUNTA($B$18:B54))</f>
        <v/>
      </c>
      <c r="B54" s="45" t="n"/>
      <c r="C54" s="46" t="n"/>
      <c r="D54" s="46" t="n"/>
      <c r="E54" s="44" t="n"/>
      <c r="F54" s="47" t="n"/>
      <c r="G54" s="47" t="n"/>
      <c r="H54" s="47" t="n"/>
      <c r="I54" s="47" t="n"/>
      <c r="J54" s="47" t="n"/>
      <c r="K54" s="47" t="n"/>
      <c r="L54" s="48" t="n"/>
      <c r="M54" s="47" t="n"/>
      <c r="N54" s="46" t="n"/>
      <c r="O54" s="49">
        <f>IFERROR(IF(OR(ISBLANK(G54),ISBLANK(I54)),"",ABS(G54-I54)/VLOOKUP(C54,設定!$B$9:$D$23,2,FALSE)),"")</f>
        <v/>
      </c>
      <c r="P54" s="48">
        <f>IFERROR(IF(OR(ISBLANK(F54),ISBLANK(H54),ISBLANK(J54)),"",ABS(J54-F54)/ABS(F54-H54)),"")</f>
        <v/>
      </c>
      <c r="Q54" s="50">
        <f>IFERROR(IF(OR(ISBLANK(M54),ISBLANK(D54),ISBLANK(G54)),"",IF(D54="Long",(M54-G54),(G54-M54))/VLOOKUP(C54,設定!$B$9:$D$23,2,FALSE)),"")</f>
        <v/>
      </c>
      <c r="R54" s="51">
        <f>IFERROR(IF(OR(ISBLANK(Q54),O54=0),"",Q54/O54),"")</f>
        <v/>
      </c>
      <c r="S54" s="51">
        <f>IFERROR(IF(ISBLANK(R54),S53,IF(ISNUMBER(S53),S53,0)+R54),"")</f>
        <v/>
      </c>
      <c r="T54" s="52">
        <f>IFERROR(IF(OR(ISBLANK(Q54),ISBLANK(L54)),"",Q54*L54*VLOOKUP(C54,設定!$B$9:$D$23,3,FALSE)),"")</f>
        <v/>
      </c>
      <c r="U54" s="46" t="n"/>
      <c r="V54" s="46" t="n"/>
    </row>
    <row r="55">
      <c r="A55" s="53">
        <f>IF(ISBLANK(B55),"",COUNTA($B$18:B55))</f>
        <v/>
      </c>
      <c r="B55" s="54" t="n"/>
      <c r="C55" s="55" t="n"/>
      <c r="D55" s="55" t="n"/>
      <c r="E55" s="53" t="n"/>
      <c r="F55" s="56" t="n"/>
      <c r="G55" s="56" t="n"/>
      <c r="H55" s="56" t="n"/>
      <c r="I55" s="56" t="n"/>
      <c r="J55" s="56" t="n"/>
      <c r="K55" s="56" t="n"/>
      <c r="L55" s="57" t="n"/>
      <c r="M55" s="56" t="n"/>
      <c r="N55" s="55" t="n"/>
      <c r="O55" s="58">
        <f>IFERROR(IF(OR(ISBLANK(G55),ISBLANK(I55)),"",ABS(G55-I55)/VLOOKUP(C55,設定!$B$9:$D$23,2,FALSE)),"")</f>
        <v/>
      </c>
      <c r="P55" s="57">
        <f>IFERROR(IF(OR(ISBLANK(F55),ISBLANK(H55),ISBLANK(J55)),"",ABS(J55-F55)/ABS(F55-H55)),"")</f>
        <v/>
      </c>
      <c r="Q55" s="59">
        <f>IFERROR(IF(OR(ISBLANK(M55),ISBLANK(D55),ISBLANK(G55)),"",IF(D55="Long",(M55-G55),(G55-M55))/VLOOKUP(C55,設定!$B$9:$D$23,2,FALSE)),"")</f>
        <v/>
      </c>
      <c r="R55" s="60">
        <f>IFERROR(IF(OR(ISBLANK(Q55),O55=0),"",Q55/O55),"")</f>
        <v/>
      </c>
      <c r="S55" s="60">
        <f>IFERROR(IF(ISBLANK(R55),S54,IF(ISNUMBER(S54),S54,0)+R55),"")</f>
        <v/>
      </c>
      <c r="T55" s="61">
        <f>IFERROR(IF(OR(ISBLANK(Q55),ISBLANK(L55)),"",Q55*L55*VLOOKUP(C55,設定!$B$9:$D$23,3,FALSE)),"")</f>
        <v/>
      </c>
      <c r="U55" s="55" t="n"/>
      <c r="V55" s="55" t="n"/>
    </row>
    <row r="56">
      <c r="A56" s="44">
        <f>IF(ISBLANK(B56),"",COUNTA($B$18:B56))</f>
        <v/>
      </c>
      <c r="B56" s="45" t="n"/>
      <c r="C56" s="46" t="n"/>
      <c r="D56" s="46" t="n"/>
      <c r="E56" s="44" t="n"/>
      <c r="F56" s="47" t="n"/>
      <c r="G56" s="47" t="n"/>
      <c r="H56" s="47" t="n"/>
      <c r="I56" s="47" t="n"/>
      <c r="J56" s="47" t="n"/>
      <c r="K56" s="47" t="n"/>
      <c r="L56" s="48" t="n"/>
      <c r="M56" s="47" t="n"/>
      <c r="N56" s="46" t="n"/>
      <c r="O56" s="49">
        <f>IFERROR(IF(OR(ISBLANK(G56),ISBLANK(I56)),"",ABS(G56-I56)/VLOOKUP(C56,設定!$B$9:$D$23,2,FALSE)),"")</f>
        <v/>
      </c>
      <c r="P56" s="48">
        <f>IFERROR(IF(OR(ISBLANK(F56),ISBLANK(H56),ISBLANK(J56)),"",ABS(J56-F56)/ABS(F56-H56)),"")</f>
        <v/>
      </c>
      <c r="Q56" s="50">
        <f>IFERROR(IF(OR(ISBLANK(M56),ISBLANK(D56),ISBLANK(G56)),"",IF(D56="Long",(M56-G56),(G56-M56))/VLOOKUP(C56,設定!$B$9:$D$23,2,FALSE)),"")</f>
        <v/>
      </c>
      <c r="R56" s="51">
        <f>IFERROR(IF(OR(ISBLANK(Q56),O56=0),"",Q56/O56),"")</f>
        <v/>
      </c>
      <c r="S56" s="51">
        <f>IFERROR(IF(ISBLANK(R56),S55,IF(ISNUMBER(S55),S55,0)+R56),"")</f>
        <v/>
      </c>
      <c r="T56" s="52">
        <f>IFERROR(IF(OR(ISBLANK(Q56),ISBLANK(L56)),"",Q56*L56*VLOOKUP(C56,設定!$B$9:$D$23,3,FALSE)),"")</f>
        <v/>
      </c>
      <c r="U56" s="46" t="n"/>
      <c r="V56" s="46" t="n"/>
    </row>
    <row r="57">
      <c r="A57" s="53">
        <f>IF(ISBLANK(B57),"",COUNTA($B$18:B57))</f>
        <v/>
      </c>
      <c r="B57" s="54" t="n"/>
      <c r="C57" s="55" t="n"/>
      <c r="D57" s="55" t="n"/>
      <c r="E57" s="53" t="n"/>
      <c r="F57" s="56" t="n"/>
      <c r="G57" s="56" t="n"/>
      <c r="H57" s="56" t="n"/>
      <c r="I57" s="56" t="n"/>
      <c r="J57" s="56" t="n"/>
      <c r="K57" s="56" t="n"/>
      <c r="L57" s="57" t="n"/>
      <c r="M57" s="56" t="n"/>
      <c r="N57" s="55" t="n"/>
      <c r="O57" s="58">
        <f>IFERROR(IF(OR(ISBLANK(G57),ISBLANK(I57)),"",ABS(G57-I57)/VLOOKUP(C57,設定!$B$9:$D$23,2,FALSE)),"")</f>
        <v/>
      </c>
      <c r="P57" s="57">
        <f>IFERROR(IF(OR(ISBLANK(F57),ISBLANK(H57),ISBLANK(J57)),"",ABS(J57-F57)/ABS(F57-H57)),"")</f>
        <v/>
      </c>
      <c r="Q57" s="59">
        <f>IFERROR(IF(OR(ISBLANK(M57),ISBLANK(D57),ISBLANK(G57)),"",IF(D57="Long",(M57-G57),(G57-M57))/VLOOKUP(C57,設定!$B$9:$D$23,2,FALSE)),"")</f>
        <v/>
      </c>
      <c r="R57" s="60">
        <f>IFERROR(IF(OR(ISBLANK(Q57),O57=0),"",Q57/O57),"")</f>
        <v/>
      </c>
      <c r="S57" s="60">
        <f>IFERROR(IF(ISBLANK(R57),S56,IF(ISNUMBER(S56),S56,0)+R57),"")</f>
        <v/>
      </c>
      <c r="T57" s="61">
        <f>IFERROR(IF(OR(ISBLANK(Q57),ISBLANK(L57)),"",Q57*L57*VLOOKUP(C57,設定!$B$9:$D$23,3,FALSE)),"")</f>
        <v/>
      </c>
      <c r="U57" s="55" t="n"/>
      <c r="V57" s="55" t="n"/>
    </row>
    <row r="58">
      <c r="A58" s="44">
        <f>IF(ISBLANK(B58),"",COUNTA($B$18:B58))</f>
        <v/>
      </c>
      <c r="B58" s="45" t="n"/>
      <c r="C58" s="46" t="n"/>
      <c r="D58" s="46" t="n"/>
      <c r="E58" s="44" t="n"/>
      <c r="F58" s="47" t="n"/>
      <c r="G58" s="47" t="n"/>
      <c r="H58" s="47" t="n"/>
      <c r="I58" s="47" t="n"/>
      <c r="J58" s="47" t="n"/>
      <c r="K58" s="47" t="n"/>
      <c r="L58" s="48" t="n"/>
      <c r="M58" s="47" t="n"/>
      <c r="N58" s="46" t="n"/>
      <c r="O58" s="49">
        <f>IFERROR(IF(OR(ISBLANK(G58),ISBLANK(I58)),"",ABS(G58-I58)/VLOOKUP(C58,設定!$B$9:$D$23,2,FALSE)),"")</f>
        <v/>
      </c>
      <c r="P58" s="48">
        <f>IFERROR(IF(OR(ISBLANK(F58),ISBLANK(H58),ISBLANK(J58)),"",ABS(J58-F58)/ABS(F58-H58)),"")</f>
        <v/>
      </c>
      <c r="Q58" s="50">
        <f>IFERROR(IF(OR(ISBLANK(M58),ISBLANK(D58),ISBLANK(G58)),"",IF(D58="Long",(M58-G58),(G58-M58))/VLOOKUP(C58,設定!$B$9:$D$23,2,FALSE)),"")</f>
        <v/>
      </c>
      <c r="R58" s="51">
        <f>IFERROR(IF(OR(ISBLANK(Q58),O58=0),"",Q58/O58),"")</f>
        <v/>
      </c>
      <c r="S58" s="51">
        <f>IFERROR(IF(ISBLANK(R58),S57,IF(ISNUMBER(S57),S57,0)+R58),"")</f>
        <v/>
      </c>
      <c r="T58" s="52">
        <f>IFERROR(IF(OR(ISBLANK(Q58),ISBLANK(L58)),"",Q58*L58*VLOOKUP(C58,設定!$B$9:$D$23,3,FALSE)),"")</f>
        <v/>
      </c>
      <c r="U58" s="46" t="n"/>
      <c r="V58" s="46" t="n"/>
    </row>
    <row r="59">
      <c r="A59" s="53">
        <f>IF(ISBLANK(B59),"",COUNTA($B$18:B59))</f>
        <v/>
      </c>
      <c r="B59" s="54" t="n"/>
      <c r="C59" s="55" t="n"/>
      <c r="D59" s="55" t="n"/>
      <c r="E59" s="53" t="n"/>
      <c r="F59" s="56" t="n"/>
      <c r="G59" s="56" t="n"/>
      <c r="H59" s="56" t="n"/>
      <c r="I59" s="56" t="n"/>
      <c r="J59" s="56" t="n"/>
      <c r="K59" s="56" t="n"/>
      <c r="L59" s="57" t="n"/>
      <c r="M59" s="56" t="n"/>
      <c r="N59" s="55" t="n"/>
      <c r="O59" s="58">
        <f>IFERROR(IF(OR(ISBLANK(G59),ISBLANK(I59)),"",ABS(G59-I59)/VLOOKUP(C59,設定!$B$9:$D$23,2,FALSE)),"")</f>
        <v/>
      </c>
      <c r="P59" s="57">
        <f>IFERROR(IF(OR(ISBLANK(F59),ISBLANK(H59),ISBLANK(J59)),"",ABS(J59-F59)/ABS(F59-H59)),"")</f>
        <v/>
      </c>
      <c r="Q59" s="59">
        <f>IFERROR(IF(OR(ISBLANK(M59),ISBLANK(D59),ISBLANK(G59)),"",IF(D59="Long",(M59-G59),(G59-M59))/VLOOKUP(C59,設定!$B$9:$D$23,2,FALSE)),"")</f>
        <v/>
      </c>
      <c r="R59" s="60">
        <f>IFERROR(IF(OR(ISBLANK(Q59),O59=0),"",Q59/O59),"")</f>
        <v/>
      </c>
      <c r="S59" s="60">
        <f>IFERROR(IF(ISBLANK(R59),S58,IF(ISNUMBER(S58),S58,0)+R59),"")</f>
        <v/>
      </c>
      <c r="T59" s="61">
        <f>IFERROR(IF(OR(ISBLANK(Q59),ISBLANK(L59)),"",Q59*L59*VLOOKUP(C59,設定!$B$9:$D$23,3,FALSE)),"")</f>
        <v/>
      </c>
      <c r="U59" s="55" t="n"/>
      <c r="V59" s="55" t="n"/>
    </row>
    <row r="60">
      <c r="A60" s="44">
        <f>IF(ISBLANK(B60),"",COUNTA($B$18:B60))</f>
        <v/>
      </c>
      <c r="B60" s="45" t="n"/>
      <c r="C60" s="46" t="n"/>
      <c r="D60" s="46" t="n"/>
      <c r="E60" s="44" t="n"/>
      <c r="F60" s="47" t="n"/>
      <c r="G60" s="47" t="n"/>
      <c r="H60" s="47" t="n"/>
      <c r="I60" s="47" t="n"/>
      <c r="J60" s="47" t="n"/>
      <c r="K60" s="47" t="n"/>
      <c r="L60" s="48" t="n"/>
      <c r="M60" s="47" t="n"/>
      <c r="N60" s="46" t="n"/>
      <c r="O60" s="49">
        <f>IFERROR(IF(OR(ISBLANK(G60),ISBLANK(I60)),"",ABS(G60-I60)/VLOOKUP(C60,設定!$B$9:$D$23,2,FALSE)),"")</f>
        <v/>
      </c>
      <c r="P60" s="48">
        <f>IFERROR(IF(OR(ISBLANK(F60),ISBLANK(H60),ISBLANK(J60)),"",ABS(J60-F60)/ABS(F60-H60)),"")</f>
        <v/>
      </c>
      <c r="Q60" s="50">
        <f>IFERROR(IF(OR(ISBLANK(M60),ISBLANK(D60),ISBLANK(G60)),"",IF(D60="Long",(M60-G60),(G60-M60))/VLOOKUP(C60,設定!$B$9:$D$23,2,FALSE)),"")</f>
        <v/>
      </c>
      <c r="R60" s="51">
        <f>IFERROR(IF(OR(ISBLANK(Q60),O60=0),"",Q60/O60),"")</f>
        <v/>
      </c>
      <c r="S60" s="51">
        <f>IFERROR(IF(ISBLANK(R60),S59,IF(ISNUMBER(S59),S59,0)+R60),"")</f>
        <v/>
      </c>
      <c r="T60" s="52">
        <f>IFERROR(IF(OR(ISBLANK(Q60),ISBLANK(L60)),"",Q60*L60*VLOOKUP(C60,設定!$B$9:$D$23,3,FALSE)),"")</f>
        <v/>
      </c>
      <c r="U60" s="46" t="n"/>
      <c r="V60" s="46" t="n"/>
    </row>
    <row r="61">
      <c r="A61" s="53">
        <f>IF(ISBLANK(B61),"",COUNTA($B$18:B61))</f>
        <v/>
      </c>
      <c r="B61" s="54" t="n"/>
      <c r="C61" s="55" t="n"/>
      <c r="D61" s="55" t="n"/>
      <c r="E61" s="53" t="n"/>
      <c r="F61" s="56" t="n"/>
      <c r="G61" s="56" t="n"/>
      <c r="H61" s="56" t="n"/>
      <c r="I61" s="56" t="n"/>
      <c r="J61" s="56" t="n"/>
      <c r="K61" s="56" t="n"/>
      <c r="L61" s="57" t="n"/>
      <c r="M61" s="56" t="n"/>
      <c r="N61" s="55" t="n"/>
      <c r="O61" s="58">
        <f>IFERROR(IF(OR(ISBLANK(G61),ISBLANK(I61)),"",ABS(G61-I61)/VLOOKUP(C61,設定!$B$9:$D$23,2,FALSE)),"")</f>
        <v/>
      </c>
      <c r="P61" s="57">
        <f>IFERROR(IF(OR(ISBLANK(F61),ISBLANK(H61),ISBLANK(J61)),"",ABS(J61-F61)/ABS(F61-H61)),"")</f>
        <v/>
      </c>
      <c r="Q61" s="59">
        <f>IFERROR(IF(OR(ISBLANK(M61),ISBLANK(D61),ISBLANK(G61)),"",IF(D61="Long",(M61-G61),(G61-M61))/VLOOKUP(C61,設定!$B$9:$D$23,2,FALSE)),"")</f>
        <v/>
      </c>
      <c r="R61" s="60">
        <f>IFERROR(IF(OR(ISBLANK(Q61),O61=0),"",Q61/O61),"")</f>
        <v/>
      </c>
      <c r="S61" s="60">
        <f>IFERROR(IF(ISBLANK(R61),S60,IF(ISNUMBER(S60),S60,0)+R61),"")</f>
        <v/>
      </c>
      <c r="T61" s="61">
        <f>IFERROR(IF(OR(ISBLANK(Q61),ISBLANK(L61)),"",Q61*L61*VLOOKUP(C61,設定!$B$9:$D$23,3,FALSE)),"")</f>
        <v/>
      </c>
      <c r="U61" s="55" t="n"/>
      <c r="V61" s="55" t="n"/>
    </row>
    <row r="62">
      <c r="A62" s="44">
        <f>IF(ISBLANK(B62),"",COUNTA($B$18:B62))</f>
        <v/>
      </c>
      <c r="B62" s="45" t="n"/>
      <c r="C62" s="46" t="n"/>
      <c r="D62" s="46" t="n"/>
      <c r="E62" s="44" t="n"/>
      <c r="F62" s="47" t="n"/>
      <c r="G62" s="47" t="n"/>
      <c r="H62" s="47" t="n"/>
      <c r="I62" s="47" t="n"/>
      <c r="J62" s="47" t="n"/>
      <c r="K62" s="47" t="n"/>
      <c r="L62" s="48" t="n"/>
      <c r="M62" s="47" t="n"/>
      <c r="N62" s="46" t="n"/>
      <c r="O62" s="49">
        <f>IFERROR(IF(OR(ISBLANK(G62),ISBLANK(I62)),"",ABS(G62-I62)/VLOOKUP(C62,設定!$B$9:$D$23,2,FALSE)),"")</f>
        <v/>
      </c>
      <c r="P62" s="48">
        <f>IFERROR(IF(OR(ISBLANK(F62),ISBLANK(H62),ISBLANK(J62)),"",ABS(J62-F62)/ABS(F62-H62)),"")</f>
        <v/>
      </c>
      <c r="Q62" s="50">
        <f>IFERROR(IF(OR(ISBLANK(M62),ISBLANK(D62),ISBLANK(G62)),"",IF(D62="Long",(M62-G62),(G62-M62))/VLOOKUP(C62,設定!$B$9:$D$23,2,FALSE)),"")</f>
        <v/>
      </c>
      <c r="R62" s="51">
        <f>IFERROR(IF(OR(ISBLANK(Q62),O62=0),"",Q62/O62),"")</f>
        <v/>
      </c>
      <c r="S62" s="51">
        <f>IFERROR(IF(ISBLANK(R62),S61,IF(ISNUMBER(S61),S61,0)+R62),"")</f>
        <v/>
      </c>
      <c r="T62" s="52">
        <f>IFERROR(IF(OR(ISBLANK(Q62),ISBLANK(L62)),"",Q62*L62*VLOOKUP(C62,設定!$B$9:$D$23,3,FALSE)),"")</f>
        <v/>
      </c>
      <c r="U62" s="46" t="n"/>
      <c r="V62" s="46" t="n"/>
    </row>
    <row r="63">
      <c r="A63" s="53">
        <f>IF(ISBLANK(B63),"",COUNTA($B$18:B63))</f>
        <v/>
      </c>
      <c r="B63" s="54" t="n"/>
      <c r="C63" s="55" t="n"/>
      <c r="D63" s="55" t="n"/>
      <c r="E63" s="53" t="n"/>
      <c r="F63" s="56" t="n"/>
      <c r="G63" s="56" t="n"/>
      <c r="H63" s="56" t="n"/>
      <c r="I63" s="56" t="n"/>
      <c r="J63" s="56" t="n"/>
      <c r="K63" s="56" t="n"/>
      <c r="L63" s="57" t="n"/>
      <c r="M63" s="56" t="n"/>
      <c r="N63" s="55" t="n"/>
      <c r="O63" s="58">
        <f>IFERROR(IF(OR(ISBLANK(G63),ISBLANK(I63)),"",ABS(G63-I63)/VLOOKUP(C63,設定!$B$9:$D$23,2,FALSE)),"")</f>
        <v/>
      </c>
      <c r="P63" s="57">
        <f>IFERROR(IF(OR(ISBLANK(F63),ISBLANK(H63),ISBLANK(J63)),"",ABS(J63-F63)/ABS(F63-H63)),"")</f>
        <v/>
      </c>
      <c r="Q63" s="59">
        <f>IFERROR(IF(OR(ISBLANK(M63),ISBLANK(D63),ISBLANK(G63)),"",IF(D63="Long",(M63-G63),(G63-M63))/VLOOKUP(C63,設定!$B$9:$D$23,2,FALSE)),"")</f>
        <v/>
      </c>
      <c r="R63" s="60">
        <f>IFERROR(IF(OR(ISBLANK(Q63),O63=0),"",Q63/O63),"")</f>
        <v/>
      </c>
      <c r="S63" s="60">
        <f>IFERROR(IF(ISBLANK(R63),S62,IF(ISNUMBER(S62),S62,0)+R63),"")</f>
        <v/>
      </c>
      <c r="T63" s="61">
        <f>IFERROR(IF(OR(ISBLANK(Q63),ISBLANK(L63)),"",Q63*L63*VLOOKUP(C63,設定!$B$9:$D$23,3,FALSE)),"")</f>
        <v/>
      </c>
      <c r="U63" s="55" t="n"/>
      <c r="V63" s="55" t="n"/>
    </row>
    <row r="64">
      <c r="A64" s="44">
        <f>IF(ISBLANK(B64),"",COUNTA($B$18:B64))</f>
        <v/>
      </c>
      <c r="B64" s="45" t="n"/>
      <c r="C64" s="46" t="n"/>
      <c r="D64" s="46" t="n"/>
      <c r="E64" s="44" t="n"/>
      <c r="F64" s="47" t="n"/>
      <c r="G64" s="47" t="n"/>
      <c r="H64" s="47" t="n"/>
      <c r="I64" s="47" t="n"/>
      <c r="J64" s="47" t="n"/>
      <c r="K64" s="47" t="n"/>
      <c r="L64" s="48" t="n"/>
      <c r="M64" s="47" t="n"/>
      <c r="N64" s="46" t="n"/>
      <c r="O64" s="49">
        <f>IFERROR(IF(OR(ISBLANK(G64),ISBLANK(I64)),"",ABS(G64-I64)/VLOOKUP(C64,設定!$B$9:$D$23,2,FALSE)),"")</f>
        <v/>
      </c>
      <c r="P64" s="48">
        <f>IFERROR(IF(OR(ISBLANK(F64),ISBLANK(H64),ISBLANK(J64)),"",ABS(J64-F64)/ABS(F64-H64)),"")</f>
        <v/>
      </c>
      <c r="Q64" s="50">
        <f>IFERROR(IF(OR(ISBLANK(M64),ISBLANK(D64),ISBLANK(G64)),"",IF(D64="Long",(M64-G64),(G64-M64))/VLOOKUP(C64,設定!$B$9:$D$23,2,FALSE)),"")</f>
        <v/>
      </c>
      <c r="R64" s="51">
        <f>IFERROR(IF(OR(ISBLANK(Q64),O64=0),"",Q64/O64),"")</f>
        <v/>
      </c>
      <c r="S64" s="51">
        <f>IFERROR(IF(ISBLANK(R64),S63,IF(ISNUMBER(S63),S63,0)+R64),"")</f>
        <v/>
      </c>
      <c r="T64" s="52">
        <f>IFERROR(IF(OR(ISBLANK(Q64),ISBLANK(L64)),"",Q64*L64*VLOOKUP(C64,設定!$B$9:$D$23,3,FALSE)),"")</f>
        <v/>
      </c>
      <c r="U64" s="46" t="n"/>
      <c r="V64" s="46" t="n"/>
    </row>
    <row r="65">
      <c r="A65" s="53">
        <f>IF(ISBLANK(B65),"",COUNTA($B$18:B65))</f>
        <v/>
      </c>
      <c r="B65" s="54" t="n"/>
      <c r="C65" s="55" t="n"/>
      <c r="D65" s="55" t="n"/>
      <c r="E65" s="53" t="n"/>
      <c r="F65" s="56" t="n"/>
      <c r="G65" s="56" t="n"/>
      <c r="H65" s="56" t="n"/>
      <c r="I65" s="56" t="n"/>
      <c r="J65" s="56" t="n"/>
      <c r="K65" s="56" t="n"/>
      <c r="L65" s="57" t="n"/>
      <c r="M65" s="56" t="n"/>
      <c r="N65" s="55" t="n"/>
      <c r="O65" s="58">
        <f>IFERROR(IF(OR(ISBLANK(G65),ISBLANK(I65)),"",ABS(G65-I65)/VLOOKUP(C65,設定!$B$9:$D$23,2,FALSE)),"")</f>
        <v/>
      </c>
      <c r="P65" s="57">
        <f>IFERROR(IF(OR(ISBLANK(F65),ISBLANK(H65),ISBLANK(J65)),"",ABS(J65-F65)/ABS(F65-H65)),"")</f>
        <v/>
      </c>
      <c r="Q65" s="59">
        <f>IFERROR(IF(OR(ISBLANK(M65),ISBLANK(D65),ISBLANK(G65)),"",IF(D65="Long",(M65-G65),(G65-M65))/VLOOKUP(C65,設定!$B$9:$D$23,2,FALSE)),"")</f>
        <v/>
      </c>
      <c r="R65" s="60">
        <f>IFERROR(IF(OR(ISBLANK(Q65),O65=0),"",Q65/O65),"")</f>
        <v/>
      </c>
      <c r="S65" s="60">
        <f>IFERROR(IF(ISBLANK(R65),S64,IF(ISNUMBER(S64),S64,0)+R65),"")</f>
        <v/>
      </c>
      <c r="T65" s="61">
        <f>IFERROR(IF(OR(ISBLANK(Q65),ISBLANK(L65)),"",Q65*L65*VLOOKUP(C65,設定!$B$9:$D$23,3,FALSE)),"")</f>
        <v/>
      </c>
      <c r="U65" s="55" t="n"/>
      <c r="V65" s="55" t="n"/>
    </row>
    <row r="66">
      <c r="A66" s="44">
        <f>IF(ISBLANK(B66),"",COUNTA($B$18:B66))</f>
        <v/>
      </c>
      <c r="B66" s="45" t="n"/>
      <c r="C66" s="46" t="n"/>
      <c r="D66" s="46" t="n"/>
      <c r="E66" s="44" t="n"/>
      <c r="F66" s="47" t="n"/>
      <c r="G66" s="47" t="n"/>
      <c r="H66" s="47" t="n"/>
      <c r="I66" s="47" t="n"/>
      <c r="J66" s="47" t="n"/>
      <c r="K66" s="47" t="n"/>
      <c r="L66" s="48" t="n"/>
      <c r="M66" s="47" t="n"/>
      <c r="N66" s="46" t="n"/>
      <c r="O66" s="49">
        <f>IFERROR(IF(OR(ISBLANK(G66),ISBLANK(I66)),"",ABS(G66-I66)/VLOOKUP(C66,設定!$B$9:$D$23,2,FALSE)),"")</f>
        <v/>
      </c>
      <c r="P66" s="48">
        <f>IFERROR(IF(OR(ISBLANK(F66),ISBLANK(H66),ISBLANK(J66)),"",ABS(J66-F66)/ABS(F66-H66)),"")</f>
        <v/>
      </c>
      <c r="Q66" s="50">
        <f>IFERROR(IF(OR(ISBLANK(M66),ISBLANK(D66),ISBLANK(G66)),"",IF(D66="Long",(M66-G66),(G66-M66))/VLOOKUP(C66,設定!$B$9:$D$23,2,FALSE)),"")</f>
        <v/>
      </c>
      <c r="R66" s="51">
        <f>IFERROR(IF(OR(ISBLANK(Q66),O66=0),"",Q66/O66),"")</f>
        <v/>
      </c>
      <c r="S66" s="51">
        <f>IFERROR(IF(ISBLANK(R66),S65,IF(ISNUMBER(S65),S65,0)+R66),"")</f>
        <v/>
      </c>
      <c r="T66" s="52">
        <f>IFERROR(IF(OR(ISBLANK(Q66),ISBLANK(L66)),"",Q66*L66*VLOOKUP(C66,設定!$B$9:$D$23,3,FALSE)),"")</f>
        <v/>
      </c>
      <c r="U66" s="46" t="n"/>
      <c r="V66" s="46" t="n"/>
    </row>
    <row r="67">
      <c r="A67" s="53">
        <f>IF(ISBLANK(B67),"",COUNTA($B$18:B67))</f>
        <v/>
      </c>
      <c r="B67" s="54" t="n"/>
      <c r="C67" s="55" t="n"/>
      <c r="D67" s="55" t="n"/>
      <c r="E67" s="53" t="n"/>
      <c r="F67" s="56" t="n"/>
      <c r="G67" s="56" t="n"/>
      <c r="H67" s="56" t="n"/>
      <c r="I67" s="56" t="n"/>
      <c r="J67" s="56" t="n"/>
      <c r="K67" s="56" t="n"/>
      <c r="L67" s="57" t="n"/>
      <c r="M67" s="56" t="n"/>
      <c r="N67" s="55" t="n"/>
      <c r="O67" s="58">
        <f>IFERROR(IF(OR(ISBLANK(G67),ISBLANK(I67)),"",ABS(G67-I67)/VLOOKUP(C67,設定!$B$9:$D$23,2,FALSE)),"")</f>
        <v/>
      </c>
      <c r="P67" s="57">
        <f>IFERROR(IF(OR(ISBLANK(F67),ISBLANK(H67),ISBLANK(J67)),"",ABS(J67-F67)/ABS(F67-H67)),"")</f>
        <v/>
      </c>
      <c r="Q67" s="59">
        <f>IFERROR(IF(OR(ISBLANK(M67),ISBLANK(D67),ISBLANK(G67)),"",IF(D67="Long",(M67-G67),(G67-M67))/VLOOKUP(C67,設定!$B$9:$D$23,2,FALSE)),"")</f>
        <v/>
      </c>
      <c r="R67" s="60">
        <f>IFERROR(IF(OR(ISBLANK(Q67),O67=0),"",Q67/O67),"")</f>
        <v/>
      </c>
      <c r="S67" s="60">
        <f>IFERROR(IF(ISBLANK(R67),S66,IF(ISNUMBER(S66),S66,0)+R67),"")</f>
        <v/>
      </c>
      <c r="T67" s="61">
        <f>IFERROR(IF(OR(ISBLANK(Q67),ISBLANK(L67)),"",Q67*L67*VLOOKUP(C67,設定!$B$9:$D$23,3,FALSE)),"")</f>
        <v/>
      </c>
      <c r="U67" s="55" t="n"/>
      <c r="V67" s="55" t="n"/>
    </row>
    <row r="68">
      <c r="A68" s="44">
        <f>IF(ISBLANK(B68),"",COUNTA($B$18:B68))</f>
        <v/>
      </c>
      <c r="B68" s="45" t="n"/>
      <c r="C68" s="46" t="n"/>
      <c r="D68" s="46" t="n"/>
      <c r="E68" s="44" t="n"/>
      <c r="F68" s="47" t="n"/>
      <c r="G68" s="47" t="n"/>
      <c r="H68" s="47" t="n"/>
      <c r="I68" s="47" t="n"/>
      <c r="J68" s="47" t="n"/>
      <c r="K68" s="47" t="n"/>
      <c r="L68" s="48" t="n"/>
      <c r="M68" s="47" t="n"/>
      <c r="N68" s="46" t="n"/>
      <c r="O68" s="49">
        <f>IFERROR(IF(OR(ISBLANK(G68),ISBLANK(I68)),"",ABS(G68-I68)/VLOOKUP(C68,設定!$B$9:$D$23,2,FALSE)),"")</f>
        <v/>
      </c>
      <c r="P68" s="48">
        <f>IFERROR(IF(OR(ISBLANK(F68),ISBLANK(H68),ISBLANK(J68)),"",ABS(J68-F68)/ABS(F68-H68)),"")</f>
        <v/>
      </c>
      <c r="Q68" s="50">
        <f>IFERROR(IF(OR(ISBLANK(M68),ISBLANK(D68),ISBLANK(G68)),"",IF(D68="Long",(M68-G68),(G68-M68))/VLOOKUP(C68,設定!$B$9:$D$23,2,FALSE)),"")</f>
        <v/>
      </c>
      <c r="R68" s="51">
        <f>IFERROR(IF(OR(ISBLANK(Q68),O68=0),"",Q68/O68),"")</f>
        <v/>
      </c>
      <c r="S68" s="51">
        <f>IFERROR(IF(ISBLANK(R68),S67,IF(ISNUMBER(S67),S67,0)+R68),"")</f>
        <v/>
      </c>
      <c r="T68" s="52">
        <f>IFERROR(IF(OR(ISBLANK(Q68),ISBLANK(L68)),"",Q68*L68*VLOOKUP(C68,設定!$B$9:$D$23,3,FALSE)),"")</f>
        <v/>
      </c>
      <c r="U68" s="46" t="n"/>
      <c r="V68" s="46" t="n"/>
    </row>
    <row r="69">
      <c r="A69" s="53">
        <f>IF(ISBLANK(B69),"",COUNTA($B$18:B69))</f>
        <v/>
      </c>
      <c r="B69" s="54" t="n"/>
      <c r="C69" s="55" t="n"/>
      <c r="D69" s="55" t="n"/>
      <c r="E69" s="53" t="n"/>
      <c r="F69" s="56" t="n"/>
      <c r="G69" s="56" t="n"/>
      <c r="H69" s="56" t="n"/>
      <c r="I69" s="56" t="n"/>
      <c r="J69" s="56" t="n"/>
      <c r="K69" s="56" t="n"/>
      <c r="L69" s="57" t="n"/>
      <c r="M69" s="56" t="n"/>
      <c r="N69" s="55" t="n"/>
      <c r="O69" s="58">
        <f>IFERROR(IF(OR(ISBLANK(G69),ISBLANK(I69)),"",ABS(G69-I69)/VLOOKUP(C69,設定!$B$9:$D$23,2,FALSE)),"")</f>
        <v/>
      </c>
      <c r="P69" s="57">
        <f>IFERROR(IF(OR(ISBLANK(F69),ISBLANK(H69),ISBLANK(J69)),"",ABS(J69-F69)/ABS(F69-H69)),"")</f>
        <v/>
      </c>
      <c r="Q69" s="59">
        <f>IFERROR(IF(OR(ISBLANK(M69),ISBLANK(D69),ISBLANK(G69)),"",IF(D69="Long",(M69-G69),(G69-M69))/VLOOKUP(C69,設定!$B$9:$D$23,2,FALSE)),"")</f>
        <v/>
      </c>
      <c r="R69" s="60">
        <f>IFERROR(IF(OR(ISBLANK(Q69),O69=0),"",Q69/O69),"")</f>
        <v/>
      </c>
      <c r="S69" s="60">
        <f>IFERROR(IF(ISBLANK(R69),S68,IF(ISNUMBER(S68),S68,0)+R69),"")</f>
        <v/>
      </c>
      <c r="T69" s="61">
        <f>IFERROR(IF(OR(ISBLANK(Q69),ISBLANK(L69)),"",Q69*L69*VLOOKUP(C69,設定!$B$9:$D$23,3,FALSE)),"")</f>
        <v/>
      </c>
      <c r="U69" s="55" t="n"/>
      <c r="V69" s="55" t="n"/>
    </row>
    <row r="70">
      <c r="A70" s="44">
        <f>IF(ISBLANK(B70),"",COUNTA($B$18:B70))</f>
        <v/>
      </c>
      <c r="B70" s="45" t="n"/>
      <c r="C70" s="46" t="n"/>
      <c r="D70" s="46" t="n"/>
      <c r="E70" s="44" t="n"/>
      <c r="F70" s="47" t="n"/>
      <c r="G70" s="47" t="n"/>
      <c r="H70" s="47" t="n"/>
      <c r="I70" s="47" t="n"/>
      <c r="J70" s="47" t="n"/>
      <c r="K70" s="47" t="n"/>
      <c r="L70" s="48" t="n"/>
      <c r="M70" s="47" t="n"/>
      <c r="N70" s="46" t="n"/>
      <c r="O70" s="49">
        <f>IFERROR(IF(OR(ISBLANK(G70),ISBLANK(I70)),"",ABS(G70-I70)/VLOOKUP(C70,設定!$B$9:$D$23,2,FALSE)),"")</f>
        <v/>
      </c>
      <c r="P70" s="48">
        <f>IFERROR(IF(OR(ISBLANK(F70),ISBLANK(H70),ISBLANK(J70)),"",ABS(J70-F70)/ABS(F70-H70)),"")</f>
        <v/>
      </c>
      <c r="Q70" s="50">
        <f>IFERROR(IF(OR(ISBLANK(M70),ISBLANK(D70),ISBLANK(G70)),"",IF(D70="Long",(M70-G70),(G70-M70))/VLOOKUP(C70,設定!$B$9:$D$23,2,FALSE)),"")</f>
        <v/>
      </c>
      <c r="R70" s="51">
        <f>IFERROR(IF(OR(ISBLANK(Q70),O70=0),"",Q70/O70),"")</f>
        <v/>
      </c>
      <c r="S70" s="51">
        <f>IFERROR(IF(ISBLANK(R70),S69,IF(ISNUMBER(S69),S69,0)+R70),"")</f>
        <v/>
      </c>
      <c r="T70" s="52">
        <f>IFERROR(IF(OR(ISBLANK(Q70),ISBLANK(L70)),"",Q70*L70*VLOOKUP(C70,設定!$B$9:$D$23,3,FALSE)),"")</f>
        <v/>
      </c>
      <c r="U70" s="46" t="n"/>
      <c r="V70" s="46" t="n"/>
    </row>
    <row r="71">
      <c r="A71" s="53">
        <f>IF(ISBLANK(B71),"",COUNTA($B$18:B71))</f>
        <v/>
      </c>
      <c r="B71" s="54" t="n"/>
      <c r="C71" s="55" t="n"/>
      <c r="D71" s="55" t="n"/>
      <c r="E71" s="53" t="n"/>
      <c r="F71" s="56" t="n"/>
      <c r="G71" s="56" t="n"/>
      <c r="H71" s="56" t="n"/>
      <c r="I71" s="56" t="n"/>
      <c r="J71" s="56" t="n"/>
      <c r="K71" s="56" t="n"/>
      <c r="L71" s="57" t="n"/>
      <c r="M71" s="56" t="n"/>
      <c r="N71" s="55" t="n"/>
      <c r="O71" s="58">
        <f>IFERROR(IF(OR(ISBLANK(G71),ISBLANK(I71)),"",ABS(G71-I71)/VLOOKUP(C71,設定!$B$9:$D$23,2,FALSE)),"")</f>
        <v/>
      </c>
      <c r="P71" s="57">
        <f>IFERROR(IF(OR(ISBLANK(F71),ISBLANK(H71),ISBLANK(J71)),"",ABS(J71-F71)/ABS(F71-H71)),"")</f>
        <v/>
      </c>
      <c r="Q71" s="59">
        <f>IFERROR(IF(OR(ISBLANK(M71),ISBLANK(D71),ISBLANK(G71)),"",IF(D71="Long",(M71-G71),(G71-M71))/VLOOKUP(C71,設定!$B$9:$D$23,2,FALSE)),"")</f>
        <v/>
      </c>
      <c r="R71" s="60">
        <f>IFERROR(IF(OR(ISBLANK(Q71),O71=0),"",Q71/O71),"")</f>
        <v/>
      </c>
      <c r="S71" s="60">
        <f>IFERROR(IF(ISBLANK(R71),S70,IF(ISNUMBER(S70),S70,0)+R71),"")</f>
        <v/>
      </c>
      <c r="T71" s="61">
        <f>IFERROR(IF(OR(ISBLANK(Q71),ISBLANK(L71)),"",Q71*L71*VLOOKUP(C71,設定!$B$9:$D$23,3,FALSE)),"")</f>
        <v/>
      </c>
      <c r="U71" s="55" t="n"/>
      <c r="V71" s="55" t="n"/>
    </row>
    <row r="72">
      <c r="A72" s="44">
        <f>IF(ISBLANK(B72),"",COUNTA($B$18:B72))</f>
        <v/>
      </c>
      <c r="B72" s="45" t="n"/>
      <c r="C72" s="46" t="n"/>
      <c r="D72" s="46" t="n"/>
      <c r="E72" s="44" t="n"/>
      <c r="F72" s="47" t="n"/>
      <c r="G72" s="47" t="n"/>
      <c r="H72" s="47" t="n"/>
      <c r="I72" s="47" t="n"/>
      <c r="J72" s="47" t="n"/>
      <c r="K72" s="47" t="n"/>
      <c r="L72" s="48" t="n"/>
      <c r="M72" s="47" t="n"/>
      <c r="N72" s="46" t="n"/>
      <c r="O72" s="49">
        <f>IFERROR(IF(OR(ISBLANK(G72),ISBLANK(I72)),"",ABS(G72-I72)/VLOOKUP(C72,設定!$B$9:$D$23,2,FALSE)),"")</f>
        <v/>
      </c>
      <c r="P72" s="48">
        <f>IFERROR(IF(OR(ISBLANK(F72),ISBLANK(H72),ISBLANK(J72)),"",ABS(J72-F72)/ABS(F72-H72)),"")</f>
        <v/>
      </c>
      <c r="Q72" s="50">
        <f>IFERROR(IF(OR(ISBLANK(M72),ISBLANK(D72),ISBLANK(G72)),"",IF(D72="Long",(M72-G72),(G72-M72))/VLOOKUP(C72,設定!$B$9:$D$23,2,FALSE)),"")</f>
        <v/>
      </c>
      <c r="R72" s="51">
        <f>IFERROR(IF(OR(ISBLANK(Q72),O72=0),"",Q72/O72),"")</f>
        <v/>
      </c>
      <c r="S72" s="51">
        <f>IFERROR(IF(ISBLANK(R72),S71,IF(ISNUMBER(S71),S71,0)+R72),"")</f>
        <v/>
      </c>
      <c r="T72" s="52">
        <f>IFERROR(IF(OR(ISBLANK(Q72),ISBLANK(L72)),"",Q72*L72*VLOOKUP(C72,設定!$B$9:$D$23,3,FALSE)),"")</f>
        <v/>
      </c>
      <c r="U72" s="46" t="n"/>
      <c r="V72" s="46" t="n"/>
    </row>
    <row r="73">
      <c r="A73" s="53">
        <f>IF(ISBLANK(B73),"",COUNTA($B$18:B73))</f>
        <v/>
      </c>
      <c r="B73" s="54" t="n"/>
      <c r="C73" s="55" t="n"/>
      <c r="D73" s="55" t="n"/>
      <c r="E73" s="53" t="n"/>
      <c r="F73" s="56" t="n"/>
      <c r="G73" s="56" t="n"/>
      <c r="H73" s="56" t="n"/>
      <c r="I73" s="56" t="n"/>
      <c r="J73" s="56" t="n"/>
      <c r="K73" s="56" t="n"/>
      <c r="L73" s="57" t="n"/>
      <c r="M73" s="56" t="n"/>
      <c r="N73" s="55" t="n"/>
      <c r="O73" s="58">
        <f>IFERROR(IF(OR(ISBLANK(G73),ISBLANK(I73)),"",ABS(G73-I73)/VLOOKUP(C73,設定!$B$9:$D$23,2,FALSE)),"")</f>
        <v/>
      </c>
      <c r="P73" s="57">
        <f>IFERROR(IF(OR(ISBLANK(F73),ISBLANK(H73),ISBLANK(J73)),"",ABS(J73-F73)/ABS(F73-H73)),"")</f>
        <v/>
      </c>
      <c r="Q73" s="59">
        <f>IFERROR(IF(OR(ISBLANK(M73),ISBLANK(D73),ISBLANK(G73)),"",IF(D73="Long",(M73-G73),(G73-M73))/VLOOKUP(C73,設定!$B$9:$D$23,2,FALSE)),"")</f>
        <v/>
      </c>
      <c r="R73" s="60">
        <f>IFERROR(IF(OR(ISBLANK(Q73),O73=0),"",Q73/O73),"")</f>
        <v/>
      </c>
      <c r="S73" s="60">
        <f>IFERROR(IF(ISBLANK(R73),S72,IF(ISNUMBER(S72),S72,0)+R73),"")</f>
        <v/>
      </c>
      <c r="T73" s="61">
        <f>IFERROR(IF(OR(ISBLANK(Q73),ISBLANK(L73)),"",Q73*L73*VLOOKUP(C73,設定!$B$9:$D$23,3,FALSE)),"")</f>
        <v/>
      </c>
      <c r="U73" s="55" t="n"/>
      <c r="V73" s="55" t="n"/>
    </row>
    <row r="74">
      <c r="A74" s="44">
        <f>IF(ISBLANK(B74),"",COUNTA($B$18:B74))</f>
        <v/>
      </c>
      <c r="B74" s="45" t="n"/>
      <c r="C74" s="46" t="n"/>
      <c r="D74" s="46" t="n"/>
      <c r="E74" s="44" t="n"/>
      <c r="F74" s="47" t="n"/>
      <c r="G74" s="47" t="n"/>
      <c r="H74" s="47" t="n"/>
      <c r="I74" s="47" t="n"/>
      <c r="J74" s="47" t="n"/>
      <c r="K74" s="47" t="n"/>
      <c r="L74" s="48" t="n"/>
      <c r="M74" s="47" t="n"/>
      <c r="N74" s="46" t="n"/>
      <c r="O74" s="49">
        <f>IFERROR(IF(OR(ISBLANK(G74),ISBLANK(I74)),"",ABS(G74-I74)/VLOOKUP(C74,設定!$B$9:$D$23,2,FALSE)),"")</f>
        <v/>
      </c>
      <c r="P74" s="48">
        <f>IFERROR(IF(OR(ISBLANK(F74),ISBLANK(H74),ISBLANK(J74)),"",ABS(J74-F74)/ABS(F74-H74)),"")</f>
        <v/>
      </c>
      <c r="Q74" s="50">
        <f>IFERROR(IF(OR(ISBLANK(M74),ISBLANK(D74),ISBLANK(G74)),"",IF(D74="Long",(M74-G74),(G74-M74))/VLOOKUP(C74,設定!$B$9:$D$23,2,FALSE)),"")</f>
        <v/>
      </c>
      <c r="R74" s="51">
        <f>IFERROR(IF(OR(ISBLANK(Q74),O74=0),"",Q74/O74),"")</f>
        <v/>
      </c>
      <c r="S74" s="51">
        <f>IFERROR(IF(ISBLANK(R74),S73,IF(ISNUMBER(S73),S73,0)+R74),"")</f>
        <v/>
      </c>
      <c r="T74" s="52">
        <f>IFERROR(IF(OR(ISBLANK(Q74),ISBLANK(L74)),"",Q74*L74*VLOOKUP(C74,設定!$B$9:$D$23,3,FALSE)),"")</f>
        <v/>
      </c>
      <c r="U74" s="46" t="n"/>
      <c r="V74" s="46" t="n"/>
    </row>
    <row r="75">
      <c r="A75" s="53">
        <f>IF(ISBLANK(B75),"",COUNTA($B$18:B75))</f>
        <v/>
      </c>
      <c r="B75" s="54" t="n"/>
      <c r="C75" s="55" t="n"/>
      <c r="D75" s="55" t="n"/>
      <c r="E75" s="53" t="n"/>
      <c r="F75" s="56" t="n"/>
      <c r="G75" s="56" t="n"/>
      <c r="H75" s="56" t="n"/>
      <c r="I75" s="56" t="n"/>
      <c r="J75" s="56" t="n"/>
      <c r="K75" s="56" t="n"/>
      <c r="L75" s="57" t="n"/>
      <c r="M75" s="56" t="n"/>
      <c r="N75" s="55" t="n"/>
      <c r="O75" s="58">
        <f>IFERROR(IF(OR(ISBLANK(G75),ISBLANK(I75)),"",ABS(G75-I75)/VLOOKUP(C75,設定!$B$9:$D$23,2,FALSE)),"")</f>
        <v/>
      </c>
      <c r="P75" s="57">
        <f>IFERROR(IF(OR(ISBLANK(F75),ISBLANK(H75),ISBLANK(J75)),"",ABS(J75-F75)/ABS(F75-H75)),"")</f>
        <v/>
      </c>
      <c r="Q75" s="59">
        <f>IFERROR(IF(OR(ISBLANK(M75),ISBLANK(D75),ISBLANK(G75)),"",IF(D75="Long",(M75-G75),(G75-M75))/VLOOKUP(C75,設定!$B$9:$D$23,2,FALSE)),"")</f>
        <v/>
      </c>
      <c r="R75" s="60">
        <f>IFERROR(IF(OR(ISBLANK(Q75),O75=0),"",Q75/O75),"")</f>
        <v/>
      </c>
      <c r="S75" s="60">
        <f>IFERROR(IF(ISBLANK(R75),S74,IF(ISNUMBER(S74),S74,0)+R75),"")</f>
        <v/>
      </c>
      <c r="T75" s="61">
        <f>IFERROR(IF(OR(ISBLANK(Q75),ISBLANK(L75)),"",Q75*L75*VLOOKUP(C75,設定!$B$9:$D$23,3,FALSE)),"")</f>
        <v/>
      </c>
      <c r="U75" s="55" t="n"/>
      <c r="V75" s="55" t="n"/>
    </row>
    <row r="76">
      <c r="A76" s="44">
        <f>IF(ISBLANK(B76),"",COUNTA($B$18:B76))</f>
        <v/>
      </c>
      <c r="B76" s="45" t="n"/>
      <c r="C76" s="46" t="n"/>
      <c r="D76" s="46" t="n"/>
      <c r="E76" s="44" t="n"/>
      <c r="F76" s="47" t="n"/>
      <c r="G76" s="47" t="n"/>
      <c r="H76" s="47" t="n"/>
      <c r="I76" s="47" t="n"/>
      <c r="J76" s="47" t="n"/>
      <c r="K76" s="47" t="n"/>
      <c r="L76" s="48" t="n"/>
      <c r="M76" s="47" t="n"/>
      <c r="N76" s="46" t="n"/>
      <c r="O76" s="49">
        <f>IFERROR(IF(OR(ISBLANK(G76),ISBLANK(I76)),"",ABS(G76-I76)/VLOOKUP(C76,設定!$B$9:$D$23,2,FALSE)),"")</f>
        <v/>
      </c>
      <c r="P76" s="48">
        <f>IFERROR(IF(OR(ISBLANK(F76),ISBLANK(H76),ISBLANK(J76)),"",ABS(J76-F76)/ABS(F76-H76)),"")</f>
        <v/>
      </c>
      <c r="Q76" s="50">
        <f>IFERROR(IF(OR(ISBLANK(M76),ISBLANK(D76),ISBLANK(G76)),"",IF(D76="Long",(M76-G76),(G76-M76))/VLOOKUP(C76,設定!$B$9:$D$23,2,FALSE)),"")</f>
        <v/>
      </c>
      <c r="R76" s="51">
        <f>IFERROR(IF(OR(ISBLANK(Q76),O76=0),"",Q76/O76),"")</f>
        <v/>
      </c>
      <c r="S76" s="51">
        <f>IFERROR(IF(ISBLANK(R76),S75,IF(ISNUMBER(S75),S75,0)+R76),"")</f>
        <v/>
      </c>
      <c r="T76" s="52">
        <f>IFERROR(IF(OR(ISBLANK(Q76),ISBLANK(L76)),"",Q76*L76*VLOOKUP(C76,設定!$B$9:$D$23,3,FALSE)),"")</f>
        <v/>
      </c>
      <c r="U76" s="46" t="n"/>
      <c r="V76" s="46" t="n"/>
    </row>
    <row r="77">
      <c r="A77" s="53">
        <f>IF(ISBLANK(B77),"",COUNTA($B$18:B77))</f>
        <v/>
      </c>
      <c r="B77" s="54" t="n"/>
      <c r="C77" s="55" t="n"/>
      <c r="D77" s="55" t="n"/>
      <c r="E77" s="53" t="n"/>
      <c r="F77" s="56" t="n"/>
      <c r="G77" s="56" t="n"/>
      <c r="H77" s="56" t="n"/>
      <c r="I77" s="56" t="n"/>
      <c r="J77" s="56" t="n"/>
      <c r="K77" s="56" t="n"/>
      <c r="L77" s="57" t="n"/>
      <c r="M77" s="56" t="n"/>
      <c r="N77" s="55" t="n"/>
      <c r="O77" s="58">
        <f>IFERROR(IF(OR(ISBLANK(G77),ISBLANK(I77)),"",ABS(G77-I77)/VLOOKUP(C77,設定!$B$9:$D$23,2,FALSE)),"")</f>
        <v/>
      </c>
      <c r="P77" s="57">
        <f>IFERROR(IF(OR(ISBLANK(F77),ISBLANK(H77),ISBLANK(J77)),"",ABS(J77-F77)/ABS(F77-H77)),"")</f>
        <v/>
      </c>
      <c r="Q77" s="59">
        <f>IFERROR(IF(OR(ISBLANK(M77),ISBLANK(D77),ISBLANK(G77)),"",IF(D77="Long",(M77-G77),(G77-M77))/VLOOKUP(C77,設定!$B$9:$D$23,2,FALSE)),"")</f>
        <v/>
      </c>
      <c r="R77" s="60">
        <f>IFERROR(IF(OR(ISBLANK(Q77),O77=0),"",Q77/O77),"")</f>
        <v/>
      </c>
      <c r="S77" s="60">
        <f>IFERROR(IF(ISBLANK(R77),S76,IF(ISNUMBER(S76),S76,0)+R77),"")</f>
        <v/>
      </c>
      <c r="T77" s="61">
        <f>IFERROR(IF(OR(ISBLANK(Q77),ISBLANK(L77)),"",Q77*L77*VLOOKUP(C77,設定!$B$9:$D$23,3,FALSE)),"")</f>
        <v/>
      </c>
      <c r="U77" s="55" t="n"/>
      <c r="V77" s="55" t="n"/>
    </row>
    <row r="78">
      <c r="A78" s="44">
        <f>IF(ISBLANK(B78),"",COUNTA($B$18:B78))</f>
        <v/>
      </c>
      <c r="B78" s="45" t="n"/>
      <c r="C78" s="46" t="n"/>
      <c r="D78" s="46" t="n"/>
      <c r="E78" s="44" t="n"/>
      <c r="F78" s="47" t="n"/>
      <c r="G78" s="47" t="n"/>
      <c r="H78" s="47" t="n"/>
      <c r="I78" s="47" t="n"/>
      <c r="J78" s="47" t="n"/>
      <c r="K78" s="47" t="n"/>
      <c r="L78" s="48" t="n"/>
      <c r="M78" s="47" t="n"/>
      <c r="N78" s="46" t="n"/>
      <c r="O78" s="49">
        <f>IFERROR(IF(OR(ISBLANK(G78),ISBLANK(I78)),"",ABS(G78-I78)/VLOOKUP(C78,設定!$B$9:$D$23,2,FALSE)),"")</f>
        <v/>
      </c>
      <c r="P78" s="48">
        <f>IFERROR(IF(OR(ISBLANK(F78),ISBLANK(H78),ISBLANK(J78)),"",ABS(J78-F78)/ABS(F78-H78)),"")</f>
        <v/>
      </c>
      <c r="Q78" s="50">
        <f>IFERROR(IF(OR(ISBLANK(M78),ISBLANK(D78),ISBLANK(G78)),"",IF(D78="Long",(M78-G78),(G78-M78))/VLOOKUP(C78,設定!$B$9:$D$23,2,FALSE)),"")</f>
        <v/>
      </c>
      <c r="R78" s="51">
        <f>IFERROR(IF(OR(ISBLANK(Q78),O78=0),"",Q78/O78),"")</f>
        <v/>
      </c>
      <c r="S78" s="51">
        <f>IFERROR(IF(ISBLANK(R78),S77,IF(ISNUMBER(S77),S77,0)+R78),"")</f>
        <v/>
      </c>
      <c r="T78" s="52">
        <f>IFERROR(IF(OR(ISBLANK(Q78),ISBLANK(L78)),"",Q78*L78*VLOOKUP(C78,設定!$B$9:$D$23,3,FALSE)),"")</f>
        <v/>
      </c>
      <c r="U78" s="46" t="n"/>
      <c r="V78" s="46" t="n"/>
    </row>
    <row r="79">
      <c r="A79" s="53">
        <f>IF(ISBLANK(B79),"",COUNTA($B$18:B79))</f>
        <v/>
      </c>
      <c r="B79" s="54" t="n"/>
      <c r="C79" s="55" t="n"/>
      <c r="D79" s="55" t="n"/>
      <c r="E79" s="53" t="n"/>
      <c r="F79" s="56" t="n"/>
      <c r="G79" s="56" t="n"/>
      <c r="H79" s="56" t="n"/>
      <c r="I79" s="56" t="n"/>
      <c r="J79" s="56" t="n"/>
      <c r="K79" s="56" t="n"/>
      <c r="L79" s="57" t="n"/>
      <c r="M79" s="56" t="n"/>
      <c r="N79" s="55" t="n"/>
      <c r="O79" s="58">
        <f>IFERROR(IF(OR(ISBLANK(G79),ISBLANK(I79)),"",ABS(G79-I79)/VLOOKUP(C79,設定!$B$9:$D$23,2,FALSE)),"")</f>
        <v/>
      </c>
      <c r="P79" s="57">
        <f>IFERROR(IF(OR(ISBLANK(F79),ISBLANK(H79),ISBLANK(J79)),"",ABS(J79-F79)/ABS(F79-H79)),"")</f>
        <v/>
      </c>
      <c r="Q79" s="59">
        <f>IFERROR(IF(OR(ISBLANK(M79),ISBLANK(D79),ISBLANK(G79)),"",IF(D79="Long",(M79-G79),(G79-M79))/VLOOKUP(C79,設定!$B$9:$D$23,2,FALSE)),"")</f>
        <v/>
      </c>
      <c r="R79" s="60">
        <f>IFERROR(IF(OR(ISBLANK(Q79),O79=0),"",Q79/O79),"")</f>
        <v/>
      </c>
      <c r="S79" s="60">
        <f>IFERROR(IF(ISBLANK(R79),S78,IF(ISNUMBER(S78),S78,0)+R79),"")</f>
        <v/>
      </c>
      <c r="T79" s="61">
        <f>IFERROR(IF(OR(ISBLANK(Q79),ISBLANK(L79)),"",Q79*L79*VLOOKUP(C79,設定!$B$9:$D$23,3,FALSE)),"")</f>
        <v/>
      </c>
      <c r="U79" s="55" t="n"/>
      <c r="V79" s="55" t="n"/>
    </row>
    <row r="80">
      <c r="A80" s="44">
        <f>IF(ISBLANK(B80),"",COUNTA($B$18:B80))</f>
        <v/>
      </c>
      <c r="B80" s="45" t="n"/>
      <c r="C80" s="46" t="n"/>
      <c r="D80" s="46" t="n"/>
      <c r="E80" s="44" t="n"/>
      <c r="F80" s="47" t="n"/>
      <c r="G80" s="47" t="n"/>
      <c r="H80" s="47" t="n"/>
      <c r="I80" s="47" t="n"/>
      <c r="J80" s="47" t="n"/>
      <c r="K80" s="47" t="n"/>
      <c r="L80" s="48" t="n"/>
      <c r="M80" s="47" t="n"/>
      <c r="N80" s="46" t="n"/>
      <c r="O80" s="49">
        <f>IFERROR(IF(OR(ISBLANK(G80),ISBLANK(I80)),"",ABS(G80-I80)/VLOOKUP(C80,設定!$B$9:$D$23,2,FALSE)),"")</f>
        <v/>
      </c>
      <c r="P80" s="48">
        <f>IFERROR(IF(OR(ISBLANK(F80),ISBLANK(H80),ISBLANK(J80)),"",ABS(J80-F80)/ABS(F80-H80)),"")</f>
        <v/>
      </c>
      <c r="Q80" s="50">
        <f>IFERROR(IF(OR(ISBLANK(M80),ISBLANK(D80),ISBLANK(G80)),"",IF(D80="Long",(M80-G80),(G80-M80))/VLOOKUP(C80,設定!$B$9:$D$23,2,FALSE)),"")</f>
        <v/>
      </c>
      <c r="R80" s="51">
        <f>IFERROR(IF(OR(ISBLANK(Q80),O80=0),"",Q80/O80),"")</f>
        <v/>
      </c>
      <c r="S80" s="51">
        <f>IFERROR(IF(ISBLANK(R80),S79,IF(ISNUMBER(S79),S79,0)+R80),"")</f>
        <v/>
      </c>
      <c r="T80" s="52">
        <f>IFERROR(IF(OR(ISBLANK(Q80),ISBLANK(L80)),"",Q80*L80*VLOOKUP(C80,設定!$B$9:$D$23,3,FALSE)),"")</f>
        <v/>
      </c>
      <c r="U80" s="46" t="n"/>
      <c r="V80" s="46" t="n"/>
    </row>
    <row r="81">
      <c r="A81" s="53">
        <f>IF(ISBLANK(B81),"",COUNTA($B$18:B81))</f>
        <v/>
      </c>
      <c r="B81" s="54" t="n"/>
      <c r="C81" s="55" t="n"/>
      <c r="D81" s="55" t="n"/>
      <c r="E81" s="53" t="n"/>
      <c r="F81" s="56" t="n"/>
      <c r="G81" s="56" t="n"/>
      <c r="H81" s="56" t="n"/>
      <c r="I81" s="56" t="n"/>
      <c r="J81" s="56" t="n"/>
      <c r="K81" s="56" t="n"/>
      <c r="L81" s="57" t="n"/>
      <c r="M81" s="56" t="n"/>
      <c r="N81" s="55" t="n"/>
      <c r="O81" s="58">
        <f>IFERROR(IF(OR(ISBLANK(G81),ISBLANK(I81)),"",ABS(G81-I81)/VLOOKUP(C81,設定!$B$9:$D$23,2,FALSE)),"")</f>
        <v/>
      </c>
      <c r="P81" s="57">
        <f>IFERROR(IF(OR(ISBLANK(F81),ISBLANK(H81),ISBLANK(J81)),"",ABS(J81-F81)/ABS(F81-H81)),"")</f>
        <v/>
      </c>
      <c r="Q81" s="59">
        <f>IFERROR(IF(OR(ISBLANK(M81),ISBLANK(D81),ISBLANK(G81)),"",IF(D81="Long",(M81-G81),(G81-M81))/VLOOKUP(C81,設定!$B$9:$D$23,2,FALSE)),"")</f>
        <v/>
      </c>
      <c r="R81" s="60">
        <f>IFERROR(IF(OR(ISBLANK(Q81),O81=0),"",Q81/O81),"")</f>
        <v/>
      </c>
      <c r="S81" s="60">
        <f>IFERROR(IF(ISBLANK(R81),S80,IF(ISNUMBER(S80),S80,0)+R81),"")</f>
        <v/>
      </c>
      <c r="T81" s="61">
        <f>IFERROR(IF(OR(ISBLANK(Q81),ISBLANK(L81)),"",Q81*L81*VLOOKUP(C81,設定!$B$9:$D$23,3,FALSE)),"")</f>
        <v/>
      </c>
      <c r="U81" s="55" t="n"/>
      <c r="V81" s="55" t="n"/>
    </row>
    <row r="82">
      <c r="A82" s="44">
        <f>IF(ISBLANK(B82),"",COUNTA($B$18:B82))</f>
        <v/>
      </c>
      <c r="B82" s="45" t="n"/>
      <c r="C82" s="46" t="n"/>
      <c r="D82" s="46" t="n"/>
      <c r="E82" s="44" t="n"/>
      <c r="F82" s="47" t="n"/>
      <c r="G82" s="47" t="n"/>
      <c r="H82" s="47" t="n"/>
      <c r="I82" s="47" t="n"/>
      <c r="J82" s="47" t="n"/>
      <c r="K82" s="47" t="n"/>
      <c r="L82" s="48" t="n"/>
      <c r="M82" s="47" t="n"/>
      <c r="N82" s="46" t="n"/>
      <c r="O82" s="49">
        <f>IFERROR(IF(OR(ISBLANK(G82),ISBLANK(I82)),"",ABS(G82-I82)/VLOOKUP(C82,設定!$B$9:$D$23,2,FALSE)),"")</f>
        <v/>
      </c>
      <c r="P82" s="48">
        <f>IFERROR(IF(OR(ISBLANK(F82),ISBLANK(H82),ISBLANK(J82)),"",ABS(J82-F82)/ABS(F82-H82)),"")</f>
        <v/>
      </c>
      <c r="Q82" s="50">
        <f>IFERROR(IF(OR(ISBLANK(M82),ISBLANK(D82),ISBLANK(G82)),"",IF(D82="Long",(M82-G82),(G82-M82))/VLOOKUP(C82,設定!$B$9:$D$23,2,FALSE)),"")</f>
        <v/>
      </c>
      <c r="R82" s="51">
        <f>IFERROR(IF(OR(ISBLANK(Q82),O82=0),"",Q82/O82),"")</f>
        <v/>
      </c>
      <c r="S82" s="51">
        <f>IFERROR(IF(ISBLANK(R82),S81,IF(ISNUMBER(S81),S81,0)+R82),"")</f>
        <v/>
      </c>
      <c r="T82" s="52">
        <f>IFERROR(IF(OR(ISBLANK(Q82),ISBLANK(L82)),"",Q82*L82*VLOOKUP(C82,設定!$B$9:$D$23,3,FALSE)),"")</f>
        <v/>
      </c>
      <c r="U82" s="46" t="n"/>
      <c r="V82" s="46" t="n"/>
    </row>
    <row r="83">
      <c r="A83" s="53">
        <f>IF(ISBLANK(B83),"",COUNTA($B$18:B83))</f>
        <v/>
      </c>
      <c r="B83" s="54" t="n"/>
      <c r="C83" s="55" t="n"/>
      <c r="D83" s="55" t="n"/>
      <c r="E83" s="53" t="n"/>
      <c r="F83" s="56" t="n"/>
      <c r="G83" s="56" t="n"/>
      <c r="H83" s="56" t="n"/>
      <c r="I83" s="56" t="n"/>
      <c r="J83" s="56" t="n"/>
      <c r="K83" s="56" t="n"/>
      <c r="L83" s="57" t="n"/>
      <c r="M83" s="56" t="n"/>
      <c r="N83" s="55" t="n"/>
      <c r="O83" s="58">
        <f>IFERROR(IF(OR(ISBLANK(G83),ISBLANK(I83)),"",ABS(G83-I83)/VLOOKUP(C83,設定!$B$9:$D$23,2,FALSE)),"")</f>
        <v/>
      </c>
      <c r="P83" s="57">
        <f>IFERROR(IF(OR(ISBLANK(F83),ISBLANK(H83),ISBLANK(J83)),"",ABS(J83-F83)/ABS(F83-H83)),"")</f>
        <v/>
      </c>
      <c r="Q83" s="59">
        <f>IFERROR(IF(OR(ISBLANK(M83),ISBLANK(D83),ISBLANK(G83)),"",IF(D83="Long",(M83-G83),(G83-M83))/VLOOKUP(C83,設定!$B$9:$D$23,2,FALSE)),"")</f>
        <v/>
      </c>
      <c r="R83" s="60">
        <f>IFERROR(IF(OR(ISBLANK(Q83),O83=0),"",Q83/O83),"")</f>
        <v/>
      </c>
      <c r="S83" s="60">
        <f>IFERROR(IF(ISBLANK(R83),S82,IF(ISNUMBER(S82),S82,0)+R83),"")</f>
        <v/>
      </c>
      <c r="T83" s="61">
        <f>IFERROR(IF(OR(ISBLANK(Q83),ISBLANK(L83)),"",Q83*L83*VLOOKUP(C83,設定!$B$9:$D$23,3,FALSE)),"")</f>
        <v/>
      </c>
      <c r="U83" s="55" t="n"/>
      <c r="V83" s="55" t="n"/>
    </row>
    <row r="84">
      <c r="A84" s="44">
        <f>IF(ISBLANK(B84),"",COUNTA($B$18:B84))</f>
        <v/>
      </c>
      <c r="B84" s="45" t="n"/>
      <c r="C84" s="46" t="n"/>
      <c r="D84" s="46" t="n"/>
      <c r="E84" s="44" t="n"/>
      <c r="F84" s="47" t="n"/>
      <c r="G84" s="47" t="n"/>
      <c r="H84" s="47" t="n"/>
      <c r="I84" s="47" t="n"/>
      <c r="J84" s="47" t="n"/>
      <c r="K84" s="47" t="n"/>
      <c r="L84" s="48" t="n"/>
      <c r="M84" s="47" t="n"/>
      <c r="N84" s="46" t="n"/>
      <c r="O84" s="49">
        <f>IFERROR(IF(OR(ISBLANK(G84),ISBLANK(I84)),"",ABS(G84-I84)/VLOOKUP(C84,設定!$B$9:$D$23,2,FALSE)),"")</f>
        <v/>
      </c>
      <c r="P84" s="48">
        <f>IFERROR(IF(OR(ISBLANK(F84),ISBLANK(H84),ISBLANK(J84)),"",ABS(J84-F84)/ABS(F84-H84)),"")</f>
        <v/>
      </c>
      <c r="Q84" s="50">
        <f>IFERROR(IF(OR(ISBLANK(M84),ISBLANK(D84),ISBLANK(G84)),"",IF(D84="Long",(M84-G84),(G84-M84))/VLOOKUP(C84,設定!$B$9:$D$23,2,FALSE)),"")</f>
        <v/>
      </c>
      <c r="R84" s="51">
        <f>IFERROR(IF(OR(ISBLANK(Q84),O84=0),"",Q84/O84),"")</f>
        <v/>
      </c>
      <c r="S84" s="51">
        <f>IFERROR(IF(ISBLANK(R84),S83,IF(ISNUMBER(S83),S83,0)+R84),"")</f>
        <v/>
      </c>
      <c r="T84" s="52">
        <f>IFERROR(IF(OR(ISBLANK(Q84),ISBLANK(L84)),"",Q84*L84*VLOOKUP(C84,設定!$B$9:$D$23,3,FALSE)),"")</f>
        <v/>
      </c>
      <c r="U84" s="46" t="n"/>
      <c r="V84" s="46" t="n"/>
    </row>
    <row r="85">
      <c r="A85" s="53">
        <f>IF(ISBLANK(B85),"",COUNTA($B$18:B85))</f>
        <v/>
      </c>
      <c r="B85" s="54" t="n"/>
      <c r="C85" s="55" t="n"/>
      <c r="D85" s="55" t="n"/>
      <c r="E85" s="53" t="n"/>
      <c r="F85" s="56" t="n"/>
      <c r="G85" s="56" t="n"/>
      <c r="H85" s="56" t="n"/>
      <c r="I85" s="56" t="n"/>
      <c r="J85" s="56" t="n"/>
      <c r="K85" s="56" t="n"/>
      <c r="L85" s="57" t="n"/>
      <c r="M85" s="56" t="n"/>
      <c r="N85" s="55" t="n"/>
      <c r="O85" s="58">
        <f>IFERROR(IF(OR(ISBLANK(G85),ISBLANK(I85)),"",ABS(G85-I85)/VLOOKUP(C85,設定!$B$9:$D$23,2,FALSE)),"")</f>
        <v/>
      </c>
      <c r="P85" s="57">
        <f>IFERROR(IF(OR(ISBLANK(F85),ISBLANK(H85),ISBLANK(J85)),"",ABS(J85-F85)/ABS(F85-H85)),"")</f>
        <v/>
      </c>
      <c r="Q85" s="59">
        <f>IFERROR(IF(OR(ISBLANK(M85),ISBLANK(D85),ISBLANK(G85)),"",IF(D85="Long",(M85-G85),(G85-M85))/VLOOKUP(C85,設定!$B$9:$D$23,2,FALSE)),"")</f>
        <v/>
      </c>
      <c r="R85" s="60">
        <f>IFERROR(IF(OR(ISBLANK(Q85),O85=0),"",Q85/O85),"")</f>
        <v/>
      </c>
      <c r="S85" s="60">
        <f>IFERROR(IF(ISBLANK(R85),S84,IF(ISNUMBER(S84),S84,0)+R85),"")</f>
        <v/>
      </c>
      <c r="T85" s="61">
        <f>IFERROR(IF(OR(ISBLANK(Q85),ISBLANK(L85)),"",Q85*L85*VLOOKUP(C85,設定!$B$9:$D$23,3,FALSE)),"")</f>
        <v/>
      </c>
      <c r="U85" s="55" t="n"/>
      <c r="V85" s="55" t="n"/>
    </row>
    <row r="86">
      <c r="A86" s="44">
        <f>IF(ISBLANK(B86),"",COUNTA($B$18:B86))</f>
        <v/>
      </c>
      <c r="B86" s="45" t="n"/>
      <c r="C86" s="46" t="n"/>
      <c r="D86" s="46" t="n"/>
      <c r="E86" s="44" t="n"/>
      <c r="F86" s="47" t="n"/>
      <c r="G86" s="47" t="n"/>
      <c r="H86" s="47" t="n"/>
      <c r="I86" s="47" t="n"/>
      <c r="J86" s="47" t="n"/>
      <c r="K86" s="47" t="n"/>
      <c r="L86" s="48" t="n"/>
      <c r="M86" s="47" t="n"/>
      <c r="N86" s="46" t="n"/>
      <c r="O86" s="49">
        <f>IFERROR(IF(OR(ISBLANK(G86),ISBLANK(I86)),"",ABS(G86-I86)/VLOOKUP(C86,設定!$B$9:$D$23,2,FALSE)),"")</f>
        <v/>
      </c>
      <c r="P86" s="48">
        <f>IFERROR(IF(OR(ISBLANK(F86),ISBLANK(H86),ISBLANK(J86)),"",ABS(J86-F86)/ABS(F86-H86)),"")</f>
        <v/>
      </c>
      <c r="Q86" s="50">
        <f>IFERROR(IF(OR(ISBLANK(M86),ISBLANK(D86),ISBLANK(G86)),"",IF(D86="Long",(M86-G86),(G86-M86))/VLOOKUP(C86,設定!$B$9:$D$23,2,FALSE)),"")</f>
        <v/>
      </c>
      <c r="R86" s="51">
        <f>IFERROR(IF(OR(ISBLANK(Q86),O86=0),"",Q86/O86),"")</f>
        <v/>
      </c>
      <c r="S86" s="51">
        <f>IFERROR(IF(ISBLANK(R86),S85,IF(ISNUMBER(S85),S85,0)+R86),"")</f>
        <v/>
      </c>
      <c r="T86" s="52">
        <f>IFERROR(IF(OR(ISBLANK(Q86),ISBLANK(L86)),"",Q86*L86*VLOOKUP(C86,設定!$B$9:$D$23,3,FALSE)),"")</f>
        <v/>
      </c>
      <c r="U86" s="46" t="n"/>
      <c r="V86" s="46" t="n"/>
    </row>
    <row r="87">
      <c r="A87" s="53">
        <f>IF(ISBLANK(B87),"",COUNTA($B$18:B87))</f>
        <v/>
      </c>
      <c r="B87" s="54" t="n"/>
      <c r="C87" s="55" t="n"/>
      <c r="D87" s="55" t="n"/>
      <c r="E87" s="53" t="n"/>
      <c r="F87" s="56" t="n"/>
      <c r="G87" s="56" t="n"/>
      <c r="H87" s="56" t="n"/>
      <c r="I87" s="56" t="n"/>
      <c r="J87" s="56" t="n"/>
      <c r="K87" s="56" t="n"/>
      <c r="L87" s="57" t="n"/>
      <c r="M87" s="56" t="n"/>
      <c r="N87" s="55" t="n"/>
      <c r="O87" s="58">
        <f>IFERROR(IF(OR(ISBLANK(G87),ISBLANK(I87)),"",ABS(G87-I87)/VLOOKUP(C87,設定!$B$9:$D$23,2,FALSE)),"")</f>
        <v/>
      </c>
      <c r="P87" s="57">
        <f>IFERROR(IF(OR(ISBLANK(F87),ISBLANK(H87),ISBLANK(J87)),"",ABS(J87-F87)/ABS(F87-H87)),"")</f>
        <v/>
      </c>
      <c r="Q87" s="59">
        <f>IFERROR(IF(OR(ISBLANK(M87),ISBLANK(D87),ISBLANK(G87)),"",IF(D87="Long",(M87-G87),(G87-M87))/VLOOKUP(C87,設定!$B$9:$D$23,2,FALSE)),"")</f>
        <v/>
      </c>
      <c r="R87" s="60">
        <f>IFERROR(IF(OR(ISBLANK(Q87),O87=0),"",Q87/O87),"")</f>
        <v/>
      </c>
      <c r="S87" s="60">
        <f>IFERROR(IF(ISBLANK(R87),S86,IF(ISNUMBER(S86),S86,0)+R87),"")</f>
        <v/>
      </c>
      <c r="T87" s="61">
        <f>IFERROR(IF(OR(ISBLANK(Q87),ISBLANK(L87)),"",Q87*L87*VLOOKUP(C87,設定!$B$9:$D$23,3,FALSE)),"")</f>
        <v/>
      </c>
      <c r="U87" s="55" t="n"/>
      <c r="V87" s="55" t="n"/>
    </row>
    <row r="88">
      <c r="A88" s="44">
        <f>IF(ISBLANK(B88),"",COUNTA($B$18:B88))</f>
        <v/>
      </c>
      <c r="B88" s="45" t="n"/>
      <c r="C88" s="46" t="n"/>
      <c r="D88" s="46" t="n"/>
      <c r="E88" s="44" t="n"/>
      <c r="F88" s="47" t="n"/>
      <c r="G88" s="47" t="n"/>
      <c r="H88" s="47" t="n"/>
      <c r="I88" s="47" t="n"/>
      <c r="J88" s="47" t="n"/>
      <c r="K88" s="47" t="n"/>
      <c r="L88" s="48" t="n"/>
      <c r="M88" s="47" t="n"/>
      <c r="N88" s="46" t="n"/>
      <c r="O88" s="49">
        <f>IFERROR(IF(OR(ISBLANK(G88),ISBLANK(I88)),"",ABS(G88-I88)/VLOOKUP(C88,設定!$B$9:$D$23,2,FALSE)),"")</f>
        <v/>
      </c>
      <c r="P88" s="48">
        <f>IFERROR(IF(OR(ISBLANK(F88),ISBLANK(H88),ISBLANK(J88)),"",ABS(J88-F88)/ABS(F88-H88)),"")</f>
        <v/>
      </c>
      <c r="Q88" s="50">
        <f>IFERROR(IF(OR(ISBLANK(M88),ISBLANK(D88),ISBLANK(G88)),"",IF(D88="Long",(M88-G88),(G88-M88))/VLOOKUP(C88,設定!$B$9:$D$23,2,FALSE)),"")</f>
        <v/>
      </c>
      <c r="R88" s="51">
        <f>IFERROR(IF(OR(ISBLANK(Q88),O88=0),"",Q88/O88),"")</f>
        <v/>
      </c>
      <c r="S88" s="51">
        <f>IFERROR(IF(ISBLANK(R88),S87,IF(ISNUMBER(S87),S87,0)+R88),"")</f>
        <v/>
      </c>
      <c r="T88" s="52">
        <f>IFERROR(IF(OR(ISBLANK(Q88),ISBLANK(L88)),"",Q88*L88*VLOOKUP(C88,設定!$B$9:$D$23,3,FALSE)),"")</f>
        <v/>
      </c>
      <c r="U88" s="46" t="n"/>
      <c r="V88" s="46" t="n"/>
    </row>
    <row r="89">
      <c r="A89" s="53">
        <f>IF(ISBLANK(B89),"",COUNTA($B$18:B89))</f>
        <v/>
      </c>
      <c r="B89" s="54" t="n"/>
      <c r="C89" s="55" t="n"/>
      <c r="D89" s="55" t="n"/>
      <c r="E89" s="53" t="n"/>
      <c r="F89" s="56" t="n"/>
      <c r="G89" s="56" t="n"/>
      <c r="H89" s="56" t="n"/>
      <c r="I89" s="56" t="n"/>
      <c r="J89" s="56" t="n"/>
      <c r="K89" s="56" t="n"/>
      <c r="L89" s="57" t="n"/>
      <c r="M89" s="56" t="n"/>
      <c r="N89" s="55" t="n"/>
      <c r="O89" s="58">
        <f>IFERROR(IF(OR(ISBLANK(G89),ISBLANK(I89)),"",ABS(G89-I89)/VLOOKUP(C89,設定!$B$9:$D$23,2,FALSE)),"")</f>
        <v/>
      </c>
      <c r="P89" s="57">
        <f>IFERROR(IF(OR(ISBLANK(F89),ISBLANK(H89),ISBLANK(J89)),"",ABS(J89-F89)/ABS(F89-H89)),"")</f>
        <v/>
      </c>
      <c r="Q89" s="59">
        <f>IFERROR(IF(OR(ISBLANK(M89),ISBLANK(D89),ISBLANK(G89)),"",IF(D89="Long",(M89-G89),(G89-M89))/VLOOKUP(C89,設定!$B$9:$D$23,2,FALSE)),"")</f>
        <v/>
      </c>
      <c r="R89" s="60">
        <f>IFERROR(IF(OR(ISBLANK(Q89),O89=0),"",Q89/O89),"")</f>
        <v/>
      </c>
      <c r="S89" s="60">
        <f>IFERROR(IF(ISBLANK(R89),S88,IF(ISNUMBER(S88),S88,0)+R89),"")</f>
        <v/>
      </c>
      <c r="T89" s="61">
        <f>IFERROR(IF(OR(ISBLANK(Q89),ISBLANK(L89)),"",Q89*L89*VLOOKUP(C89,設定!$B$9:$D$23,3,FALSE)),"")</f>
        <v/>
      </c>
      <c r="U89" s="55" t="n"/>
      <c r="V89" s="55" t="n"/>
    </row>
    <row r="90">
      <c r="A90" s="44">
        <f>IF(ISBLANK(B90),"",COUNTA($B$18:B90))</f>
        <v/>
      </c>
      <c r="B90" s="45" t="n"/>
      <c r="C90" s="46" t="n"/>
      <c r="D90" s="46" t="n"/>
      <c r="E90" s="44" t="n"/>
      <c r="F90" s="47" t="n"/>
      <c r="G90" s="47" t="n"/>
      <c r="H90" s="47" t="n"/>
      <c r="I90" s="47" t="n"/>
      <c r="J90" s="47" t="n"/>
      <c r="K90" s="47" t="n"/>
      <c r="L90" s="48" t="n"/>
      <c r="M90" s="47" t="n"/>
      <c r="N90" s="46" t="n"/>
      <c r="O90" s="49">
        <f>IFERROR(IF(OR(ISBLANK(G90),ISBLANK(I90)),"",ABS(G90-I90)/VLOOKUP(C90,設定!$B$9:$D$23,2,FALSE)),"")</f>
        <v/>
      </c>
      <c r="P90" s="48">
        <f>IFERROR(IF(OR(ISBLANK(F90),ISBLANK(H90),ISBLANK(J90)),"",ABS(J90-F90)/ABS(F90-H90)),"")</f>
        <v/>
      </c>
      <c r="Q90" s="50">
        <f>IFERROR(IF(OR(ISBLANK(M90),ISBLANK(D90),ISBLANK(G90)),"",IF(D90="Long",(M90-G90),(G90-M90))/VLOOKUP(C90,設定!$B$9:$D$23,2,FALSE)),"")</f>
        <v/>
      </c>
      <c r="R90" s="51">
        <f>IFERROR(IF(OR(ISBLANK(Q90),O90=0),"",Q90/O90),"")</f>
        <v/>
      </c>
      <c r="S90" s="51">
        <f>IFERROR(IF(ISBLANK(R90),S89,IF(ISNUMBER(S89),S89,0)+R90),"")</f>
        <v/>
      </c>
      <c r="T90" s="52">
        <f>IFERROR(IF(OR(ISBLANK(Q90),ISBLANK(L90)),"",Q90*L90*VLOOKUP(C90,設定!$B$9:$D$23,3,FALSE)),"")</f>
        <v/>
      </c>
      <c r="U90" s="46" t="n"/>
      <c r="V90" s="46" t="n"/>
    </row>
    <row r="91">
      <c r="A91" s="53">
        <f>IF(ISBLANK(B91),"",COUNTA($B$18:B91))</f>
        <v/>
      </c>
      <c r="B91" s="54" t="n"/>
      <c r="C91" s="55" t="n"/>
      <c r="D91" s="55" t="n"/>
      <c r="E91" s="53" t="n"/>
      <c r="F91" s="56" t="n"/>
      <c r="G91" s="56" t="n"/>
      <c r="H91" s="56" t="n"/>
      <c r="I91" s="56" t="n"/>
      <c r="J91" s="56" t="n"/>
      <c r="K91" s="56" t="n"/>
      <c r="L91" s="57" t="n"/>
      <c r="M91" s="56" t="n"/>
      <c r="N91" s="55" t="n"/>
      <c r="O91" s="58">
        <f>IFERROR(IF(OR(ISBLANK(G91),ISBLANK(I91)),"",ABS(G91-I91)/VLOOKUP(C91,設定!$B$9:$D$23,2,FALSE)),"")</f>
        <v/>
      </c>
      <c r="P91" s="57">
        <f>IFERROR(IF(OR(ISBLANK(F91),ISBLANK(H91),ISBLANK(J91)),"",ABS(J91-F91)/ABS(F91-H91)),"")</f>
        <v/>
      </c>
      <c r="Q91" s="59">
        <f>IFERROR(IF(OR(ISBLANK(M91),ISBLANK(D91),ISBLANK(G91)),"",IF(D91="Long",(M91-G91),(G91-M91))/VLOOKUP(C91,設定!$B$9:$D$23,2,FALSE)),"")</f>
        <v/>
      </c>
      <c r="R91" s="60">
        <f>IFERROR(IF(OR(ISBLANK(Q91),O91=0),"",Q91/O91),"")</f>
        <v/>
      </c>
      <c r="S91" s="60">
        <f>IFERROR(IF(ISBLANK(R91),S90,IF(ISNUMBER(S90),S90,0)+R91),"")</f>
        <v/>
      </c>
      <c r="T91" s="61">
        <f>IFERROR(IF(OR(ISBLANK(Q91),ISBLANK(L91)),"",Q91*L91*VLOOKUP(C91,設定!$B$9:$D$23,3,FALSE)),"")</f>
        <v/>
      </c>
      <c r="U91" s="55" t="n"/>
      <c r="V91" s="55" t="n"/>
    </row>
    <row r="92">
      <c r="A92" s="44">
        <f>IF(ISBLANK(B92),"",COUNTA($B$18:B92))</f>
        <v/>
      </c>
      <c r="B92" s="45" t="n"/>
      <c r="C92" s="46" t="n"/>
      <c r="D92" s="46" t="n"/>
      <c r="E92" s="44" t="n"/>
      <c r="F92" s="47" t="n"/>
      <c r="G92" s="47" t="n"/>
      <c r="H92" s="47" t="n"/>
      <c r="I92" s="47" t="n"/>
      <c r="J92" s="47" t="n"/>
      <c r="K92" s="47" t="n"/>
      <c r="L92" s="48" t="n"/>
      <c r="M92" s="47" t="n"/>
      <c r="N92" s="46" t="n"/>
      <c r="O92" s="49">
        <f>IFERROR(IF(OR(ISBLANK(G92),ISBLANK(I92)),"",ABS(G92-I92)/VLOOKUP(C92,設定!$B$9:$D$23,2,FALSE)),"")</f>
        <v/>
      </c>
      <c r="P92" s="48">
        <f>IFERROR(IF(OR(ISBLANK(F92),ISBLANK(H92),ISBLANK(J92)),"",ABS(J92-F92)/ABS(F92-H92)),"")</f>
        <v/>
      </c>
      <c r="Q92" s="50">
        <f>IFERROR(IF(OR(ISBLANK(M92),ISBLANK(D92),ISBLANK(G92)),"",IF(D92="Long",(M92-G92),(G92-M92))/VLOOKUP(C92,設定!$B$9:$D$23,2,FALSE)),"")</f>
        <v/>
      </c>
      <c r="R92" s="51">
        <f>IFERROR(IF(OR(ISBLANK(Q92),O92=0),"",Q92/O92),"")</f>
        <v/>
      </c>
      <c r="S92" s="51">
        <f>IFERROR(IF(ISBLANK(R92),S91,IF(ISNUMBER(S91),S91,0)+R92),"")</f>
        <v/>
      </c>
      <c r="T92" s="52">
        <f>IFERROR(IF(OR(ISBLANK(Q92),ISBLANK(L92)),"",Q92*L92*VLOOKUP(C92,設定!$B$9:$D$23,3,FALSE)),"")</f>
        <v/>
      </c>
      <c r="U92" s="46" t="n"/>
      <c r="V92" s="46" t="n"/>
    </row>
    <row r="93">
      <c r="A93" s="53">
        <f>IF(ISBLANK(B93),"",COUNTA($B$18:B93))</f>
        <v/>
      </c>
      <c r="B93" s="54" t="n"/>
      <c r="C93" s="55" t="n"/>
      <c r="D93" s="55" t="n"/>
      <c r="E93" s="53" t="n"/>
      <c r="F93" s="56" t="n"/>
      <c r="G93" s="56" t="n"/>
      <c r="H93" s="56" t="n"/>
      <c r="I93" s="56" t="n"/>
      <c r="J93" s="56" t="n"/>
      <c r="K93" s="56" t="n"/>
      <c r="L93" s="57" t="n"/>
      <c r="M93" s="56" t="n"/>
      <c r="N93" s="55" t="n"/>
      <c r="O93" s="58">
        <f>IFERROR(IF(OR(ISBLANK(G93),ISBLANK(I93)),"",ABS(G93-I93)/VLOOKUP(C93,設定!$B$9:$D$23,2,FALSE)),"")</f>
        <v/>
      </c>
      <c r="P93" s="57">
        <f>IFERROR(IF(OR(ISBLANK(F93),ISBLANK(H93),ISBLANK(J93)),"",ABS(J93-F93)/ABS(F93-H93)),"")</f>
        <v/>
      </c>
      <c r="Q93" s="59">
        <f>IFERROR(IF(OR(ISBLANK(M93),ISBLANK(D93),ISBLANK(G93)),"",IF(D93="Long",(M93-G93),(G93-M93))/VLOOKUP(C93,設定!$B$9:$D$23,2,FALSE)),"")</f>
        <v/>
      </c>
      <c r="R93" s="60">
        <f>IFERROR(IF(OR(ISBLANK(Q93),O93=0),"",Q93/O93),"")</f>
        <v/>
      </c>
      <c r="S93" s="60">
        <f>IFERROR(IF(ISBLANK(R93),S92,IF(ISNUMBER(S92),S92,0)+R93),"")</f>
        <v/>
      </c>
      <c r="T93" s="61">
        <f>IFERROR(IF(OR(ISBLANK(Q93),ISBLANK(L93)),"",Q93*L93*VLOOKUP(C93,設定!$B$9:$D$23,3,FALSE)),"")</f>
        <v/>
      </c>
      <c r="U93" s="55" t="n"/>
      <c r="V93" s="55" t="n"/>
    </row>
    <row r="94">
      <c r="A94" s="44">
        <f>IF(ISBLANK(B94),"",COUNTA($B$18:B94))</f>
        <v/>
      </c>
      <c r="B94" s="45" t="n"/>
      <c r="C94" s="46" t="n"/>
      <c r="D94" s="46" t="n"/>
      <c r="E94" s="44" t="n"/>
      <c r="F94" s="47" t="n"/>
      <c r="G94" s="47" t="n"/>
      <c r="H94" s="47" t="n"/>
      <c r="I94" s="47" t="n"/>
      <c r="J94" s="47" t="n"/>
      <c r="K94" s="47" t="n"/>
      <c r="L94" s="48" t="n"/>
      <c r="M94" s="47" t="n"/>
      <c r="N94" s="46" t="n"/>
      <c r="O94" s="49">
        <f>IFERROR(IF(OR(ISBLANK(G94),ISBLANK(I94)),"",ABS(G94-I94)/VLOOKUP(C94,設定!$B$9:$D$23,2,FALSE)),"")</f>
        <v/>
      </c>
      <c r="P94" s="48">
        <f>IFERROR(IF(OR(ISBLANK(F94),ISBLANK(H94),ISBLANK(J94)),"",ABS(J94-F94)/ABS(F94-H94)),"")</f>
        <v/>
      </c>
      <c r="Q94" s="50">
        <f>IFERROR(IF(OR(ISBLANK(M94),ISBLANK(D94),ISBLANK(G94)),"",IF(D94="Long",(M94-G94),(G94-M94))/VLOOKUP(C94,設定!$B$9:$D$23,2,FALSE)),"")</f>
        <v/>
      </c>
      <c r="R94" s="51">
        <f>IFERROR(IF(OR(ISBLANK(Q94),O94=0),"",Q94/O94),"")</f>
        <v/>
      </c>
      <c r="S94" s="51">
        <f>IFERROR(IF(ISBLANK(R94),S93,IF(ISNUMBER(S93),S93,0)+R94),"")</f>
        <v/>
      </c>
      <c r="T94" s="52">
        <f>IFERROR(IF(OR(ISBLANK(Q94),ISBLANK(L94)),"",Q94*L94*VLOOKUP(C94,設定!$B$9:$D$23,3,FALSE)),"")</f>
        <v/>
      </c>
      <c r="U94" s="46" t="n"/>
      <c r="V94" s="46" t="n"/>
    </row>
    <row r="95">
      <c r="A95" s="53">
        <f>IF(ISBLANK(B95),"",COUNTA($B$18:B95))</f>
        <v/>
      </c>
      <c r="B95" s="54" t="n"/>
      <c r="C95" s="55" t="n"/>
      <c r="D95" s="55" t="n"/>
      <c r="E95" s="53" t="n"/>
      <c r="F95" s="56" t="n"/>
      <c r="G95" s="56" t="n"/>
      <c r="H95" s="56" t="n"/>
      <c r="I95" s="56" t="n"/>
      <c r="J95" s="56" t="n"/>
      <c r="K95" s="56" t="n"/>
      <c r="L95" s="57" t="n"/>
      <c r="M95" s="56" t="n"/>
      <c r="N95" s="55" t="n"/>
      <c r="O95" s="58">
        <f>IFERROR(IF(OR(ISBLANK(G95),ISBLANK(I95)),"",ABS(G95-I95)/VLOOKUP(C95,設定!$B$9:$D$23,2,FALSE)),"")</f>
        <v/>
      </c>
      <c r="P95" s="57">
        <f>IFERROR(IF(OR(ISBLANK(F95),ISBLANK(H95),ISBLANK(J95)),"",ABS(J95-F95)/ABS(F95-H95)),"")</f>
        <v/>
      </c>
      <c r="Q95" s="59">
        <f>IFERROR(IF(OR(ISBLANK(M95),ISBLANK(D95),ISBLANK(G95)),"",IF(D95="Long",(M95-G95),(G95-M95))/VLOOKUP(C95,設定!$B$9:$D$23,2,FALSE)),"")</f>
        <v/>
      </c>
      <c r="R95" s="60">
        <f>IFERROR(IF(OR(ISBLANK(Q95),O95=0),"",Q95/O95),"")</f>
        <v/>
      </c>
      <c r="S95" s="60">
        <f>IFERROR(IF(ISBLANK(R95),S94,IF(ISNUMBER(S94),S94,0)+R95),"")</f>
        <v/>
      </c>
      <c r="T95" s="61">
        <f>IFERROR(IF(OR(ISBLANK(Q95),ISBLANK(L95)),"",Q95*L95*VLOOKUP(C95,設定!$B$9:$D$23,3,FALSE)),"")</f>
        <v/>
      </c>
      <c r="U95" s="55" t="n"/>
      <c r="V95" s="55" t="n"/>
    </row>
    <row r="96">
      <c r="A96" s="44">
        <f>IF(ISBLANK(B96),"",COUNTA($B$18:B96))</f>
        <v/>
      </c>
      <c r="B96" s="45" t="n"/>
      <c r="C96" s="46" t="n"/>
      <c r="D96" s="46" t="n"/>
      <c r="E96" s="44" t="n"/>
      <c r="F96" s="47" t="n"/>
      <c r="G96" s="47" t="n"/>
      <c r="H96" s="47" t="n"/>
      <c r="I96" s="47" t="n"/>
      <c r="J96" s="47" t="n"/>
      <c r="K96" s="47" t="n"/>
      <c r="L96" s="48" t="n"/>
      <c r="M96" s="47" t="n"/>
      <c r="N96" s="46" t="n"/>
      <c r="O96" s="49">
        <f>IFERROR(IF(OR(ISBLANK(G96),ISBLANK(I96)),"",ABS(G96-I96)/VLOOKUP(C96,設定!$B$9:$D$23,2,FALSE)),"")</f>
        <v/>
      </c>
      <c r="P96" s="48">
        <f>IFERROR(IF(OR(ISBLANK(F96),ISBLANK(H96),ISBLANK(J96)),"",ABS(J96-F96)/ABS(F96-H96)),"")</f>
        <v/>
      </c>
      <c r="Q96" s="50">
        <f>IFERROR(IF(OR(ISBLANK(M96),ISBLANK(D96),ISBLANK(G96)),"",IF(D96="Long",(M96-G96),(G96-M96))/VLOOKUP(C96,設定!$B$9:$D$23,2,FALSE)),"")</f>
        <v/>
      </c>
      <c r="R96" s="51">
        <f>IFERROR(IF(OR(ISBLANK(Q96),O96=0),"",Q96/O96),"")</f>
        <v/>
      </c>
      <c r="S96" s="51">
        <f>IFERROR(IF(ISBLANK(R96),S95,IF(ISNUMBER(S95),S95,0)+R96),"")</f>
        <v/>
      </c>
      <c r="T96" s="52">
        <f>IFERROR(IF(OR(ISBLANK(Q96),ISBLANK(L96)),"",Q96*L96*VLOOKUP(C96,設定!$B$9:$D$23,3,FALSE)),"")</f>
        <v/>
      </c>
      <c r="U96" s="46" t="n"/>
      <c r="V96" s="46" t="n"/>
    </row>
    <row r="97">
      <c r="A97" s="53">
        <f>IF(ISBLANK(B97),"",COUNTA($B$18:B97))</f>
        <v/>
      </c>
      <c r="B97" s="54" t="n"/>
      <c r="C97" s="55" t="n"/>
      <c r="D97" s="55" t="n"/>
      <c r="E97" s="53" t="n"/>
      <c r="F97" s="56" t="n"/>
      <c r="G97" s="56" t="n"/>
      <c r="H97" s="56" t="n"/>
      <c r="I97" s="56" t="n"/>
      <c r="J97" s="56" t="n"/>
      <c r="K97" s="56" t="n"/>
      <c r="L97" s="57" t="n"/>
      <c r="M97" s="56" t="n"/>
      <c r="N97" s="55" t="n"/>
      <c r="O97" s="58">
        <f>IFERROR(IF(OR(ISBLANK(G97),ISBLANK(I97)),"",ABS(G97-I97)/VLOOKUP(C97,設定!$B$9:$D$23,2,FALSE)),"")</f>
        <v/>
      </c>
      <c r="P97" s="57">
        <f>IFERROR(IF(OR(ISBLANK(F97),ISBLANK(H97),ISBLANK(J97)),"",ABS(J97-F97)/ABS(F97-H97)),"")</f>
        <v/>
      </c>
      <c r="Q97" s="59">
        <f>IFERROR(IF(OR(ISBLANK(M97),ISBLANK(D97),ISBLANK(G97)),"",IF(D97="Long",(M97-G97),(G97-M97))/VLOOKUP(C97,設定!$B$9:$D$23,2,FALSE)),"")</f>
        <v/>
      </c>
      <c r="R97" s="60">
        <f>IFERROR(IF(OR(ISBLANK(Q97),O97=0),"",Q97/O97),"")</f>
        <v/>
      </c>
      <c r="S97" s="60">
        <f>IFERROR(IF(ISBLANK(R97),S96,IF(ISNUMBER(S96),S96,0)+R97),"")</f>
        <v/>
      </c>
      <c r="T97" s="61">
        <f>IFERROR(IF(OR(ISBLANK(Q97),ISBLANK(L97)),"",Q97*L97*VLOOKUP(C97,設定!$B$9:$D$23,3,FALSE)),"")</f>
        <v/>
      </c>
      <c r="U97" s="55" t="n"/>
      <c r="V97" s="55" t="n"/>
    </row>
    <row r="98">
      <c r="A98" s="44">
        <f>IF(ISBLANK(B98),"",COUNTA($B$18:B98))</f>
        <v/>
      </c>
      <c r="B98" s="45" t="n"/>
      <c r="C98" s="46" t="n"/>
      <c r="D98" s="46" t="n"/>
      <c r="E98" s="44" t="n"/>
      <c r="F98" s="47" t="n"/>
      <c r="G98" s="47" t="n"/>
      <c r="H98" s="47" t="n"/>
      <c r="I98" s="47" t="n"/>
      <c r="J98" s="47" t="n"/>
      <c r="K98" s="47" t="n"/>
      <c r="L98" s="48" t="n"/>
      <c r="M98" s="47" t="n"/>
      <c r="N98" s="46" t="n"/>
      <c r="O98" s="49">
        <f>IFERROR(IF(OR(ISBLANK(G98),ISBLANK(I98)),"",ABS(G98-I98)/VLOOKUP(C98,設定!$B$9:$D$23,2,FALSE)),"")</f>
        <v/>
      </c>
      <c r="P98" s="48">
        <f>IFERROR(IF(OR(ISBLANK(F98),ISBLANK(H98),ISBLANK(J98)),"",ABS(J98-F98)/ABS(F98-H98)),"")</f>
        <v/>
      </c>
      <c r="Q98" s="50">
        <f>IFERROR(IF(OR(ISBLANK(M98),ISBLANK(D98),ISBLANK(G98)),"",IF(D98="Long",(M98-G98),(G98-M98))/VLOOKUP(C98,設定!$B$9:$D$23,2,FALSE)),"")</f>
        <v/>
      </c>
      <c r="R98" s="51">
        <f>IFERROR(IF(OR(ISBLANK(Q98),O98=0),"",Q98/O98),"")</f>
        <v/>
      </c>
      <c r="S98" s="51">
        <f>IFERROR(IF(ISBLANK(R98),S97,IF(ISNUMBER(S97),S97,0)+R98),"")</f>
        <v/>
      </c>
      <c r="T98" s="52">
        <f>IFERROR(IF(OR(ISBLANK(Q98),ISBLANK(L98)),"",Q98*L98*VLOOKUP(C98,設定!$B$9:$D$23,3,FALSE)),"")</f>
        <v/>
      </c>
      <c r="U98" s="46" t="n"/>
      <c r="V98" s="46" t="n"/>
    </row>
    <row r="99">
      <c r="A99" s="53">
        <f>IF(ISBLANK(B99),"",COUNTA($B$18:B99))</f>
        <v/>
      </c>
      <c r="B99" s="54" t="n"/>
      <c r="C99" s="55" t="n"/>
      <c r="D99" s="55" t="n"/>
      <c r="E99" s="53" t="n"/>
      <c r="F99" s="56" t="n"/>
      <c r="G99" s="56" t="n"/>
      <c r="H99" s="56" t="n"/>
      <c r="I99" s="56" t="n"/>
      <c r="J99" s="56" t="n"/>
      <c r="K99" s="56" t="n"/>
      <c r="L99" s="57" t="n"/>
      <c r="M99" s="56" t="n"/>
      <c r="N99" s="55" t="n"/>
      <c r="O99" s="58">
        <f>IFERROR(IF(OR(ISBLANK(G99),ISBLANK(I99)),"",ABS(G99-I99)/VLOOKUP(C99,設定!$B$9:$D$23,2,FALSE)),"")</f>
        <v/>
      </c>
      <c r="P99" s="57">
        <f>IFERROR(IF(OR(ISBLANK(F99),ISBLANK(H99),ISBLANK(J99)),"",ABS(J99-F99)/ABS(F99-H99)),"")</f>
        <v/>
      </c>
      <c r="Q99" s="59">
        <f>IFERROR(IF(OR(ISBLANK(M99),ISBLANK(D99),ISBLANK(G99)),"",IF(D99="Long",(M99-G99),(G99-M99))/VLOOKUP(C99,設定!$B$9:$D$23,2,FALSE)),"")</f>
        <v/>
      </c>
      <c r="R99" s="60">
        <f>IFERROR(IF(OR(ISBLANK(Q99),O99=0),"",Q99/O99),"")</f>
        <v/>
      </c>
      <c r="S99" s="60">
        <f>IFERROR(IF(ISBLANK(R99),S98,IF(ISNUMBER(S98),S98,0)+R99),"")</f>
        <v/>
      </c>
      <c r="T99" s="61">
        <f>IFERROR(IF(OR(ISBLANK(Q99),ISBLANK(L99)),"",Q99*L99*VLOOKUP(C99,設定!$B$9:$D$23,3,FALSE)),"")</f>
        <v/>
      </c>
      <c r="U99" s="55" t="n"/>
      <c r="V99" s="55" t="n"/>
    </row>
    <row r="100">
      <c r="A100" s="44">
        <f>IF(ISBLANK(B100),"",COUNTA($B$18:B100))</f>
        <v/>
      </c>
      <c r="B100" s="45" t="n"/>
      <c r="C100" s="46" t="n"/>
      <c r="D100" s="46" t="n"/>
      <c r="E100" s="44" t="n"/>
      <c r="F100" s="47" t="n"/>
      <c r="G100" s="47" t="n"/>
      <c r="H100" s="47" t="n"/>
      <c r="I100" s="47" t="n"/>
      <c r="J100" s="47" t="n"/>
      <c r="K100" s="47" t="n"/>
      <c r="L100" s="48" t="n"/>
      <c r="M100" s="47" t="n"/>
      <c r="N100" s="46" t="n"/>
      <c r="O100" s="49">
        <f>IFERROR(IF(OR(ISBLANK(G100),ISBLANK(I100)),"",ABS(G100-I100)/VLOOKUP(C100,設定!$B$9:$D$23,2,FALSE)),"")</f>
        <v/>
      </c>
      <c r="P100" s="48">
        <f>IFERROR(IF(OR(ISBLANK(F100),ISBLANK(H100),ISBLANK(J100)),"",ABS(J100-F100)/ABS(F100-H100)),"")</f>
        <v/>
      </c>
      <c r="Q100" s="50">
        <f>IFERROR(IF(OR(ISBLANK(M100),ISBLANK(D100),ISBLANK(G100)),"",IF(D100="Long",(M100-G100),(G100-M100))/VLOOKUP(C100,設定!$B$9:$D$23,2,FALSE)),"")</f>
        <v/>
      </c>
      <c r="R100" s="51">
        <f>IFERROR(IF(OR(ISBLANK(Q100),O100=0),"",Q100/O100),"")</f>
        <v/>
      </c>
      <c r="S100" s="51">
        <f>IFERROR(IF(ISBLANK(R100),S99,IF(ISNUMBER(S99),S99,0)+R100),"")</f>
        <v/>
      </c>
      <c r="T100" s="52">
        <f>IFERROR(IF(OR(ISBLANK(Q100),ISBLANK(L100)),"",Q100*L100*VLOOKUP(C100,設定!$B$9:$D$23,3,FALSE)),"")</f>
        <v/>
      </c>
      <c r="U100" s="46" t="n"/>
      <c r="V100" s="46" t="n"/>
    </row>
    <row r="101">
      <c r="A101" s="53">
        <f>IF(ISBLANK(B101),"",COUNTA($B$18:B101))</f>
        <v/>
      </c>
      <c r="B101" s="54" t="n"/>
      <c r="C101" s="55" t="n"/>
      <c r="D101" s="55" t="n"/>
      <c r="E101" s="53" t="n"/>
      <c r="F101" s="56" t="n"/>
      <c r="G101" s="56" t="n"/>
      <c r="H101" s="56" t="n"/>
      <c r="I101" s="56" t="n"/>
      <c r="J101" s="56" t="n"/>
      <c r="K101" s="56" t="n"/>
      <c r="L101" s="57" t="n"/>
      <c r="M101" s="56" t="n"/>
      <c r="N101" s="55" t="n"/>
      <c r="O101" s="58">
        <f>IFERROR(IF(OR(ISBLANK(G101),ISBLANK(I101)),"",ABS(G101-I101)/VLOOKUP(C101,設定!$B$9:$D$23,2,FALSE)),"")</f>
        <v/>
      </c>
      <c r="P101" s="57">
        <f>IFERROR(IF(OR(ISBLANK(F101),ISBLANK(H101),ISBLANK(J101)),"",ABS(J101-F101)/ABS(F101-H101)),"")</f>
        <v/>
      </c>
      <c r="Q101" s="59">
        <f>IFERROR(IF(OR(ISBLANK(M101),ISBLANK(D101),ISBLANK(G101)),"",IF(D101="Long",(M101-G101),(G101-M101))/VLOOKUP(C101,設定!$B$9:$D$23,2,FALSE)),"")</f>
        <v/>
      </c>
      <c r="R101" s="60">
        <f>IFERROR(IF(OR(ISBLANK(Q101),O101=0),"",Q101/O101),"")</f>
        <v/>
      </c>
      <c r="S101" s="60">
        <f>IFERROR(IF(ISBLANK(R101),S100,IF(ISNUMBER(S100),S100,0)+R101),"")</f>
        <v/>
      </c>
      <c r="T101" s="61">
        <f>IFERROR(IF(OR(ISBLANK(Q101),ISBLANK(L101)),"",Q101*L101*VLOOKUP(C101,設定!$B$9:$D$23,3,FALSE)),"")</f>
        <v/>
      </c>
      <c r="U101" s="55" t="n"/>
      <c r="V101" s="55" t="n"/>
    </row>
    <row r="102">
      <c r="A102" s="44">
        <f>IF(ISBLANK(B102),"",COUNTA($B$18:B102))</f>
        <v/>
      </c>
      <c r="B102" s="45" t="n"/>
      <c r="C102" s="46" t="n"/>
      <c r="D102" s="46" t="n"/>
      <c r="E102" s="44" t="n"/>
      <c r="F102" s="47" t="n"/>
      <c r="G102" s="47" t="n"/>
      <c r="H102" s="47" t="n"/>
      <c r="I102" s="47" t="n"/>
      <c r="J102" s="47" t="n"/>
      <c r="K102" s="47" t="n"/>
      <c r="L102" s="48" t="n"/>
      <c r="M102" s="47" t="n"/>
      <c r="N102" s="46" t="n"/>
      <c r="O102" s="49">
        <f>IFERROR(IF(OR(ISBLANK(G102),ISBLANK(I102)),"",ABS(G102-I102)/VLOOKUP(C102,設定!$B$9:$D$23,2,FALSE)),"")</f>
        <v/>
      </c>
      <c r="P102" s="48">
        <f>IFERROR(IF(OR(ISBLANK(F102),ISBLANK(H102),ISBLANK(J102)),"",ABS(J102-F102)/ABS(F102-H102)),"")</f>
        <v/>
      </c>
      <c r="Q102" s="50">
        <f>IFERROR(IF(OR(ISBLANK(M102),ISBLANK(D102),ISBLANK(G102)),"",IF(D102="Long",(M102-G102),(G102-M102))/VLOOKUP(C102,設定!$B$9:$D$23,2,FALSE)),"")</f>
        <v/>
      </c>
      <c r="R102" s="51">
        <f>IFERROR(IF(OR(ISBLANK(Q102),O102=0),"",Q102/O102),"")</f>
        <v/>
      </c>
      <c r="S102" s="51">
        <f>IFERROR(IF(ISBLANK(R102),S101,IF(ISNUMBER(S101),S101,0)+R102),"")</f>
        <v/>
      </c>
      <c r="T102" s="52">
        <f>IFERROR(IF(OR(ISBLANK(Q102),ISBLANK(L102)),"",Q102*L102*VLOOKUP(C102,設定!$B$9:$D$23,3,FALSE)),"")</f>
        <v/>
      </c>
      <c r="U102" s="46" t="n"/>
      <c r="V102" s="46" t="n"/>
    </row>
    <row r="103">
      <c r="A103" s="53">
        <f>IF(ISBLANK(B103),"",COUNTA($B$18:B103))</f>
        <v/>
      </c>
      <c r="B103" s="54" t="n"/>
      <c r="C103" s="55" t="n"/>
      <c r="D103" s="55" t="n"/>
      <c r="E103" s="53" t="n"/>
      <c r="F103" s="56" t="n"/>
      <c r="G103" s="56" t="n"/>
      <c r="H103" s="56" t="n"/>
      <c r="I103" s="56" t="n"/>
      <c r="J103" s="56" t="n"/>
      <c r="K103" s="56" t="n"/>
      <c r="L103" s="57" t="n"/>
      <c r="M103" s="56" t="n"/>
      <c r="N103" s="55" t="n"/>
      <c r="O103" s="58">
        <f>IFERROR(IF(OR(ISBLANK(G103),ISBLANK(I103)),"",ABS(G103-I103)/VLOOKUP(C103,設定!$B$9:$D$23,2,FALSE)),"")</f>
        <v/>
      </c>
      <c r="P103" s="57">
        <f>IFERROR(IF(OR(ISBLANK(F103),ISBLANK(H103),ISBLANK(J103)),"",ABS(J103-F103)/ABS(F103-H103)),"")</f>
        <v/>
      </c>
      <c r="Q103" s="59">
        <f>IFERROR(IF(OR(ISBLANK(M103),ISBLANK(D103),ISBLANK(G103)),"",IF(D103="Long",(M103-G103),(G103-M103))/VLOOKUP(C103,設定!$B$9:$D$23,2,FALSE)),"")</f>
        <v/>
      </c>
      <c r="R103" s="60">
        <f>IFERROR(IF(OR(ISBLANK(Q103),O103=0),"",Q103/O103),"")</f>
        <v/>
      </c>
      <c r="S103" s="60">
        <f>IFERROR(IF(ISBLANK(R103),S102,IF(ISNUMBER(S102),S102,0)+R103),"")</f>
        <v/>
      </c>
      <c r="T103" s="61">
        <f>IFERROR(IF(OR(ISBLANK(Q103),ISBLANK(L103)),"",Q103*L103*VLOOKUP(C103,設定!$B$9:$D$23,3,FALSE)),"")</f>
        <v/>
      </c>
      <c r="U103" s="55" t="n"/>
      <c r="V103" s="55" t="n"/>
    </row>
    <row r="104">
      <c r="A104" s="44">
        <f>IF(ISBLANK(B104),"",COUNTA($B$18:B104))</f>
        <v/>
      </c>
      <c r="B104" s="45" t="n"/>
      <c r="C104" s="46" t="n"/>
      <c r="D104" s="46" t="n"/>
      <c r="E104" s="44" t="n"/>
      <c r="F104" s="47" t="n"/>
      <c r="G104" s="47" t="n"/>
      <c r="H104" s="47" t="n"/>
      <c r="I104" s="47" t="n"/>
      <c r="J104" s="47" t="n"/>
      <c r="K104" s="47" t="n"/>
      <c r="L104" s="48" t="n"/>
      <c r="M104" s="47" t="n"/>
      <c r="N104" s="46" t="n"/>
      <c r="O104" s="49">
        <f>IFERROR(IF(OR(ISBLANK(G104),ISBLANK(I104)),"",ABS(G104-I104)/VLOOKUP(C104,設定!$B$9:$D$23,2,FALSE)),"")</f>
        <v/>
      </c>
      <c r="P104" s="48">
        <f>IFERROR(IF(OR(ISBLANK(F104),ISBLANK(H104),ISBLANK(J104)),"",ABS(J104-F104)/ABS(F104-H104)),"")</f>
        <v/>
      </c>
      <c r="Q104" s="50">
        <f>IFERROR(IF(OR(ISBLANK(M104),ISBLANK(D104),ISBLANK(G104)),"",IF(D104="Long",(M104-G104),(G104-M104))/VLOOKUP(C104,設定!$B$9:$D$23,2,FALSE)),"")</f>
        <v/>
      </c>
      <c r="R104" s="51">
        <f>IFERROR(IF(OR(ISBLANK(Q104),O104=0),"",Q104/O104),"")</f>
        <v/>
      </c>
      <c r="S104" s="51">
        <f>IFERROR(IF(ISBLANK(R104),S103,IF(ISNUMBER(S103),S103,0)+R104),"")</f>
        <v/>
      </c>
      <c r="T104" s="52">
        <f>IFERROR(IF(OR(ISBLANK(Q104),ISBLANK(L104)),"",Q104*L104*VLOOKUP(C104,設定!$B$9:$D$23,3,FALSE)),"")</f>
        <v/>
      </c>
      <c r="U104" s="46" t="n"/>
      <c r="V104" s="46" t="n"/>
    </row>
    <row r="105">
      <c r="A105" s="53">
        <f>IF(ISBLANK(B105),"",COUNTA($B$18:B105))</f>
        <v/>
      </c>
      <c r="B105" s="54" t="n"/>
      <c r="C105" s="55" t="n"/>
      <c r="D105" s="55" t="n"/>
      <c r="E105" s="53" t="n"/>
      <c r="F105" s="56" t="n"/>
      <c r="G105" s="56" t="n"/>
      <c r="H105" s="56" t="n"/>
      <c r="I105" s="56" t="n"/>
      <c r="J105" s="56" t="n"/>
      <c r="K105" s="56" t="n"/>
      <c r="L105" s="57" t="n"/>
      <c r="M105" s="56" t="n"/>
      <c r="N105" s="55" t="n"/>
      <c r="O105" s="58">
        <f>IFERROR(IF(OR(ISBLANK(G105),ISBLANK(I105)),"",ABS(G105-I105)/VLOOKUP(C105,設定!$B$9:$D$23,2,FALSE)),"")</f>
        <v/>
      </c>
      <c r="P105" s="57">
        <f>IFERROR(IF(OR(ISBLANK(F105),ISBLANK(H105),ISBLANK(J105)),"",ABS(J105-F105)/ABS(F105-H105)),"")</f>
        <v/>
      </c>
      <c r="Q105" s="59">
        <f>IFERROR(IF(OR(ISBLANK(M105),ISBLANK(D105),ISBLANK(G105)),"",IF(D105="Long",(M105-G105),(G105-M105))/VLOOKUP(C105,設定!$B$9:$D$23,2,FALSE)),"")</f>
        <v/>
      </c>
      <c r="R105" s="60">
        <f>IFERROR(IF(OR(ISBLANK(Q105),O105=0),"",Q105/O105),"")</f>
        <v/>
      </c>
      <c r="S105" s="60">
        <f>IFERROR(IF(ISBLANK(R105),S104,IF(ISNUMBER(S104),S104,0)+R105),"")</f>
        <v/>
      </c>
      <c r="T105" s="61">
        <f>IFERROR(IF(OR(ISBLANK(Q105),ISBLANK(L105)),"",Q105*L105*VLOOKUP(C105,設定!$B$9:$D$23,3,FALSE)),"")</f>
        <v/>
      </c>
      <c r="U105" s="55" t="n"/>
      <c r="V105" s="55" t="n"/>
    </row>
    <row r="106">
      <c r="A106" s="44">
        <f>IF(ISBLANK(B106),"",COUNTA($B$18:B106))</f>
        <v/>
      </c>
      <c r="B106" s="45" t="n"/>
      <c r="C106" s="46" t="n"/>
      <c r="D106" s="46" t="n"/>
      <c r="E106" s="44" t="n"/>
      <c r="F106" s="47" t="n"/>
      <c r="G106" s="47" t="n"/>
      <c r="H106" s="47" t="n"/>
      <c r="I106" s="47" t="n"/>
      <c r="J106" s="47" t="n"/>
      <c r="K106" s="47" t="n"/>
      <c r="L106" s="48" t="n"/>
      <c r="M106" s="47" t="n"/>
      <c r="N106" s="46" t="n"/>
      <c r="O106" s="49">
        <f>IFERROR(IF(OR(ISBLANK(G106),ISBLANK(I106)),"",ABS(G106-I106)/VLOOKUP(C106,設定!$B$9:$D$23,2,FALSE)),"")</f>
        <v/>
      </c>
      <c r="P106" s="48">
        <f>IFERROR(IF(OR(ISBLANK(F106),ISBLANK(H106),ISBLANK(J106)),"",ABS(J106-F106)/ABS(F106-H106)),"")</f>
        <v/>
      </c>
      <c r="Q106" s="50">
        <f>IFERROR(IF(OR(ISBLANK(M106),ISBLANK(D106),ISBLANK(G106)),"",IF(D106="Long",(M106-G106),(G106-M106))/VLOOKUP(C106,設定!$B$9:$D$23,2,FALSE)),"")</f>
        <v/>
      </c>
      <c r="R106" s="51">
        <f>IFERROR(IF(OR(ISBLANK(Q106),O106=0),"",Q106/O106),"")</f>
        <v/>
      </c>
      <c r="S106" s="51">
        <f>IFERROR(IF(ISBLANK(R106),S105,IF(ISNUMBER(S105),S105,0)+R106),"")</f>
        <v/>
      </c>
      <c r="T106" s="52">
        <f>IFERROR(IF(OR(ISBLANK(Q106),ISBLANK(L106)),"",Q106*L106*VLOOKUP(C106,設定!$B$9:$D$23,3,FALSE)),"")</f>
        <v/>
      </c>
      <c r="U106" s="46" t="n"/>
      <c r="V106" s="46" t="n"/>
    </row>
    <row r="107">
      <c r="A107" s="53">
        <f>IF(ISBLANK(B107),"",COUNTA($B$18:B107))</f>
        <v/>
      </c>
      <c r="B107" s="54" t="n"/>
      <c r="C107" s="55" t="n"/>
      <c r="D107" s="55" t="n"/>
      <c r="E107" s="53" t="n"/>
      <c r="F107" s="56" t="n"/>
      <c r="G107" s="56" t="n"/>
      <c r="H107" s="56" t="n"/>
      <c r="I107" s="56" t="n"/>
      <c r="J107" s="56" t="n"/>
      <c r="K107" s="56" t="n"/>
      <c r="L107" s="57" t="n"/>
      <c r="M107" s="56" t="n"/>
      <c r="N107" s="55" t="n"/>
      <c r="O107" s="58">
        <f>IFERROR(IF(OR(ISBLANK(G107),ISBLANK(I107)),"",ABS(G107-I107)/VLOOKUP(C107,設定!$B$9:$D$23,2,FALSE)),"")</f>
        <v/>
      </c>
      <c r="P107" s="57">
        <f>IFERROR(IF(OR(ISBLANK(F107),ISBLANK(H107),ISBLANK(J107)),"",ABS(J107-F107)/ABS(F107-H107)),"")</f>
        <v/>
      </c>
      <c r="Q107" s="59">
        <f>IFERROR(IF(OR(ISBLANK(M107),ISBLANK(D107),ISBLANK(G107)),"",IF(D107="Long",(M107-G107),(G107-M107))/VLOOKUP(C107,設定!$B$9:$D$23,2,FALSE)),"")</f>
        <v/>
      </c>
      <c r="R107" s="60">
        <f>IFERROR(IF(OR(ISBLANK(Q107),O107=0),"",Q107/O107),"")</f>
        <v/>
      </c>
      <c r="S107" s="60">
        <f>IFERROR(IF(ISBLANK(R107),S106,IF(ISNUMBER(S106),S106,0)+R107),"")</f>
        <v/>
      </c>
      <c r="T107" s="61">
        <f>IFERROR(IF(OR(ISBLANK(Q107),ISBLANK(L107)),"",Q107*L107*VLOOKUP(C107,設定!$B$9:$D$23,3,FALSE)),"")</f>
        <v/>
      </c>
      <c r="U107" s="55" t="n"/>
      <c r="V107" s="55" t="n"/>
    </row>
    <row r="108">
      <c r="A108" s="44">
        <f>IF(ISBLANK(B108),"",COUNTA($B$18:B108))</f>
        <v/>
      </c>
      <c r="B108" s="45" t="n"/>
      <c r="C108" s="46" t="n"/>
      <c r="D108" s="46" t="n"/>
      <c r="E108" s="44" t="n"/>
      <c r="F108" s="47" t="n"/>
      <c r="G108" s="47" t="n"/>
      <c r="H108" s="47" t="n"/>
      <c r="I108" s="47" t="n"/>
      <c r="J108" s="47" t="n"/>
      <c r="K108" s="47" t="n"/>
      <c r="L108" s="48" t="n"/>
      <c r="M108" s="47" t="n"/>
      <c r="N108" s="46" t="n"/>
      <c r="O108" s="49">
        <f>IFERROR(IF(OR(ISBLANK(G108),ISBLANK(I108)),"",ABS(G108-I108)/VLOOKUP(C108,設定!$B$9:$D$23,2,FALSE)),"")</f>
        <v/>
      </c>
      <c r="P108" s="48">
        <f>IFERROR(IF(OR(ISBLANK(F108),ISBLANK(H108),ISBLANK(J108)),"",ABS(J108-F108)/ABS(F108-H108)),"")</f>
        <v/>
      </c>
      <c r="Q108" s="50">
        <f>IFERROR(IF(OR(ISBLANK(M108),ISBLANK(D108),ISBLANK(G108)),"",IF(D108="Long",(M108-G108),(G108-M108))/VLOOKUP(C108,設定!$B$9:$D$23,2,FALSE)),"")</f>
        <v/>
      </c>
      <c r="R108" s="51">
        <f>IFERROR(IF(OR(ISBLANK(Q108),O108=0),"",Q108/O108),"")</f>
        <v/>
      </c>
      <c r="S108" s="51">
        <f>IFERROR(IF(ISBLANK(R108),S107,IF(ISNUMBER(S107),S107,0)+R108),"")</f>
        <v/>
      </c>
      <c r="T108" s="52">
        <f>IFERROR(IF(OR(ISBLANK(Q108),ISBLANK(L108)),"",Q108*L108*VLOOKUP(C108,設定!$B$9:$D$23,3,FALSE)),"")</f>
        <v/>
      </c>
      <c r="U108" s="46" t="n"/>
      <c r="V108" s="46" t="n"/>
    </row>
    <row r="109">
      <c r="A109" s="53">
        <f>IF(ISBLANK(B109),"",COUNTA($B$18:B109))</f>
        <v/>
      </c>
      <c r="B109" s="54" t="n"/>
      <c r="C109" s="55" t="n"/>
      <c r="D109" s="55" t="n"/>
      <c r="E109" s="53" t="n"/>
      <c r="F109" s="56" t="n"/>
      <c r="G109" s="56" t="n"/>
      <c r="H109" s="56" t="n"/>
      <c r="I109" s="56" t="n"/>
      <c r="J109" s="56" t="n"/>
      <c r="K109" s="56" t="n"/>
      <c r="L109" s="57" t="n"/>
      <c r="M109" s="56" t="n"/>
      <c r="N109" s="55" t="n"/>
      <c r="O109" s="58">
        <f>IFERROR(IF(OR(ISBLANK(G109),ISBLANK(I109)),"",ABS(G109-I109)/VLOOKUP(C109,設定!$B$9:$D$23,2,FALSE)),"")</f>
        <v/>
      </c>
      <c r="P109" s="57">
        <f>IFERROR(IF(OR(ISBLANK(F109),ISBLANK(H109),ISBLANK(J109)),"",ABS(J109-F109)/ABS(F109-H109)),"")</f>
        <v/>
      </c>
      <c r="Q109" s="59">
        <f>IFERROR(IF(OR(ISBLANK(M109),ISBLANK(D109),ISBLANK(G109)),"",IF(D109="Long",(M109-G109),(G109-M109))/VLOOKUP(C109,設定!$B$9:$D$23,2,FALSE)),"")</f>
        <v/>
      </c>
      <c r="R109" s="60">
        <f>IFERROR(IF(OR(ISBLANK(Q109),O109=0),"",Q109/O109),"")</f>
        <v/>
      </c>
      <c r="S109" s="60">
        <f>IFERROR(IF(ISBLANK(R109),S108,IF(ISNUMBER(S108),S108,0)+R109),"")</f>
        <v/>
      </c>
      <c r="T109" s="61">
        <f>IFERROR(IF(OR(ISBLANK(Q109),ISBLANK(L109)),"",Q109*L109*VLOOKUP(C109,設定!$B$9:$D$23,3,FALSE)),"")</f>
        <v/>
      </c>
      <c r="U109" s="55" t="n"/>
      <c r="V109" s="55" t="n"/>
    </row>
    <row r="110">
      <c r="A110" s="44">
        <f>IF(ISBLANK(B110),"",COUNTA($B$18:B110))</f>
        <v/>
      </c>
      <c r="B110" s="45" t="n"/>
      <c r="C110" s="46" t="n"/>
      <c r="D110" s="46" t="n"/>
      <c r="E110" s="44" t="n"/>
      <c r="F110" s="47" t="n"/>
      <c r="G110" s="47" t="n"/>
      <c r="H110" s="47" t="n"/>
      <c r="I110" s="47" t="n"/>
      <c r="J110" s="47" t="n"/>
      <c r="K110" s="47" t="n"/>
      <c r="L110" s="48" t="n"/>
      <c r="M110" s="47" t="n"/>
      <c r="N110" s="46" t="n"/>
      <c r="O110" s="49">
        <f>IFERROR(IF(OR(ISBLANK(G110),ISBLANK(I110)),"",ABS(G110-I110)/VLOOKUP(C110,設定!$B$9:$D$23,2,FALSE)),"")</f>
        <v/>
      </c>
      <c r="P110" s="48">
        <f>IFERROR(IF(OR(ISBLANK(F110),ISBLANK(H110),ISBLANK(J110)),"",ABS(J110-F110)/ABS(F110-H110)),"")</f>
        <v/>
      </c>
      <c r="Q110" s="50">
        <f>IFERROR(IF(OR(ISBLANK(M110),ISBLANK(D110),ISBLANK(G110)),"",IF(D110="Long",(M110-G110),(G110-M110))/VLOOKUP(C110,設定!$B$9:$D$23,2,FALSE)),"")</f>
        <v/>
      </c>
      <c r="R110" s="51">
        <f>IFERROR(IF(OR(ISBLANK(Q110),O110=0),"",Q110/O110),"")</f>
        <v/>
      </c>
      <c r="S110" s="51">
        <f>IFERROR(IF(ISBLANK(R110),S109,IF(ISNUMBER(S109),S109,0)+R110),"")</f>
        <v/>
      </c>
      <c r="T110" s="52">
        <f>IFERROR(IF(OR(ISBLANK(Q110),ISBLANK(L110)),"",Q110*L110*VLOOKUP(C110,設定!$B$9:$D$23,3,FALSE)),"")</f>
        <v/>
      </c>
      <c r="U110" s="46" t="n"/>
      <c r="V110" s="46" t="n"/>
    </row>
    <row r="111">
      <c r="A111" s="53">
        <f>IF(ISBLANK(B111),"",COUNTA($B$18:B111))</f>
        <v/>
      </c>
      <c r="B111" s="54" t="n"/>
      <c r="C111" s="55" t="n"/>
      <c r="D111" s="55" t="n"/>
      <c r="E111" s="53" t="n"/>
      <c r="F111" s="56" t="n"/>
      <c r="G111" s="56" t="n"/>
      <c r="H111" s="56" t="n"/>
      <c r="I111" s="56" t="n"/>
      <c r="J111" s="56" t="n"/>
      <c r="K111" s="56" t="n"/>
      <c r="L111" s="57" t="n"/>
      <c r="M111" s="56" t="n"/>
      <c r="N111" s="55" t="n"/>
      <c r="O111" s="58">
        <f>IFERROR(IF(OR(ISBLANK(G111),ISBLANK(I111)),"",ABS(G111-I111)/VLOOKUP(C111,設定!$B$9:$D$23,2,FALSE)),"")</f>
        <v/>
      </c>
      <c r="P111" s="57">
        <f>IFERROR(IF(OR(ISBLANK(F111),ISBLANK(H111),ISBLANK(J111)),"",ABS(J111-F111)/ABS(F111-H111)),"")</f>
        <v/>
      </c>
      <c r="Q111" s="59">
        <f>IFERROR(IF(OR(ISBLANK(M111),ISBLANK(D111),ISBLANK(G111)),"",IF(D111="Long",(M111-G111),(G111-M111))/VLOOKUP(C111,設定!$B$9:$D$23,2,FALSE)),"")</f>
        <v/>
      </c>
      <c r="R111" s="60">
        <f>IFERROR(IF(OR(ISBLANK(Q111),O111=0),"",Q111/O111),"")</f>
        <v/>
      </c>
      <c r="S111" s="60">
        <f>IFERROR(IF(ISBLANK(R111),S110,IF(ISNUMBER(S110),S110,0)+R111),"")</f>
        <v/>
      </c>
      <c r="T111" s="61">
        <f>IFERROR(IF(OR(ISBLANK(Q111),ISBLANK(L111)),"",Q111*L111*VLOOKUP(C111,設定!$B$9:$D$23,3,FALSE)),"")</f>
        <v/>
      </c>
      <c r="U111" s="55" t="n"/>
      <c r="V111" s="55" t="n"/>
    </row>
    <row r="112">
      <c r="A112" s="44">
        <f>IF(ISBLANK(B112),"",COUNTA($B$18:B112))</f>
        <v/>
      </c>
      <c r="B112" s="45" t="n"/>
      <c r="C112" s="46" t="n"/>
      <c r="D112" s="46" t="n"/>
      <c r="E112" s="44" t="n"/>
      <c r="F112" s="47" t="n"/>
      <c r="G112" s="47" t="n"/>
      <c r="H112" s="47" t="n"/>
      <c r="I112" s="47" t="n"/>
      <c r="J112" s="47" t="n"/>
      <c r="K112" s="47" t="n"/>
      <c r="L112" s="48" t="n"/>
      <c r="M112" s="47" t="n"/>
      <c r="N112" s="46" t="n"/>
      <c r="O112" s="49">
        <f>IFERROR(IF(OR(ISBLANK(G112),ISBLANK(I112)),"",ABS(G112-I112)/VLOOKUP(C112,設定!$B$9:$D$23,2,FALSE)),"")</f>
        <v/>
      </c>
      <c r="P112" s="48">
        <f>IFERROR(IF(OR(ISBLANK(F112),ISBLANK(H112),ISBLANK(J112)),"",ABS(J112-F112)/ABS(F112-H112)),"")</f>
        <v/>
      </c>
      <c r="Q112" s="50">
        <f>IFERROR(IF(OR(ISBLANK(M112),ISBLANK(D112),ISBLANK(G112)),"",IF(D112="Long",(M112-G112),(G112-M112))/VLOOKUP(C112,設定!$B$9:$D$23,2,FALSE)),"")</f>
        <v/>
      </c>
      <c r="R112" s="51">
        <f>IFERROR(IF(OR(ISBLANK(Q112),O112=0),"",Q112/O112),"")</f>
        <v/>
      </c>
      <c r="S112" s="51">
        <f>IFERROR(IF(ISBLANK(R112),S111,IF(ISNUMBER(S111),S111,0)+R112),"")</f>
        <v/>
      </c>
      <c r="T112" s="52">
        <f>IFERROR(IF(OR(ISBLANK(Q112),ISBLANK(L112)),"",Q112*L112*VLOOKUP(C112,設定!$B$9:$D$23,3,FALSE)),"")</f>
        <v/>
      </c>
      <c r="U112" s="46" t="n"/>
      <c r="V112" s="46" t="n"/>
    </row>
    <row r="113">
      <c r="A113" s="53">
        <f>IF(ISBLANK(B113),"",COUNTA($B$18:B113))</f>
        <v/>
      </c>
      <c r="B113" s="54" t="n"/>
      <c r="C113" s="55" t="n"/>
      <c r="D113" s="55" t="n"/>
      <c r="E113" s="53" t="n"/>
      <c r="F113" s="56" t="n"/>
      <c r="G113" s="56" t="n"/>
      <c r="H113" s="56" t="n"/>
      <c r="I113" s="56" t="n"/>
      <c r="J113" s="56" t="n"/>
      <c r="K113" s="56" t="n"/>
      <c r="L113" s="57" t="n"/>
      <c r="M113" s="56" t="n"/>
      <c r="N113" s="55" t="n"/>
      <c r="O113" s="58">
        <f>IFERROR(IF(OR(ISBLANK(G113),ISBLANK(I113)),"",ABS(G113-I113)/VLOOKUP(C113,設定!$B$9:$D$23,2,FALSE)),"")</f>
        <v/>
      </c>
      <c r="P113" s="57">
        <f>IFERROR(IF(OR(ISBLANK(F113),ISBLANK(H113),ISBLANK(J113)),"",ABS(J113-F113)/ABS(F113-H113)),"")</f>
        <v/>
      </c>
      <c r="Q113" s="59">
        <f>IFERROR(IF(OR(ISBLANK(M113),ISBLANK(D113),ISBLANK(G113)),"",IF(D113="Long",(M113-G113),(G113-M113))/VLOOKUP(C113,設定!$B$9:$D$23,2,FALSE)),"")</f>
        <v/>
      </c>
      <c r="R113" s="60">
        <f>IFERROR(IF(OR(ISBLANK(Q113),O113=0),"",Q113/O113),"")</f>
        <v/>
      </c>
      <c r="S113" s="60">
        <f>IFERROR(IF(ISBLANK(R113),S112,IF(ISNUMBER(S112),S112,0)+R113),"")</f>
        <v/>
      </c>
      <c r="T113" s="61">
        <f>IFERROR(IF(OR(ISBLANK(Q113),ISBLANK(L113)),"",Q113*L113*VLOOKUP(C113,設定!$B$9:$D$23,3,FALSE)),"")</f>
        <v/>
      </c>
      <c r="U113" s="55" t="n"/>
      <c r="V113" s="55" t="n"/>
    </row>
    <row r="114">
      <c r="A114" s="44">
        <f>IF(ISBLANK(B114),"",COUNTA($B$18:B114))</f>
        <v/>
      </c>
      <c r="B114" s="45" t="n"/>
      <c r="C114" s="46" t="n"/>
      <c r="D114" s="46" t="n"/>
      <c r="E114" s="44" t="n"/>
      <c r="F114" s="47" t="n"/>
      <c r="G114" s="47" t="n"/>
      <c r="H114" s="47" t="n"/>
      <c r="I114" s="47" t="n"/>
      <c r="J114" s="47" t="n"/>
      <c r="K114" s="47" t="n"/>
      <c r="L114" s="48" t="n"/>
      <c r="M114" s="47" t="n"/>
      <c r="N114" s="46" t="n"/>
      <c r="O114" s="49">
        <f>IFERROR(IF(OR(ISBLANK(G114),ISBLANK(I114)),"",ABS(G114-I114)/VLOOKUP(C114,設定!$B$9:$D$23,2,FALSE)),"")</f>
        <v/>
      </c>
      <c r="P114" s="48">
        <f>IFERROR(IF(OR(ISBLANK(F114),ISBLANK(H114),ISBLANK(J114)),"",ABS(J114-F114)/ABS(F114-H114)),"")</f>
        <v/>
      </c>
      <c r="Q114" s="50">
        <f>IFERROR(IF(OR(ISBLANK(M114),ISBLANK(D114),ISBLANK(G114)),"",IF(D114="Long",(M114-G114),(G114-M114))/VLOOKUP(C114,設定!$B$9:$D$23,2,FALSE)),"")</f>
        <v/>
      </c>
      <c r="R114" s="51">
        <f>IFERROR(IF(OR(ISBLANK(Q114),O114=0),"",Q114/O114),"")</f>
        <v/>
      </c>
      <c r="S114" s="51">
        <f>IFERROR(IF(ISBLANK(R114),S113,IF(ISNUMBER(S113),S113,0)+R114),"")</f>
        <v/>
      </c>
      <c r="T114" s="52">
        <f>IFERROR(IF(OR(ISBLANK(Q114),ISBLANK(L114)),"",Q114*L114*VLOOKUP(C114,設定!$B$9:$D$23,3,FALSE)),"")</f>
        <v/>
      </c>
      <c r="U114" s="46" t="n"/>
      <c r="V114" s="46" t="n"/>
    </row>
    <row r="115">
      <c r="A115" s="53">
        <f>IF(ISBLANK(B115),"",COUNTA($B$18:B115))</f>
        <v/>
      </c>
      <c r="B115" s="54" t="n"/>
      <c r="C115" s="55" t="n"/>
      <c r="D115" s="55" t="n"/>
      <c r="E115" s="53" t="n"/>
      <c r="F115" s="56" t="n"/>
      <c r="G115" s="56" t="n"/>
      <c r="H115" s="56" t="n"/>
      <c r="I115" s="56" t="n"/>
      <c r="J115" s="56" t="n"/>
      <c r="K115" s="56" t="n"/>
      <c r="L115" s="57" t="n"/>
      <c r="M115" s="56" t="n"/>
      <c r="N115" s="55" t="n"/>
      <c r="O115" s="58">
        <f>IFERROR(IF(OR(ISBLANK(G115),ISBLANK(I115)),"",ABS(G115-I115)/VLOOKUP(C115,設定!$B$9:$D$23,2,FALSE)),"")</f>
        <v/>
      </c>
      <c r="P115" s="57">
        <f>IFERROR(IF(OR(ISBLANK(F115),ISBLANK(H115),ISBLANK(J115)),"",ABS(J115-F115)/ABS(F115-H115)),"")</f>
        <v/>
      </c>
      <c r="Q115" s="59">
        <f>IFERROR(IF(OR(ISBLANK(M115),ISBLANK(D115),ISBLANK(G115)),"",IF(D115="Long",(M115-G115),(G115-M115))/VLOOKUP(C115,設定!$B$9:$D$23,2,FALSE)),"")</f>
        <v/>
      </c>
      <c r="R115" s="60">
        <f>IFERROR(IF(OR(ISBLANK(Q115),O115=0),"",Q115/O115),"")</f>
        <v/>
      </c>
      <c r="S115" s="60">
        <f>IFERROR(IF(ISBLANK(R115),S114,IF(ISNUMBER(S114),S114,0)+R115),"")</f>
        <v/>
      </c>
      <c r="T115" s="61">
        <f>IFERROR(IF(OR(ISBLANK(Q115),ISBLANK(L115)),"",Q115*L115*VLOOKUP(C115,設定!$B$9:$D$23,3,FALSE)),"")</f>
        <v/>
      </c>
      <c r="U115" s="55" t="n"/>
      <c r="V115" s="55" t="n"/>
    </row>
    <row r="116">
      <c r="A116" s="44">
        <f>IF(ISBLANK(B116),"",COUNTA($B$18:B116))</f>
        <v/>
      </c>
      <c r="B116" s="45" t="n"/>
      <c r="C116" s="46" t="n"/>
      <c r="D116" s="46" t="n"/>
      <c r="E116" s="44" t="n"/>
      <c r="F116" s="47" t="n"/>
      <c r="G116" s="47" t="n"/>
      <c r="H116" s="47" t="n"/>
      <c r="I116" s="47" t="n"/>
      <c r="J116" s="47" t="n"/>
      <c r="K116" s="47" t="n"/>
      <c r="L116" s="48" t="n"/>
      <c r="M116" s="47" t="n"/>
      <c r="N116" s="46" t="n"/>
      <c r="O116" s="49">
        <f>IFERROR(IF(OR(ISBLANK(G116),ISBLANK(I116)),"",ABS(G116-I116)/VLOOKUP(C116,設定!$B$9:$D$23,2,FALSE)),"")</f>
        <v/>
      </c>
      <c r="P116" s="48">
        <f>IFERROR(IF(OR(ISBLANK(F116),ISBLANK(H116),ISBLANK(J116)),"",ABS(J116-F116)/ABS(F116-H116)),"")</f>
        <v/>
      </c>
      <c r="Q116" s="50">
        <f>IFERROR(IF(OR(ISBLANK(M116),ISBLANK(D116),ISBLANK(G116)),"",IF(D116="Long",(M116-G116),(G116-M116))/VLOOKUP(C116,設定!$B$9:$D$23,2,FALSE)),"")</f>
        <v/>
      </c>
      <c r="R116" s="51">
        <f>IFERROR(IF(OR(ISBLANK(Q116),O116=0),"",Q116/O116),"")</f>
        <v/>
      </c>
      <c r="S116" s="51">
        <f>IFERROR(IF(ISBLANK(R116),S115,IF(ISNUMBER(S115),S115,0)+R116),"")</f>
        <v/>
      </c>
      <c r="T116" s="52">
        <f>IFERROR(IF(OR(ISBLANK(Q116),ISBLANK(L116)),"",Q116*L116*VLOOKUP(C116,設定!$B$9:$D$23,3,FALSE)),"")</f>
        <v/>
      </c>
      <c r="U116" s="46" t="n"/>
      <c r="V116" s="46" t="n"/>
    </row>
    <row r="117">
      <c r="A117" s="53">
        <f>IF(ISBLANK(B117),"",COUNTA($B$18:B117))</f>
        <v/>
      </c>
      <c r="B117" s="54" t="n"/>
      <c r="C117" s="55" t="n"/>
      <c r="D117" s="55" t="n"/>
      <c r="E117" s="53" t="n"/>
      <c r="F117" s="56" t="n"/>
      <c r="G117" s="56" t="n"/>
      <c r="H117" s="56" t="n"/>
      <c r="I117" s="56" t="n"/>
      <c r="J117" s="56" t="n"/>
      <c r="K117" s="56" t="n"/>
      <c r="L117" s="57" t="n"/>
      <c r="M117" s="56" t="n"/>
      <c r="N117" s="55" t="n"/>
      <c r="O117" s="58">
        <f>IFERROR(IF(OR(ISBLANK(G117),ISBLANK(I117)),"",ABS(G117-I117)/VLOOKUP(C117,設定!$B$9:$D$23,2,FALSE)),"")</f>
        <v/>
      </c>
      <c r="P117" s="57">
        <f>IFERROR(IF(OR(ISBLANK(F117),ISBLANK(H117),ISBLANK(J117)),"",ABS(J117-F117)/ABS(F117-H117)),"")</f>
        <v/>
      </c>
      <c r="Q117" s="59">
        <f>IFERROR(IF(OR(ISBLANK(M117),ISBLANK(D117),ISBLANK(G117)),"",IF(D117="Long",(M117-G117),(G117-M117))/VLOOKUP(C117,設定!$B$9:$D$23,2,FALSE)),"")</f>
        <v/>
      </c>
      <c r="R117" s="60">
        <f>IFERROR(IF(OR(ISBLANK(Q117),O117=0),"",Q117/O117),"")</f>
        <v/>
      </c>
      <c r="S117" s="60">
        <f>IFERROR(IF(ISBLANK(R117),S116,IF(ISNUMBER(S116),S116,0)+R117),"")</f>
        <v/>
      </c>
      <c r="T117" s="61">
        <f>IFERROR(IF(OR(ISBLANK(Q117),ISBLANK(L117)),"",Q117*L117*VLOOKUP(C117,設定!$B$9:$D$23,3,FALSE)),"")</f>
        <v/>
      </c>
      <c r="U117" s="55" t="n"/>
      <c r="V117" s="55" t="n"/>
    </row>
    <row r="118">
      <c r="A118" s="44">
        <f>IF(ISBLANK(B118),"",COUNTA($B$18:B118))</f>
        <v/>
      </c>
      <c r="B118" s="45" t="n"/>
      <c r="C118" s="46" t="n"/>
      <c r="D118" s="46" t="n"/>
      <c r="E118" s="44" t="n"/>
      <c r="F118" s="47" t="n"/>
      <c r="G118" s="47" t="n"/>
      <c r="H118" s="47" t="n"/>
      <c r="I118" s="47" t="n"/>
      <c r="J118" s="47" t="n"/>
      <c r="K118" s="47" t="n"/>
      <c r="L118" s="48" t="n"/>
      <c r="M118" s="47" t="n"/>
      <c r="N118" s="46" t="n"/>
      <c r="O118" s="49">
        <f>IFERROR(IF(OR(ISBLANK(G118),ISBLANK(I118)),"",ABS(G118-I118)/VLOOKUP(C118,設定!$B$9:$D$23,2,FALSE)),"")</f>
        <v/>
      </c>
      <c r="P118" s="48">
        <f>IFERROR(IF(OR(ISBLANK(F118),ISBLANK(H118),ISBLANK(J118)),"",ABS(J118-F118)/ABS(F118-H118)),"")</f>
        <v/>
      </c>
      <c r="Q118" s="50">
        <f>IFERROR(IF(OR(ISBLANK(M118),ISBLANK(D118),ISBLANK(G118)),"",IF(D118="Long",(M118-G118),(G118-M118))/VLOOKUP(C118,設定!$B$9:$D$23,2,FALSE)),"")</f>
        <v/>
      </c>
      <c r="R118" s="51">
        <f>IFERROR(IF(OR(ISBLANK(Q118),O118=0),"",Q118/O118),"")</f>
        <v/>
      </c>
      <c r="S118" s="51">
        <f>IFERROR(IF(ISBLANK(R118),S117,IF(ISNUMBER(S117),S117,0)+R118),"")</f>
        <v/>
      </c>
      <c r="T118" s="52">
        <f>IFERROR(IF(OR(ISBLANK(Q118),ISBLANK(L118)),"",Q118*L118*VLOOKUP(C118,設定!$B$9:$D$23,3,FALSE)),"")</f>
        <v/>
      </c>
      <c r="U118" s="46" t="n"/>
      <c r="V118" s="46" t="n"/>
    </row>
    <row r="119">
      <c r="A119" s="53">
        <f>IF(ISBLANK(B119),"",COUNTA($B$18:B119))</f>
        <v/>
      </c>
      <c r="B119" s="54" t="n"/>
      <c r="C119" s="55" t="n"/>
      <c r="D119" s="55" t="n"/>
      <c r="E119" s="53" t="n"/>
      <c r="F119" s="56" t="n"/>
      <c r="G119" s="56" t="n"/>
      <c r="H119" s="56" t="n"/>
      <c r="I119" s="56" t="n"/>
      <c r="J119" s="56" t="n"/>
      <c r="K119" s="56" t="n"/>
      <c r="L119" s="57" t="n"/>
      <c r="M119" s="56" t="n"/>
      <c r="N119" s="55" t="n"/>
      <c r="O119" s="58">
        <f>IFERROR(IF(OR(ISBLANK(G119),ISBLANK(I119)),"",ABS(G119-I119)/VLOOKUP(C119,設定!$B$9:$D$23,2,FALSE)),"")</f>
        <v/>
      </c>
      <c r="P119" s="57">
        <f>IFERROR(IF(OR(ISBLANK(F119),ISBLANK(H119),ISBLANK(J119)),"",ABS(J119-F119)/ABS(F119-H119)),"")</f>
        <v/>
      </c>
      <c r="Q119" s="59">
        <f>IFERROR(IF(OR(ISBLANK(M119),ISBLANK(D119),ISBLANK(G119)),"",IF(D119="Long",(M119-G119),(G119-M119))/VLOOKUP(C119,設定!$B$9:$D$23,2,FALSE)),"")</f>
        <v/>
      </c>
      <c r="R119" s="60">
        <f>IFERROR(IF(OR(ISBLANK(Q119),O119=0),"",Q119/O119),"")</f>
        <v/>
      </c>
      <c r="S119" s="60">
        <f>IFERROR(IF(ISBLANK(R119),S118,IF(ISNUMBER(S118),S118,0)+R119),"")</f>
        <v/>
      </c>
      <c r="T119" s="61">
        <f>IFERROR(IF(OR(ISBLANK(Q119),ISBLANK(L119)),"",Q119*L119*VLOOKUP(C119,設定!$B$9:$D$23,3,FALSE)),"")</f>
        <v/>
      </c>
      <c r="U119" s="55" t="n"/>
      <c r="V119" s="55" t="n"/>
    </row>
    <row r="120">
      <c r="A120" s="44">
        <f>IF(ISBLANK(B120),"",COUNTA($B$18:B120))</f>
        <v/>
      </c>
      <c r="B120" s="45" t="n"/>
      <c r="C120" s="46" t="n"/>
      <c r="D120" s="46" t="n"/>
      <c r="E120" s="44" t="n"/>
      <c r="F120" s="47" t="n"/>
      <c r="G120" s="47" t="n"/>
      <c r="H120" s="47" t="n"/>
      <c r="I120" s="47" t="n"/>
      <c r="J120" s="47" t="n"/>
      <c r="K120" s="47" t="n"/>
      <c r="L120" s="48" t="n"/>
      <c r="M120" s="47" t="n"/>
      <c r="N120" s="46" t="n"/>
      <c r="O120" s="49">
        <f>IFERROR(IF(OR(ISBLANK(G120),ISBLANK(I120)),"",ABS(G120-I120)/VLOOKUP(C120,設定!$B$9:$D$23,2,FALSE)),"")</f>
        <v/>
      </c>
      <c r="P120" s="48">
        <f>IFERROR(IF(OR(ISBLANK(F120),ISBLANK(H120),ISBLANK(J120)),"",ABS(J120-F120)/ABS(F120-H120)),"")</f>
        <v/>
      </c>
      <c r="Q120" s="50">
        <f>IFERROR(IF(OR(ISBLANK(M120),ISBLANK(D120),ISBLANK(G120)),"",IF(D120="Long",(M120-G120),(G120-M120))/VLOOKUP(C120,設定!$B$9:$D$23,2,FALSE)),"")</f>
        <v/>
      </c>
      <c r="R120" s="51">
        <f>IFERROR(IF(OR(ISBLANK(Q120),O120=0),"",Q120/O120),"")</f>
        <v/>
      </c>
      <c r="S120" s="51">
        <f>IFERROR(IF(ISBLANK(R120),S119,IF(ISNUMBER(S119),S119,0)+R120),"")</f>
        <v/>
      </c>
      <c r="T120" s="52">
        <f>IFERROR(IF(OR(ISBLANK(Q120),ISBLANK(L120)),"",Q120*L120*VLOOKUP(C120,設定!$B$9:$D$23,3,FALSE)),"")</f>
        <v/>
      </c>
      <c r="U120" s="46" t="n"/>
      <c r="V120" s="46" t="n"/>
    </row>
    <row r="121">
      <c r="A121" s="53">
        <f>IF(ISBLANK(B121),"",COUNTA($B$18:B121))</f>
        <v/>
      </c>
      <c r="B121" s="54" t="n"/>
      <c r="C121" s="55" t="n"/>
      <c r="D121" s="55" t="n"/>
      <c r="E121" s="53" t="n"/>
      <c r="F121" s="56" t="n"/>
      <c r="G121" s="56" t="n"/>
      <c r="H121" s="56" t="n"/>
      <c r="I121" s="56" t="n"/>
      <c r="J121" s="56" t="n"/>
      <c r="K121" s="56" t="n"/>
      <c r="L121" s="57" t="n"/>
      <c r="M121" s="56" t="n"/>
      <c r="N121" s="55" t="n"/>
      <c r="O121" s="58">
        <f>IFERROR(IF(OR(ISBLANK(G121),ISBLANK(I121)),"",ABS(G121-I121)/VLOOKUP(C121,設定!$B$9:$D$23,2,FALSE)),"")</f>
        <v/>
      </c>
      <c r="P121" s="57">
        <f>IFERROR(IF(OR(ISBLANK(F121),ISBLANK(H121),ISBLANK(J121)),"",ABS(J121-F121)/ABS(F121-H121)),"")</f>
        <v/>
      </c>
      <c r="Q121" s="59">
        <f>IFERROR(IF(OR(ISBLANK(M121),ISBLANK(D121),ISBLANK(G121)),"",IF(D121="Long",(M121-G121),(G121-M121))/VLOOKUP(C121,設定!$B$9:$D$23,2,FALSE)),"")</f>
        <v/>
      </c>
      <c r="R121" s="60">
        <f>IFERROR(IF(OR(ISBLANK(Q121),O121=0),"",Q121/O121),"")</f>
        <v/>
      </c>
      <c r="S121" s="60">
        <f>IFERROR(IF(ISBLANK(R121),S120,IF(ISNUMBER(S120),S120,0)+R121),"")</f>
        <v/>
      </c>
      <c r="T121" s="61">
        <f>IFERROR(IF(OR(ISBLANK(Q121),ISBLANK(L121)),"",Q121*L121*VLOOKUP(C121,設定!$B$9:$D$23,3,FALSE)),"")</f>
        <v/>
      </c>
      <c r="U121" s="55" t="n"/>
      <c r="V121" s="55" t="n"/>
    </row>
    <row r="122">
      <c r="A122" s="44">
        <f>IF(ISBLANK(B122),"",COUNTA($B$18:B122))</f>
        <v/>
      </c>
      <c r="B122" s="45" t="n"/>
      <c r="C122" s="46" t="n"/>
      <c r="D122" s="46" t="n"/>
      <c r="E122" s="44" t="n"/>
      <c r="F122" s="47" t="n"/>
      <c r="G122" s="47" t="n"/>
      <c r="H122" s="47" t="n"/>
      <c r="I122" s="47" t="n"/>
      <c r="J122" s="47" t="n"/>
      <c r="K122" s="47" t="n"/>
      <c r="L122" s="48" t="n"/>
      <c r="M122" s="47" t="n"/>
      <c r="N122" s="46" t="n"/>
      <c r="O122" s="49">
        <f>IFERROR(IF(OR(ISBLANK(G122),ISBLANK(I122)),"",ABS(G122-I122)/VLOOKUP(C122,設定!$B$9:$D$23,2,FALSE)),"")</f>
        <v/>
      </c>
      <c r="P122" s="48">
        <f>IFERROR(IF(OR(ISBLANK(F122),ISBLANK(H122),ISBLANK(J122)),"",ABS(J122-F122)/ABS(F122-H122)),"")</f>
        <v/>
      </c>
      <c r="Q122" s="50">
        <f>IFERROR(IF(OR(ISBLANK(M122),ISBLANK(D122),ISBLANK(G122)),"",IF(D122="Long",(M122-G122),(G122-M122))/VLOOKUP(C122,設定!$B$9:$D$23,2,FALSE)),"")</f>
        <v/>
      </c>
      <c r="R122" s="51">
        <f>IFERROR(IF(OR(ISBLANK(Q122),O122=0),"",Q122/O122),"")</f>
        <v/>
      </c>
      <c r="S122" s="51">
        <f>IFERROR(IF(ISBLANK(R122),S121,IF(ISNUMBER(S121),S121,0)+R122),"")</f>
        <v/>
      </c>
      <c r="T122" s="52">
        <f>IFERROR(IF(OR(ISBLANK(Q122),ISBLANK(L122)),"",Q122*L122*VLOOKUP(C122,設定!$B$9:$D$23,3,FALSE)),"")</f>
        <v/>
      </c>
      <c r="U122" s="46" t="n"/>
      <c r="V122" s="46" t="n"/>
    </row>
    <row r="123">
      <c r="A123" s="53">
        <f>IF(ISBLANK(B123),"",COUNTA($B$18:B123))</f>
        <v/>
      </c>
      <c r="B123" s="54" t="n"/>
      <c r="C123" s="55" t="n"/>
      <c r="D123" s="55" t="n"/>
      <c r="E123" s="53" t="n"/>
      <c r="F123" s="56" t="n"/>
      <c r="G123" s="56" t="n"/>
      <c r="H123" s="56" t="n"/>
      <c r="I123" s="56" t="n"/>
      <c r="J123" s="56" t="n"/>
      <c r="K123" s="56" t="n"/>
      <c r="L123" s="57" t="n"/>
      <c r="M123" s="56" t="n"/>
      <c r="N123" s="55" t="n"/>
      <c r="O123" s="58">
        <f>IFERROR(IF(OR(ISBLANK(G123),ISBLANK(I123)),"",ABS(G123-I123)/VLOOKUP(C123,設定!$B$9:$D$23,2,FALSE)),"")</f>
        <v/>
      </c>
      <c r="P123" s="57">
        <f>IFERROR(IF(OR(ISBLANK(F123),ISBLANK(H123),ISBLANK(J123)),"",ABS(J123-F123)/ABS(F123-H123)),"")</f>
        <v/>
      </c>
      <c r="Q123" s="59">
        <f>IFERROR(IF(OR(ISBLANK(M123),ISBLANK(D123),ISBLANK(G123)),"",IF(D123="Long",(M123-G123),(G123-M123))/VLOOKUP(C123,設定!$B$9:$D$23,2,FALSE)),"")</f>
        <v/>
      </c>
      <c r="R123" s="60">
        <f>IFERROR(IF(OR(ISBLANK(Q123),O123=0),"",Q123/O123),"")</f>
        <v/>
      </c>
      <c r="S123" s="60">
        <f>IFERROR(IF(ISBLANK(R123),S122,IF(ISNUMBER(S122),S122,0)+R123),"")</f>
        <v/>
      </c>
      <c r="T123" s="61">
        <f>IFERROR(IF(OR(ISBLANK(Q123),ISBLANK(L123)),"",Q123*L123*VLOOKUP(C123,設定!$B$9:$D$23,3,FALSE)),"")</f>
        <v/>
      </c>
      <c r="U123" s="55" t="n"/>
      <c r="V123" s="55" t="n"/>
    </row>
    <row r="124">
      <c r="A124" s="44">
        <f>IF(ISBLANK(B124),"",COUNTA($B$18:B124))</f>
        <v/>
      </c>
      <c r="B124" s="45" t="n"/>
      <c r="C124" s="46" t="n"/>
      <c r="D124" s="46" t="n"/>
      <c r="E124" s="44" t="n"/>
      <c r="F124" s="47" t="n"/>
      <c r="G124" s="47" t="n"/>
      <c r="H124" s="47" t="n"/>
      <c r="I124" s="47" t="n"/>
      <c r="J124" s="47" t="n"/>
      <c r="K124" s="47" t="n"/>
      <c r="L124" s="48" t="n"/>
      <c r="M124" s="47" t="n"/>
      <c r="N124" s="46" t="n"/>
      <c r="O124" s="49">
        <f>IFERROR(IF(OR(ISBLANK(G124),ISBLANK(I124)),"",ABS(G124-I124)/VLOOKUP(C124,設定!$B$9:$D$23,2,FALSE)),"")</f>
        <v/>
      </c>
      <c r="P124" s="48">
        <f>IFERROR(IF(OR(ISBLANK(F124),ISBLANK(H124),ISBLANK(J124)),"",ABS(J124-F124)/ABS(F124-H124)),"")</f>
        <v/>
      </c>
      <c r="Q124" s="50">
        <f>IFERROR(IF(OR(ISBLANK(M124),ISBLANK(D124),ISBLANK(G124)),"",IF(D124="Long",(M124-G124),(G124-M124))/VLOOKUP(C124,設定!$B$9:$D$23,2,FALSE)),"")</f>
        <v/>
      </c>
      <c r="R124" s="51">
        <f>IFERROR(IF(OR(ISBLANK(Q124),O124=0),"",Q124/O124),"")</f>
        <v/>
      </c>
      <c r="S124" s="51">
        <f>IFERROR(IF(ISBLANK(R124),S123,IF(ISNUMBER(S123),S123,0)+R124),"")</f>
        <v/>
      </c>
      <c r="T124" s="52">
        <f>IFERROR(IF(OR(ISBLANK(Q124),ISBLANK(L124)),"",Q124*L124*VLOOKUP(C124,設定!$B$9:$D$23,3,FALSE)),"")</f>
        <v/>
      </c>
      <c r="U124" s="46" t="n"/>
      <c r="V124" s="46" t="n"/>
    </row>
    <row r="125">
      <c r="A125" s="53">
        <f>IF(ISBLANK(B125),"",COUNTA($B$18:B125))</f>
        <v/>
      </c>
      <c r="B125" s="54" t="n"/>
      <c r="C125" s="55" t="n"/>
      <c r="D125" s="55" t="n"/>
      <c r="E125" s="53" t="n"/>
      <c r="F125" s="56" t="n"/>
      <c r="G125" s="56" t="n"/>
      <c r="H125" s="56" t="n"/>
      <c r="I125" s="56" t="n"/>
      <c r="J125" s="56" t="n"/>
      <c r="K125" s="56" t="n"/>
      <c r="L125" s="57" t="n"/>
      <c r="M125" s="56" t="n"/>
      <c r="N125" s="55" t="n"/>
      <c r="O125" s="58">
        <f>IFERROR(IF(OR(ISBLANK(G125),ISBLANK(I125)),"",ABS(G125-I125)/VLOOKUP(C125,設定!$B$9:$D$23,2,FALSE)),"")</f>
        <v/>
      </c>
      <c r="P125" s="57">
        <f>IFERROR(IF(OR(ISBLANK(F125),ISBLANK(H125),ISBLANK(J125)),"",ABS(J125-F125)/ABS(F125-H125)),"")</f>
        <v/>
      </c>
      <c r="Q125" s="59">
        <f>IFERROR(IF(OR(ISBLANK(M125),ISBLANK(D125),ISBLANK(G125)),"",IF(D125="Long",(M125-G125),(G125-M125))/VLOOKUP(C125,設定!$B$9:$D$23,2,FALSE)),"")</f>
        <v/>
      </c>
      <c r="R125" s="60">
        <f>IFERROR(IF(OR(ISBLANK(Q125),O125=0),"",Q125/O125),"")</f>
        <v/>
      </c>
      <c r="S125" s="60">
        <f>IFERROR(IF(ISBLANK(R125),S124,IF(ISNUMBER(S124),S124,0)+R125),"")</f>
        <v/>
      </c>
      <c r="T125" s="61">
        <f>IFERROR(IF(OR(ISBLANK(Q125),ISBLANK(L125)),"",Q125*L125*VLOOKUP(C125,設定!$B$9:$D$23,3,FALSE)),"")</f>
        <v/>
      </c>
      <c r="U125" s="55" t="n"/>
      <c r="V125" s="55" t="n"/>
    </row>
    <row r="126">
      <c r="A126" s="44">
        <f>IF(ISBLANK(B126),"",COUNTA($B$18:B126))</f>
        <v/>
      </c>
      <c r="B126" s="45" t="n"/>
      <c r="C126" s="46" t="n"/>
      <c r="D126" s="46" t="n"/>
      <c r="E126" s="44" t="n"/>
      <c r="F126" s="47" t="n"/>
      <c r="G126" s="47" t="n"/>
      <c r="H126" s="47" t="n"/>
      <c r="I126" s="47" t="n"/>
      <c r="J126" s="47" t="n"/>
      <c r="K126" s="47" t="n"/>
      <c r="L126" s="48" t="n"/>
      <c r="M126" s="47" t="n"/>
      <c r="N126" s="46" t="n"/>
      <c r="O126" s="49">
        <f>IFERROR(IF(OR(ISBLANK(G126),ISBLANK(I126)),"",ABS(G126-I126)/VLOOKUP(C126,設定!$B$9:$D$23,2,FALSE)),"")</f>
        <v/>
      </c>
      <c r="P126" s="48">
        <f>IFERROR(IF(OR(ISBLANK(F126),ISBLANK(H126),ISBLANK(J126)),"",ABS(J126-F126)/ABS(F126-H126)),"")</f>
        <v/>
      </c>
      <c r="Q126" s="50">
        <f>IFERROR(IF(OR(ISBLANK(M126),ISBLANK(D126),ISBLANK(G126)),"",IF(D126="Long",(M126-G126),(G126-M126))/VLOOKUP(C126,設定!$B$9:$D$23,2,FALSE)),"")</f>
        <v/>
      </c>
      <c r="R126" s="51">
        <f>IFERROR(IF(OR(ISBLANK(Q126),O126=0),"",Q126/O126),"")</f>
        <v/>
      </c>
      <c r="S126" s="51">
        <f>IFERROR(IF(ISBLANK(R126),S125,IF(ISNUMBER(S125),S125,0)+R126),"")</f>
        <v/>
      </c>
      <c r="T126" s="52">
        <f>IFERROR(IF(OR(ISBLANK(Q126),ISBLANK(L126)),"",Q126*L126*VLOOKUP(C126,設定!$B$9:$D$23,3,FALSE)),"")</f>
        <v/>
      </c>
      <c r="U126" s="46" t="n"/>
      <c r="V126" s="46" t="n"/>
    </row>
    <row r="127">
      <c r="A127" s="53">
        <f>IF(ISBLANK(B127),"",COUNTA($B$18:B127))</f>
        <v/>
      </c>
      <c r="B127" s="54" t="n"/>
      <c r="C127" s="55" t="n"/>
      <c r="D127" s="55" t="n"/>
      <c r="E127" s="53" t="n"/>
      <c r="F127" s="56" t="n"/>
      <c r="G127" s="56" t="n"/>
      <c r="H127" s="56" t="n"/>
      <c r="I127" s="56" t="n"/>
      <c r="J127" s="56" t="n"/>
      <c r="K127" s="56" t="n"/>
      <c r="L127" s="57" t="n"/>
      <c r="M127" s="56" t="n"/>
      <c r="N127" s="55" t="n"/>
      <c r="O127" s="58">
        <f>IFERROR(IF(OR(ISBLANK(G127),ISBLANK(I127)),"",ABS(G127-I127)/VLOOKUP(C127,設定!$B$9:$D$23,2,FALSE)),"")</f>
        <v/>
      </c>
      <c r="P127" s="57">
        <f>IFERROR(IF(OR(ISBLANK(F127),ISBLANK(H127),ISBLANK(J127)),"",ABS(J127-F127)/ABS(F127-H127)),"")</f>
        <v/>
      </c>
      <c r="Q127" s="59">
        <f>IFERROR(IF(OR(ISBLANK(M127),ISBLANK(D127),ISBLANK(G127)),"",IF(D127="Long",(M127-G127),(G127-M127))/VLOOKUP(C127,設定!$B$9:$D$23,2,FALSE)),"")</f>
        <v/>
      </c>
      <c r="R127" s="60">
        <f>IFERROR(IF(OR(ISBLANK(Q127),O127=0),"",Q127/O127),"")</f>
        <v/>
      </c>
      <c r="S127" s="60">
        <f>IFERROR(IF(ISBLANK(R127),S126,IF(ISNUMBER(S126),S126,0)+R127),"")</f>
        <v/>
      </c>
      <c r="T127" s="61">
        <f>IFERROR(IF(OR(ISBLANK(Q127),ISBLANK(L127)),"",Q127*L127*VLOOKUP(C127,設定!$B$9:$D$23,3,FALSE)),"")</f>
        <v/>
      </c>
      <c r="U127" s="55" t="n"/>
      <c r="V127" s="55" t="n"/>
    </row>
    <row r="128">
      <c r="A128" s="44">
        <f>IF(ISBLANK(B128),"",COUNTA($B$18:B128))</f>
        <v/>
      </c>
      <c r="B128" s="45" t="n"/>
      <c r="C128" s="46" t="n"/>
      <c r="D128" s="46" t="n"/>
      <c r="E128" s="44" t="n"/>
      <c r="F128" s="47" t="n"/>
      <c r="G128" s="47" t="n"/>
      <c r="H128" s="47" t="n"/>
      <c r="I128" s="47" t="n"/>
      <c r="J128" s="47" t="n"/>
      <c r="K128" s="47" t="n"/>
      <c r="L128" s="48" t="n"/>
      <c r="M128" s="47" t="n"/>
      <c r="N128" s="46" t="n"/>
      <c r="O128" s="49">
        <f>IFERROR(IF(OR(ISBLANK(G128),ISBLANK(I128)),"",ABS(G128-I128)/VLOOKUP(C128,設定!$B$9:$D$23,2,FALSE)),"")</f>
        <v/>
      </c>
      <c r="P128" s="48">
        <f>IFERROR(IF(OR(ISBLANK(F128),ISBLANK(H128),ISBLANK(J128)),"",ABS(J128-F128)/ABS(F128-H128)),"")</f>
        <v/>
      </c>
      <c r="Q128" s="50">
        <f>IFERROR(IF(OR(ISBLANK(M128),ISBLANK(D128),ISBLANK(G128)),"",IF(D128="Long",(M128-G128),(G128-M128))/VLOOKUP(C128,設定!$B$9:$D$23,2,FALSE)),"")</f>
        <v/>
      </c>
      <c r="R128" s="51">
        <f>IFERROR(IF(OR(ISBLANK(Q128),O128=0),"",Q128/O128),"")</f>
        <v/>
      </c>
      <c r="S128" s="51">
        <f>IFERROR(IF(ISBLANK(R128),S127,IF(ISNUMBER(S127),S127,0)+R128),"")</f>
        <v/>
      </c>
      <c r="T128" s="52">
        <f>IFERROR(IF(OR(ISBLANK(Q128),ISBLANK(L128)),"",Q128*L128*VLOOKUP(C128,設定!$B$9:$D$23,3,FALSE)),"")</f>
        <v/>
      </c>
      <c r="U128" s="46" t="n"/>
      <c r="V128" s="46" t="n"/>
    </row>
    <row r="129">
      <c r="A129" s="53">
        <f>IF(ISBLANK(B129),"",COUNTA($B$18:B129))</f>
        <v/>
      </c>
      <c r="B129" s="54" t="n"/>
      <c r="C129" s="55" t="n"/>
      <c r="D129" s="55" t="n"/>
      <c r="E129" s="53" t="n"/>
      <c r="F129" s="56" t="n"/>
      <c r="G129" s="56" t="n"/>
      <c r="H129" s="56" t="n"/>
      <c r="I129" s="56" t="n"/>
      <c r="J129" s="56" t="n"/>
      <c r="K129" s="56" t="n"/>
      <c r="L129" s="57" t="n"/>
      <c r="M129" s="56" t="n"/>
      <c r="N129" s="55" t="n"/>
      <c r="O129" s="58">
        <f>IFERROR(IF(OR(ISBLANK(G129),ISBLANK(I129)),"",ABS(G129-I129)/VLOOKUP(C129,設定!$B$9:$D$23,2,FALSE)),"")</f>
        <v/>
      </c>
      <c r="P129" s="57">
        <f>IFERROR(IF(OR(ISBLANK(F129),ISBLANK(H129),ISBLANK(J129)),"",ABS(J129-F129)/ABS(F129-H129)),"")</f>
        <v/>
      </c>
      <c r="Q129" s="59">
        <f>IFERROR(IF(OR(ISBLANK(M129),ISBLANK(D129),ISBLANK(G129)),"",IF(D129="Long",(M129-G129),(G129-M129))/VLOOKUP(C129,設定!$B$9:$D$23,2,FALSE)),"")</f>
        <v/>
      </c>
      <c r="R129" s="60">
        <f>IFERROR(IF(OR(ISBLANK(Q129),O129=0),"",Q129/O129),"")</f>
        <v/>
      </c>
      <c r="S129" s="60">
        <f>IFERROR(IF(ISBLANK(R129),S128,IF(ISNUMBER(S128),S128,0)+R129),"")</f>
        <v/>
      </c>
      <c r="T129" s="61">
        <f>IFERROR(IF(OR(ISBLANK(Q129),ISBLANK(L129)),"",Q129*L129*VLOOKUP(C129,設定!$B$9:$D$23,3,FALSE)),"")</f>
        <v/>
      </c>
      <c r="U129" s="55" t="n"/>
      <c r="V129" s="55" t="n"/>
    </row>
    <row r="130">
      <c r="A130" s="44">
        <f>IF(ISBLANK(B130),"",COUNTA($B$18:B130))</f>
        <v/>
      </c>
      <c r="B130" s="45" t="n"/>
      <c r="C130" s="46" t="n"/>
      <c r="D130" s="46" t="n"/>
      <c r="E130" s="44" t="n"/>
      <c r="F130" s="47" t="n"/>
      <c r="G130" s="47" t="n"/>
      <c r="H130" s="47" t="n"/>
      <c r="I130" s="47" t="n"/>
      <c r="J130" s="47" t="n"/>
      <c r="K130" s="47" t="n"/>
      <c r="L130" s="48" t="n"/>
      <c r="M130" s="47" t="n"/>
      <c r="N130" s="46" t="n"/>
      <c r="O130" s="49">
        <f>IFERROR(IF(OR(ISBLANK(G130),ISBLANK(I130)),"",ABS(G130-I130)/VLOOKUP(C130,設定!$B$9:$D$23,2,FALSE)),"")</f>
        <v/>
      </c>
      <c r="P130" s="48">
        <f>IFERROR(IF(OR(ISBLANK(F130),ISBLANK(H130),ISBLANK(J130)),"",ABS(J130-F130)/ABS(F130-H130)),"")</f>
        <v/>
      </c>
      <c r="Q130" s="50">
        <f>IFERROR(IF(OR(ISBLANK(M130),ISBLANK(D130),ISBLANK(G130)),"",IF(D130="Long",(M130-G130),(G130-M130))/VLOOKUP(C130,設定!$B$9:$D$23,2,FALSE)),"")</f>
        <v/>
      </c>
      <c r="R130" s="51">
        <f>IFERROR(IF(OR(ISBLANK(Q130),O130=0),"",Q130/O130),"")</f>
        <v/>
      </c>
      <c r="S130" s="51">
        <f>IFERROR(IF(ISBLANK(R130),S129,IF(ISNUMBER(S129),S129,0)+R130),"")</f>
        <v/>
      </c>
      <c r="T130" s="52">
        <f>IFERROR(IF(OR(ISBLANK(Q130),ISBLANK(L130)),"",Q130*L130*VLOOKUP(C130,設定!$B$9:$D$23,3,FALSE)),"")</f>
        <v/>
      </c>
      <c r="U130" s="46" t="n"/>
      <c r="V130" s="46" t="n"/>
    </row>
    <row r="131">
      <c r="A131" s="53">
        <f>IF(ISBLANK(B131),"",COUNTA($B$18:B131))</f>
        <v/>
      </c>
      <c r="B131" s="54" t="n"/>
      <c r="C131" s="55" t="n"/>
      <c r="D131" s="55" t="n"/>
      <c r="E131" s="53" t="n"/>
      <c r="F131" s="56" t="n"/>
      <c r="G131" s="56" t="n"/>
      <c r="H131" s="56" t="n"/>
      <c r="I131" s="56" t="n"/>
      <c r="J131" s="56" t="n"/>
      <c r="K131" s="56" t="n"/>
      <c r="L131" s="57" t="n"/>
      <c r="M131" s="56" t="n"/>
      <c r="N131" s="55" t="n"/>
      <c r="O131" s="58">
        <f>IFERROR(IF(OR(ISBLANK(G131),ISBLANK(I131)),"",ABS(G131-I131)/VLOOKUP(C131,設定!$B$9:$D$23,2,FALSE)),"")</f>
        <v/>
      </c>
      <c r="P131" s="57">
        <f>IFERROR(IF(OR(ISBLANK(F131),ISBLANK(H131),ISBLANK(J131)),"",ABS(J131-F131)/ABS(F131-H131)),"")</f>
        <v/>
      </c>
      <c r="Q131" s="59">
        <f>IFERROR(IF(OR(ISBLANK(M131),ISBLANK(D131),ISBLANK(G131)),"",IF(D131="Long",(M131-G131),(G131-M131))/VLOOKUP(C131,設定!$B$9:$D$23,2,FALSE)),"")</f>
        <v/>
      </c>
      <c r="R131" s="60">
        <f>IFERROR(IF(OR(ISBLANK(Q131),O131=0),"",Q131/O131),"")</f>
        <v/>
      </c>
      <c r="S131" s="60">
        <f>IFERROR(IF(ISBLANK(R131),S130,IF(ISNUMBER(S130),S130,0)+R131),"")</f>
        <v/>
      </c>
      <c r="T131" s="61">
        <f>IFERROR(IF(OR(ISBLANK(Q131),ISBLANK(L131)),"",Q131*L131*VLOOKUP(C131,設定!$B$9:$D$23,3,FALSE)),"")</f>
        <v/>
      </c>
      <c r="U131" s="55" t="n"/>
      <c r="V131" s="55" t="n"/>
    </row>
    <row r="132">
      <c r="A132" s="44">
        <f>IF(ISBLANK(B132),"",COUNTA($B$18:B132))</f>
        <v/>
      </c>
      <c r="B132" s="45" t="n"/>
      <c r="C132" s="46" t="n"/>
      <c r="D132" s="46" t="n"/>
      <c r="E132" s="44" t="n"/>
      <c r="F132" s="47" t="n"/>
      <c r="G132" s="47" t="n"/>
      <c r="H132" s="47" t="n"/>
      <c r="I132" s="47" t="n"/>
      <c r="J132" s="47" t="n"/>
      <c r="K132" s="47" t="n"/>
      <c r="L132" s="48" t="n"/>
      <c r="M132" s="47" t="n"/>
      <c r="N132" s="46" t="n"/>
      <c r="O132" s="49">
        <f>IFERROR(IF(OR(ISBLANK(G132),ISBLANK(I132)),"",ABS(G132-I132)/VLOOKUP(C132,設定!$B$9:$D$23,2,FALSE)),"")</f>
        <v/>
      </c>
      <c r="P132" s="48">
        <f>IFERROR(IF(OR(ISBLANK(F132),ISBLANK(H132),ISBLANK(J132)),"",ABS(J132-F132)/ABS(F132-H132)),"")</f>
        <v/>
      </c>
      <c r="Q132" s="50">
        <f>IFERROR(IF(OR(ISBLANK(M132),ISBLANK(D132),ISBLANK(G132)),"",IF(D132="Long",(M132-G132),(G132-M132))/VLOOKUP(C132,設定!$B$9:$D$23,2,FALSE)),"")</f>
        <v/>
      </c>
      <c r="R132" s="51">
        <f>IFERROR(IF(OR(ISBLANK(Q132),O132=0),"",Q132/O132),"")</f>
        <v/>
      </c>
      <c r="S132" s="51">
        <f>IFERROR(IF(ISBLANK(R132),S131,IF(ISNUMBER(S131),S131,0)+R132),"")</f>
        <v/>
      </c>
      <c r="T132" s="52">
        <f>IFERROR(IF(OR(ISBLANK(Q132),ISBLANK(L132)),"",Q132*L132*VLOOKUP(C132,設定!$B$9:$D$23,3,FALSE)),"")</f>
        <v/>
      </c>
      <c r="U132" s="46" t="n"/>
      <c r="V132" s="46" t="n"/>
    </row>
    <row r="133">
      <c r="A133" s="53">
        <f>IF(ISBLANK(B133),"",COUNTA($B$18:B133))</f>
        <v/>
      </c>
      <c r="B133" s="54" t="n"/>
      <c r="C133" s="55" t="n"/>
      <c r="D133" s="55" t="n"/>
      <c r="E133" s="53" t="n"/>
      <c r="F133" s="56" t="n"/>
      <c r="G133" s="56" t="n"/>
      <c r="H133" s="56" t="n"/>
      <c r="I133" s="56" t="n"/>
      <c r="J133" s="56" t="n"/>
      <c r="K133" s="56" t="n"/>
      <c r="L133" s="57" t="n"/>
      <c r="M133" s="56" t="n"/>
      <c r="N133" s="55" t="n"/>
      <c r="O133" s="58">
        <f>IFERROR(IF(OR(ISBLANK(G133),ISBLANK(I133)),"",ABS(G133-I133)/VLOOKUP(C133,設定!$B$9:$D$23,2,FALSE)),"")</f>
        <v/>
      </c>
      <c r="P133" s="57">
        <f>IFERROR(IF(OR(ISBLANK(F133),ISBLANK(H133),ISBLANK(J133)),"",ABS(J133-F133)/ABS(F133-H133)),"")</f>
        <v/>
      </c>
      <c r="Q133" s="59">
        <f>IFERROR(IF(OR(ISBLANK(M133),ISBLANK(D133),ISBLANK(G133)),"",IF(D133="Long",(M133-G133),(G133-M133))/VLOOKUP(C133,設定!$B$9:$D$23,2,FALSE)),"")</f>
        <v/>
      </c>
      <c r="R133" s="60">
        <f>IFERROR(IF(OR(ISBLANK(Q133),O133=0),"",Q133/O133),"")</f>
        <v/>
      </c>
      <c r="S133" s="60">
        <f>IFERROR(IF(ISBLANK(R133),S132,IF(ISNUMBER(S132),S132,0)+R133),"")</f>
        <v/>
      </c>
      <c r="T133" s="61">
        <f>IFERROR(IF(OR(ISBLANK(Q133),ISBLANK(L133)),"",Q133*L133*VLOOKUP(C133,設定!$B$9:$D$23,3,FALSE)),"")</f>
        <v/>
      </c>
      <c r="U133" s="55" t="n"/>
      <c r="V133" s="55" t="n"/>
    </row>
    <row r="134">
      <c r="A134" s="44">
        <f>IF(ISBLANK(B134),"",COUNTA($B$18:B134))</f>
        <v/>
      </c>
      <c r="B134" s="45" t="n"/>
      <c r="C134" s="46" t="n"/>
      <c r="D134" s="46" t="n"/>
      <c r="E134" s="44" t="n"/>
      <c r="F134" s="47" t="n"/>
      <c r="G134" s="47" t="n"/>
      <c r="H134" s="47" t="n"/>
      <c r="I134" s="47" t="n"/>
      <c r="J134" s="47" t="n"/>
      <c r="K134" s="47" t="n"/>
      <c r="L134" s="48" t="n"/>
      <c r="M134" s="47" t="n"/>
      <c r="N134" s="46" t="n"/>
      <c r="O134" s="49">
        <f>IFERROR(IF(OR(ISBLANK(G134),ISBLANK(I134)),"",ABS(G134-I134)/VLOOKUP(C134,設定!$B$9:$D$23,2,FALSE)),"")</f>
        <v/>
      </c>
      <c r="P134" s="48">
        <f>IFERROR(IF(OR(ISBLANK(F134),ISBLANK(H134),ISBLANK(J134)),"",ABS(J134-F134)/ABS(F134-H134)),"")</f>
        <v/>
      </c>
      <c r="Q134" s="50">
        <f>IFERROR(IF(OR(ISBLANK(M134),ISBLANK(D134),ISBLANK(G134)),"",IF(D134="Long",(M134-G134),(G134-M134))/VLOOKUP(C134,設定!$B$9:$D$23,2,FALSE)),"")</f>
        <v/>
      </c>
      <c r="R134" s="51">
        <f>IFERROR(IF(OR(ISBLANK(Q134),O134=0),"",Q134/O134),"")</f>
        <v/>
      </c>
      <c r="S134" s="51">
        <f>IFERROR(IF(ISBLANK(R134),S133,IF(ISNUMBER(S133),S133,0)+R134),"")</f>
        <v/>
      </c>
      <c r="T134" s="52">
        <f>IFERROR(IF(OR(ISBLANK(Q134),ISBLANK(L134)),"",Q134*L134*VLOOKUP(C134,設定!$B$9:$D$23,3,FALSE)),"")</f>
        <v/>
      </c>
      <c r="U134" s="46" t="n"/>
      <c r="V134" s="46" t="n"/>
    </row>
    <row r="135">
      <c r="A135" s="53">
        <f>IF(ISBLANK(B135),"",COUNTA($B$18:B135))</f>
        <v/>
      </c>
      <c r="B135" s="54" t="n"/>
      <c r="C135" s="55" t="n"/>
      <c r="D135" s="55" t="n"/>
      <c r="E135" s="53" t="n"/>
      <c r="F135" s="56" t="n"/>
      <c r="G135" s="56" t="n"/>
      <c r="H135" s="56" t="n"/>
      <c r="I135" s="56" t="n"/>
      <c r="J135" s="56" t="n"/>
      <c r="K135" s="56" t="n"/>
      <c r="L135" s="57" t="n"/>
      <c r="M135" s="56" t="n"/>
      <c r="N135" s="55" t="n"/>
      <c r="O135" s="58">
        <f>IFERROR(IF(OR(ISBLANK(G135),ISBLANK(I135)),"",ABS(G135-I135)/VLOOKUP(C135,設定!$B$9:$D$23,2,FALSE)),"")</f>
        <v/>
      </c>
      <c r="P135" s="57">
        <f>IFERROR(IF(OR(ISBLANK(F135),ISBLANK(H135),ISBLANK(J135)),"",ABS(J135-F135)/ABS(F135-H135)),"")</f>
        <v/>
      </c>
      <c r="Q135" s="59">
        <f>IFERROR(IF(OR(ISBLANK(M135),ISBLANK(D135),ISBLANK(G135)),"",IF(D135="Long",(M135-G135),(G135-M135))/VLOOKUP(C135,設定!$B$9:$D$23,2,FALSE)),"")</f>
        <v/>
      </c>
      <c r="R135" s="60">
        <f>IFERROR(IF(OR(ISBLANK(Q135),O135=0),"",Q135/O135),"")</f>
        <v/>
      </c>
      <c r="S135" s="60">
        <f>IFERROR(IF(ISBLANK(R135),S134,IF(ISNUMBER(S134),S134,0)+R135),"")</f>
        <v/>
      </c>
      <c r="T135" s="61">
        <f>IFERROR(IF(OR(ISBLANK(Q135),ISBLANK(L135)),"",Q135*L135*VLOOKUP(C135,設定!$B$9:$D$23,3,FALSE)),"")</f>
        <v/>
      </c>
      <c r="U135" s="55" t="n"/>
      <c r="V135" s="55" t="n"/>
    </row>
    <row r="136">
      <c r="A136" s="44">
        <f>IF(ISBLANK(B136),"",COUNTA($B$18:B136))</f>
        <v/>
      </c>
      <c r="B136" s="45" t="n"/>
      <c r="C136" s="46" t="n"/>
      <c r="D136" s="46" t="n"/>
      <c r="E136" s="44" t="n"/>
      <c r="F136" s="47" t="n"/>
      <c r="G136" s="47" t="n"/>
      <c r="H136" s="47" t="n"/>
      <c r="I136" s="47" t="n"/>
      <c r="J136" s="47" t="n"/>
      <c r="K136" s="47" t="n"/>
      <c r="L136" s="48" t="n"/>
      <c r="M136" s="47" t="n"/>
      <c r="N136" s="46" t="n"/>
      <c r="O136" s="49">
        <f>IFERROR(IF(OR(ISBLANK(G136),ISBLANK(I136)),"",ABS(G136-I136)/VLOOKUP(C136,設定!$B$9:$D$23,2,FALSE)),"")</f>
        <v/>
      </c>
      <c r="P136" s="48">
        <f>IFERROR(IF(OR(ISBLANK(F136),ISBLANK(H136),ISBLANK(J136)),"",ABS(J136-F136)/ABS(F136-H136)),"")</f>
        <v/>
      </c>
      <c r="Q136" s="50">
        <f>IFERROR(IF(OR(ISBLANK(M136),ISBLANK(D136),ISBLANK(G136)),"",IF(D136="Long",(M136-G136),(G136-M136))/VLOOKUP(C136,設定!$B$9:$D$23,2,FALSE)),"")</f>
        <v/>
      </c>
      <c r="R136" s="51">
        <f>IFERROR(IF(OR(ISBLANK(Q136),O136=0),"",Q136/O136),"")</f>
        <v/>
      </c>
      <c r="S136" s="51">
        <f>IFERROR(IF(ISBLANK(R136),S135,IF(ISNUMBER(S135),S135,0)+R136),"")</f>
        <v/>
      </c>
      <c r="T136" s="52">
        <f>IFERROR(IF(OR(ISBLANK(Q136),ISBLANK(L136)),"",Q136*L136*VLOOKUP(C136,設定!$B$9:$D$23,3,FALSE)),"")</f>
        <v/>
      </c>
      <c r="U136" s="46" t="n"/>
      <c r="V136" s="46" t="n"/>
    </row>
    <row r="137">
      <c r="A137" s="53">
        <f>IF(ISBLANK(B137),"",COUNTA($B$18:B137))</f>
        <v/>
      </c>
      <c r="B137" s="54" t="n"/>
      <c r="C137" s="55" t="n"/>
      <c r="D137" s="55" t="n"/>
      <c r="E137" s="53" t="n"/>
      <c r="F137" s="56" t="n"/>
      <c r="G137" s="56" t="n"/>
      <c r="H137" s="56" t="n"/>
      <c r="I137" s="56" t="n"/>
      <c r="J137" s="56" t="n"/>
      <c r="K137" s="56" t="n"/>
      <c r="L137" s="57" t="n"/>
      <c r="M137" s="56" t="n"/>
      <c r="N137" s="55" t="n"/>
      <c r="O137" s="58">
        <f>IFERROR(IF(OR(ISBLANK(G137),ISBLANK(I137)),"",ABS(G137-I137)/VLOOKUP(C137,設定!$B$9:$D$23,2,FALSE)),"")</f>
        <v/>
      </c>
      <c r="P137" s="57">
        <f>IFERROR(IF(OR(ISBLANK(F137),ISBLANK(H137),ISBLANK(J137)),"",ABS(J137-F137)/ABS(F137-H137)),"")</f>
        <v/>
      </c>
      <c r="Q137" s="59">
        <f>IFERROR(IF(OR(ISBLANK(M137),ISBLANK(D137),ISBLANK(G137)),"",IF(D137="Long",(M137-G137),(G137-M137))/VLOOKUP(C137,設定!$B$9:$D$23,2,FALSE)),"")</f>
        <v/>
      </c>
      <c r="R137" s="60">
        <f>IFERROR(IF(OR(ISBLANK(Q137),O137=0),"",Q137/O137),"")</f>
        <v/>
      </c>
      <c r="S137" s="60">
        <f>IFERROR(IF(ISBLANK(R137),S136,IF(ISNUMBER(S136),S136,0)+R137),"")</f>
        <v/>
      </c>
      <c r="T137" s="61">
        <f>IFERROR(IF(OR(ISBLANK(Q137),ISBLANK(L137)),"",Q137*L137*VLOOKUP(C137,設定!$B$9:$D$23,3,FALSE)),"")</f>
        <v/>
      </c>
      <c r="U137" s="55" t="n"/>
      <c r="V137" s="55" t="n"/>
    </row>
    <row r="138">
      <c r="A138" s="44">
        <f>IF(ISBLANK(B138),"",COUNTA($B$18:B138))</f>
        <v/>
      </c>
      <c r="B138" s="45" t="n"/>
      <c r="C138" s="46" t="n"/>
      <c r="D138" s="46" t="n"/>
      <c r="E138" s="44" t="n"/>
      <c r="F138" s="47" t="n"/>
      <c r="G138" s="47" t="n"/>
      <c r="H138" s="47" t="n"/>
      <c r="I138" s="47" t="n"/>
      <c r="J138" s="47" t="n"/>
      <c r="K138" s="47" t="n"/>
      <c r="L138" s="48" t="n"/>
      <c r="M138" s="47" t="n"/>
      <c r="N138" s="46" t="n"/>
      <c r="O138" s="49">
        <f>IFERROR(IF(OR(ISBLANK(G138),ISBLANK(I138)),"",ABS(G138-I138)/VLOOKUP(C138,設定!$B$9:$D$23,2,FALSE)),"")</f>
        <v/>
      </c>
      <c r="P138" s="48">
        <f>IFERROR(IF(OR(ISBLANK(F138),ISBLANK(H138),ISBLANK(J138)),"",ABS(J138-F138)/ABS(F138-H138)),"")</f>
        <v/>
      </c>
      <c r="Q138" s="50">
        <f>IFERROR(IF(OR(ISBLANK(M138),ISBLANK(D138),ISBLANK(G138)),"",IF(D138="Long",(M138-G138),(G138-M138))/VLOOKUP(C138,設定!$B$9:$D$23,2,FALSE)),"")</f>
        <v/>
      </c>
      <c r="R138" s="51">
        <f>IFERROR(IF(OR(ISBLANK(Q138),O138=0),"",Q138/O138),"")</f>
        <v/>
      </c>
      <c r="S138" s="51">
        <f>IFERROR(IF(ISBLANK(R138),S137,IF(ISNUMBER(S137),S137,0)+R138),"")</f>
        <v/>
      </c>
      <c r="T138" s="52">
        <f>IFERROR(IF(OR(ISBLANK(Q138),ISBLANK(L138)),"",Q138*L138*VLOOKUP(C138,設定!$B$9:$D$23,3,FALSE)),"")</f>
        <v/>
      </c>
      <c r="U138" s="46" t="n"/>
      <c r="V138" s="46" t="n"/>
    </row>
    <row r="139">
      <c r="A139" s="53">
        <f>IF(ISBLANK(B139),"",COUNTA($B$18:B139))</f>
        <v/>
      </c>
      <c r="B139" s="54" t="n"/>
      <c r="C139" s="55" t="n"/>
      <c r="D139" s="55" t="n"/>
      <c r="E139" s="53" t="n"/>
      <c r="F139" s="56" t="n"/>
      <c r="G139" s="56" t="n"/>
      <c r="H139" s="56" t="n"/>
      <c r="I139" s="56" t="n"/>
      <c r="J139" s="56" t="n"/>
      <c r="K139" s="56" t="n"/>
      <c r="L139" s="57" t="n"/>
      <c r="M139" s="56" t="n"/>
      <c r="N139" s="55" t="n"/>
      <c r="O139" s="58">
        <f>IFERROR(IF(OR(ISBLANK(G139),ISBLANK(I139)),"",ABS(G139-I139)/VLOOKUP(C139,設定!$B$9:$D$23,2,FALSE)),"")</f>
        <v/>
      </c>
      <c r="P139" s="57">
        <f>IFERROR(IF(OR(ISBLANK(F139),ISBLANK(H139),ISBLANK(J139)),"",ABS(J139-F139)/ABS(F139-H139)),"")</f>
        <v/>
      </c>
      <c r="Q139" s="59">
        <f>IFERROR(IF(OR(ISBLANK(M139),ISBLANK(D139),ISBLANK(G139)),"",IF(D139="Long",(M139-G139),(G139-M139))/VLOOKUP(C139,設定!$B$9:$D$23,2,FALSE)),"")</f>
        <v/>
      </c>
      <c r="R139" s="60">
        <f>IFERROR(IF(OR(ISBLANK(Q139),O139=0),"",Q139/O139),"")</f>
        <v/>
      </c>
      <c r="S139" s="60">
        <f>IFERROR(IF(ISBLANK(R139),S138,IF(ISNUMBER(S138),S138,0)+R139),"")</f>
        <v/>
      </c>
      <c r="T139" s="61">
        <f>IFERROR(IF(OR(ISBLANK(Q139),ISBLANK(L139)),"",Q139*L139*VLOOKUP(C139,設定!$B$9:$D$23,3,FALSE)),"")</f>
        <v/>
      </c>
      <c r="U139" s="55" t="n"/>
      <c r="V139" s="55" t="n"/>
    </row>
    <row r="140">
      <c r="A140" s="44">
        <f>IF(ISBLANK(B140),"",COUNTA($B$18:B140))</f>
        <v/>
      </c>
      <c r="B140" s="45" t="n"/>
      <c r="C140" s="46" t="n"/>
      <c r="D140" s="46" t="n"/>
      <c r="E140" s="44" t="n"/>
      <c r="F140" s="47" t="n"/>
      <c r="G140" s="47" t="n"/>
      <c r="H140" s="47" t="n"/>
      <c r="I140" s="47" t="n"/>
      <c r="J140" s="47" t="n"/>
      <c r="K140" s="47" t="n"/>
      <c r="L140" s="48" t="n"/>
      <c r="M140" s="47" t="n"/>
      <c r="N140" s="46" t="n"/>
      <c r="O140" s="49">
        <f>IFERROR(IF(OR(ISBLANK(G140),ISBLANK(I140)),"",ABS(G140-I140)/VLOOKUP(C140,設定!$B$9:$D$23,2,FALSE)),"")</f>
        <v/>
      </c>
      <c r="P140" s="48">
        <f>IFERROR(IF(OR(ISBLANK(F140),ISBLANK(H140),ISBLANK(J140)),"",ABS(J140-F140)/ABS(F140-H140)),"")</f>
        <v/>
      </c>
      <c r="Q140" s="50">
        <f>IFERROR(IF(OR(ISBLANK(M140),ISBLANK(D140),ISBLANK(G140)),"",IF(D140="Long",(M140-G140),(G140-M140))/VLOOKUP(C140,設定!$B$9:$D$23,2,FALSE)),"")</f>
        <v/>
      </c>
      <c r="R140" s="51">
        <f>IFERROR(IF(OR(ISBLANK(Q140),O140=0),"",Q140/O140),"")</f>
        <v/>
      </c>
      <c r="S140" s="51">
        <f>IFERROR(IF(ISBLANK(R140),S139,IF(ISNUMBER(S139),S139,0)+R140),"")</f>
        <v/>
      </c>
      <c r="T140" s="52">
        <f>IFERROR(IF(OR(ISBLANK(Q140),ISBLANK(L140)),"",Q140*L140*VLOOKUP(C140,設定!$B$9:$D$23,3,FALSE)),"")</f>
        <v/>
      </c>
      <c r="U140" s="46" t="n"/>
      <c r="V140" s="46" t="n"/>
    </row>
    <row r="141">
      <c r="A141" s="53">
        <f>IF(ISBLANK(B141),"",COUNTA($B$18:B141))</f>
        <v/>
      </c>
      <c r="B141" s="54" t="n"/>
      <c r="C141" s="55" t="n"/>
      <c r="D141" s="55" t="n"/>
      <c r="E141" s="53" t="n"/>
      <c r="F141" s="56" t="n"/>
      <c r="G141" s="56" t="n"/>
      <c r="H141" s="56" t="n"/>
      <c r="I141" s="56" t="n"/>
      <c r="J141" s="56" t="n"/>
      <c r="K141" s="56" t="n"/>
      <c r="L141" s="57" t="n"/>
      <c r="M141" s="56" t="n"/>
      <c r="N141" s="55" t="n"/>
      <c r="O141" s="58">
        <f>IFERROR(IF(OR(ISBLANK(G141),ISBLANK(I141)),"",ABS(G141-I141)/VLOOKUP(C141,設定!$B$9:$D$23,2,FALSE)),"")</f>
        <v/>
      </c>
      <c r="P141" s="57">
        <f>IFERROR(IF(OR(ISBLANK(F141),ISBLANK(H141),ISBLANK(J141)),"",ABS(J141-F141)/ABS(F141-H141)),"")</f>
        <v/>
      </c>
      <c r="Q141" s="59">
        <f>IFERROR(IF(OR(ISBLANK(M141),ISBLANK(D141),ISBLANK(G141)),"",IF(D141="Long",(M141-G141),(G141-M141))/VLOOKUP(C141,設定!$B$9:$D$23,2,FALSE)),"")</f>
        <v/>
      </c>
      <c r="R141" s="60">
        <f>IFERROR(IF(OR(ISBLANK(Q141),O141=0),"",Q141/O141),"")</f>
        <v/>
      </c>
      <c r="S141" s="60">
        <f>IFERROR(IF(ISBLANK(R141),S140,IF(ISNUMBER(S140),S140,0)+R141),"")</f>
        <v/>
      </c>
      <c r="T141" s="61">
        <f>IFERROR(IF(OR(ISBLANK(Q141),ISBLANK(L141)),"",Q141*L141*VLOOKUP(C141,設定!$B$9:$D$23,3,FALSE)),"")</f>
        <v/>
      </c>
      <c r="U141" s="55" t="n"/>
      <c r="V141" s="55" t="n"/>
    </row>
    <row r="142">
      <c r="A142" s="44">
        <f>IF(ISBLANK(B142),"",COUNTA($B$18:B142))</f>
        <v/>
      </c>
      <c r="B142" s="45" t="n"/>
      <c r="C142" s="46" t="n"/>
      <c r="D142" s="46" t="n"/>
      <c r="E142" s="44" t="n"/>
      <c r="F142" s="47" t="n"/>
      <c r="G142" s="47" t="n"/>
      <c r="H142" s="47" t="n"/>
      <c r="I142" s="47" t="n"/>
      <c r="J142" s="47" t="n"/>
      <c r="K142" s="47" t="n"/>
      <c r="L142" s="48" t="n"/>
      <c r="M142" s="47" t="n"/>
      <c r="N142" s="46" t="n"/>
      <c r="O142" s="49">
        <f>IFERROR(IF(OR(ISBLANK(G142),ISBLANK(I142)),"",ABS(G142-I142)/VLOOKUP(C142,設定!$B$9:$D$23,2,FALSE)),"")</f>
        <v/>
      </c>
      <c r="P142" s="48">
        <f>IFERROR(IF(OR(ISBLANK(F142),ISBLANK(H142),ISBLANK(J142)),"",ABS(J142-F142)/ABS(F142-H142)),"")</f>
        <v/>
      </c>
      <c r="Q142" s="50">
        <f>IFERROR(IF(OR(ISBLANK(M142),ISBLANK(D142),ISBLANK(G142)),"",IF(D142="Long",(M142-G142),(G142-M142))/VLOOKUP(C142,設定!$B$9:$D$23,2,FALSE)),"")</f>
        <v/>
      </c>
      <c r="R142" s="51">
        <f>IFERROR(IF(OR(ISBLANK(Q142),O142=0),"",Q142/O142),"")</f>
        <v/>
      </c>
      <c r="S142" s="51">
        <f>IFERROR(IF(ISBLANK(R142),S141,IF(ISNUMBER(S141),S141,0)+R142),"")</f>
        <v/>
      </c>
      <c r="T142" s="52">
        <f>IFERROR(IF(OR(ISBLANK(Q142),ISBLANK(L142)),"",Q142*L142*VLOOKUP(C142,設定!$B$9:$D$23,3,FALSE)),"")</f>
        <v/>
      </c>
      <c r="U142" s="46" t="n"/>
      <c r="V142" s="46" t="n"/>
    </row>
    <row r="143">
      <c r="A143" s="53">
        <f>IF(ISBLANK(B143),"",COUNTA($B$18:B143))</f>
        <v/>
      </c>
      <c r="B143" s="54" t="n"/>
      <c r="C143" s="55" t="n"/>
      <c r="D143" s="55" t="n"/>
      <c r="E143" s="53" t="n"/>
      <c r="F143" s="56" t="n"/>
      <c r="G143" s="56" t="n"/>
      <c r="H143" s="56" t="n"/>
      <c r="I143" s="56" t="n"/>
      <c r="J143" s="56" t="n"/>
      <c r="K143" s="56" t="n"/>
      <c r="L143" s="57" t="n"/>
      <c r="M143" s="56" t="n"/>
      <c r="N143" s="55" t="n"/>
      <c r="O143" s="58">
        <f>IFERROR(IF(OR(ISBLANK(G143),ISBLANK(I143)),"",ABS(G143-I143)/VLOOKUP(C143,設定!$B$9:$D$23,2,FALSE)),"")</f>
        <v/>
      </c>
      <c r="P143" s="57">
        <f>IFERROR(IF(OR(ISBLANK(F143),ISBLANK(H143),ISBLANK(J143)),"",ABS(J143-F143)/ABS(F143-H143)),"")</f>
        <v/>
      </c>
      <c r="Q143" s="59">
        <f>IFERROR(IF(OR(ISBLANK(M143),ISBLANK(D143),ISBLANK(G143)),"",IF(D143="Long",(M143-G143),(G143-M143))/VLOOKUP(C143,設定!$B$9:$D$23,2,FALSE)),"")</f>
        <v/>
      </c>
      <c r="R143" s="60">
        <f>IFERROR(IF(OR(ISBLANK(Q143),O143=0),"",Q143/O143),"")</f>
        <v/>
      </c>
      <c r="S143" s="60">
        <f>IFERROR(IF(ISBLANK(R143),S142,IF(ISNUMBER(S142),S142,0)+R143),"")</f>
        <v/>
      </c>
      <c r="T143" s="61">
        <f>IFERROR(IF(OR(ISBLANK(Q143),ISBLANK(L143)),"",Q143*L143*VLOOKUP(C143,設定!$B$9:$D$23,3,FALSE)),"")</f>
        <v/>
      </c>
      <c r="U143" s="55" t="n"/>
      <c r="V143" s="55" t="n"/>
    </row>
    <row r="144">
      <c r="A144" s="44">
        <f>IF(ISBLANK(B144),"",COUNTA($B$18:B144))</f>
        <v/>
      </c>
      <c r="B144" s="45" t="n"/>
      <c r="C144" s="46" t="n"/>
      <c r="D144" s="46" t="n"/>
      <c r="E144" s="44" t="n"/>
      <c r="F144" s="47" t="n"/>
      <c r="G144" s="47" t="n"/>
      <c r="H144" s="47" t="n"/>
      <c r="I144" s="47" t="n"/>
      <c r="J144" s="47" t="n"/>
      <c r="K144" s="47" t="n"/>
      <c r="L144" s="48" t="n"/>
      <c r="M144" s="47" t="n"/>
      <c r="N144" s="46" t="n"/>
      <c r="O144" s="49">
        <f>IFERROR(IF(OR(ISBLANK(G144),ISBLANK(I144)),"",ABS(G144-I144)/VLOOKUP(C144,設定!$B$9:$D$23,2,FALSE)),"")</f>
        <v/>
      </c>
      <c r="P144" s="48">
        <f>IFERROR(IF(OR(ISBLANK(F144),ISBLANK(H144),ISBLANK(J144)),"",ABS(J144-F144)/ABS(F144-H144)),"")</f>
        <v/>
      </c>
      <c r="Q144" s="50">
        <f>IFERROR(IF(OR(ISBLANK(M144),ISBLANK(D144),ISBLANK(G144)),"",IF(D144="Long",(M144-G144),(G144-M144))/VLOOKUP(C144,設定!$B$9:$D$23,2,FALSE)),"")</f>
        <v/>
      </c>
      <c r="R144" s="51">
        <f>IFERROR(IF(OR(ISBLANK(Q144),O144=0),"",Q144/O144),"")</f>
        <v/>
      </c>
      <c r="S144" s="51">
        <f>IFERROR(IF(ISBLANK(R144),S143,IF(ISNUMBER(S143),S143,0)+R144),"")</f>
        <v/>
      </c>
      <c r="T144" s="52">
        <f>IFERROR(IF(OR(ISBLANK(Q144),ISBLANK(L144)),"",Q144*L144*VLOOKUP(C144,設定!$B$9:$D$23,3,FALSE)),"")</f>
        <v/>
      </c>
      <c r="U144" s="46" t="n"/>
      <c r="V144" s="46" t="n"/>
    </row>
    <row r="145">
      <c r="A145" s="53">
        <f>IF(ISBLANK(B145),"",COUNTA($B$18:B145))</f>
        <v/>
      </c>
      <c r="B145" s="54" t="n"/>
      <c r="C145" s="55" t="n"/>
      <c r="D145" s="55" t="n"/>
      <c r="E145" s="53" t="n"/>
      <c r="F145" s="56" t="n"/>
      <c r="G145" s="56" t="n"/>
      <c r="H145" s="56" t="n"/>
      <c r="I145" s="56" t="n"/>
      <c r="J145" s="56" t="n"/>
      <c r="K145" s="56" t="n"/>
      <c r="L145" s="57" t="n"/>
      <c r="M145" s="56" t="n"/>
      <c r="N145" s="55" t="n"/>
      <c r="O145" s="58">
        <f>IFERROR(IF(OR(ISBLANK(G145),ISBLANK(I145)),"",ABS(G145-I145)/VLOOKUP(C145,設定!$B$9:$D$23,2,FALSE)),"")</f>
        <v/>
      </c>
      <c r="P145" s="57">
        <f>IFERROR(IF(OR(ISBLANK(F145),ISBLANK(H145),ISBLANK(J145)),"",ABS(J145-F145)/ABS(F145-H145)),"")</f>
        <v/>
      </c>
      <c r="Q145" s="59">
        <f>IFERROR(IF(OR(ISBLANK(M145),ISBLANK(D145),ISBLANK(G145)),"",IF(D145="Long",(M145-G145),(G145-M145))/VLOOKUP(C145,設定!$B$9:$D$23,2,FALSE)),"")</f>
        <v/>
      </c>
      <c r="R145" s="60">
        <f>IFERROR(IF(OR(ISBLANK(Q145),O145=0),"",Q145/O145),"")</f>
        <v/>
      </c>
      <c r="S145" s="60">
        <f>IFERROR(IF(ISBLANK(R145),S144,IF(ISNUMBER(S144),S144,0)+R145),"")</f>
        <v/>
      </c>
      <c r="T145" s="61">
        <f>IFERROR(IF(OR(ISBLANK(Q145),ISBLANK(L145)),"",Q145*L145*VLOOKUP(C145,設定!$B$9:$D$23,3,FALSE)),"")</f>
        <v/>
      </c>
      <c r="U145" s="55" t="n"/>
      <c r="V145" s="55" t="n"/>
    </row>
    <row r="146">
      <c r="A146" s="44">
        <f>IF(ISBLANK(B146),"",COUNTA($B$18:B146))</f>
        <v/>
      </c>
      <c r="B146" s="45" t="n"/>
      <c r="C146" s="46" t="n"/>
      <c r="D146" s="46" t="n"/>
      <c r="E146" s="44" t="n"/>
      <c r="F146" s="47" t="n"/>
      <c r="G146" s="47" t="n"/>
      <c r="H146" s="47" t="n"/>
      <c r="I146" s="47" t="n"/>
      <c r="J146" s="47" t="n"/>
      <c r="K146" s="47" t="n"/>
      <c r="L146" s="48" t="n"/>
      <c r="M146" s="47" t="n"/>
      <c r="N146" s="46" t="n"/>
      <c r="O146" s="49">
        <f>IFERROR(IF(OR(ISBLANK(G146),ISBLANK(I146)),"",ABS(G146-I146)/VLOOKUP(C146,設定!$B$9:$D$23,2,FALSE)),"")</f>
        <v/>
      </c>
      <c r="P146" s="48">
        <f>IFERROR(IF(OR(ISBLANK(F146),ISBLANK(H146),ISBLANK(J146)),"",ABS(J146-F146)/ABS(F146-H146)),"")</f>
        <v/>
      </c>
      <c r="Q146" s="50">
        <f>IFERROR(IF(OR(ISBLANK(M146),ISBLANK(D146),ISBLANK(G146)),"",IF(D146="Long",(M146-G146),(G146-M146))/VLOOKUP(C146,設定!$B$9:$D$23,2,FALSE)),"")</f>
        <v/>
      </c>
      <c r="R146" s="51">
        <f>IFERROR(IF(OR(ISBLANK(Q146),O146=0),"",Q146/O146),"")</f>
        <v/>
      </c>
      <c r="S146" s="51">
        <f>IFERROR(IF(ISBLANK(R146),S145,IF(ISNUMBER(S145),S145,0)+R146),"")</f>
        <v/>
      </c>
      <c r="T146" s="52">
        <f>IFERROR(IF(OR(ISBLANK(Q146),ISBLANK(L146)),"",Q146*L146*VLOOKUP(C146,設定!$B$9:$D$23,3,FALSE)),"")</f>
        <v/>
      </c>
      <c r="U146" s="46" t="n"/>
      <c r="V146" s="46" t="n"/>
    </row>
    <row r="147">
      <c r="A147" s="53">
        <f>IF(ISBLANK(B147),"",COUNTA($B$18:B147))</f>
        <v/>
      </c>
      <c r="B147" s="54" t="n"/>
      <c r="C147" s="55" t="n"/>
      <c r="D147" s="55" t="n"/>
      <c r="E147" s="53" t="n"/>
      <c r="F147" s="56" t="n"/>
      <c r="G147" s="56" t="n"/>
      <c r="H147" s="56" t="n"/>
      <c r="I147" s="56" t="n"/>
      <c r="J147" s="56" t="n"/>
      <c r="K147" s="56" t="n"/>
      <c r="L147" s="57" t="n"/>
      <c r="M147" s="56" t="n"/>
      <c r="N147" s="55" t="n"/>
      <c r="O147" s="58">
        <f>IFERROR(IF(OR(ISBLANK(G147),ISBLANK(I147)),"",ABS(G147-I147)/VLOOKUP(C147,設定!$B$9:$D$23,2,FALSE)),"")</f>
        <v/>
      </c>
      <c r="P147" s="57">
        <f>IFERROR(IF(OR(ISBLANK(F147),ISBLANK(H147),ISBLANK(J147)),"",ABS(J147-F147)/ABS(F147-H147)),"")</f>
        <v/>
      </c>
      <c r="Q147" s="59">
        <f>IFERROR(IF(OR(ISBLANK(M147),ISBLANK(D147),ISBLANK(G147)),"",IF(D147="Long",(M147-G147),(G147-M147))/VLOOKUP(C147,設定!$B$9:$D$23,2,FALSE)),"")</f>
        <v/>
      </c>
      <c r="R147" s="60">
        <f>IFERROR(IF(OR(ISBLANK(Q147),O147=0),"",Q147/O147),"")</f>
        <v/>
      </c>
      <c r="S147" s="60">
        <f>IFERROR(IF(ISBLANK(R147),S146,IF(ISNUMBER(S146),S146,0)+R147),"")</f>
        <v/>
      </c>
      <c r="T147" s="61">
        <f>IFERROR(IF(OR(ISBLANK(Q147),ISBLANK(L147)),"",Q147*L147*VLOOKUP(C147,設定!$B$9:$D$23,3,FALSE)),"")</f>
        <v/>
      </c>
      <c r="U147" s="55" t="n"/>
      <c r="V147" s="55" t="n"/>
    </row>
    <row r="148">
      <c r="A148" s="44">
        <f>IF(ISBLANK(B148),"",COUNTA($B$18:B148))</f>
        <v/>
      </c>
      <c r="B148" s="45" t="n"/>
      <c r="C148" s="46" t="n"/>
      <c r="D148" s="46" t="n"/>
      <c r="E148" s="44" t="n"/>
      <c r="F148" s="47" t="n"/>
      <c r="G148" s="47" t="n"/>
      <c r="H148" s="47" t="n"/>
      <c r="I148" s="47" t="n"/>
      <c r="J148" s="47" t="n"/>
      <c r="K148" s="47" t="n"/>
      <c r="L148" s="48" t="n"/>
      <c r="M148" s="47" t="n"/>
      <c r="N148" s="46" t="n"/>
      <c r="O148" s="49">
        <f>IFERROR(IF(OR(ISBLANK(G148),ISBLANK(I148)),"",ABS(G148-I148)/VLOOKUP(C148,設定!$B$9:$D$23,2,FALSE)),"")</f>
        <v/>
      </c>
      <c r="P148" s="48">
        <f>IFERROR(IF(OR(ISBLANK(F148),ISBLANK(H148),ISBLANK(J148)),"",ABS(J148-F148)/ABS(F148-H148)),"")</f>
        <v/>
      </c>
      <c r="Q148" s="50">
        <f>IFERROR(IF(OR(ISBLANK(M148),ISBLANK(D148),ISBLANK(G148)),"",IF(D148="Long",(M148-G148),(G148-M148))/VLOOKUP(C148,設定!$B$9:$D$23,2,FALSE)),"")</f>
        <v/>
      </c>
      <c r="R148" s="51">
        <f>IFERROR(IF(OR(ISBLANK(Q148),O148=0),"",Q148/O148),"")</f>
        <v/>
      </c>
      <c r="S148" s="51">
        <f>IFERROR(IF(ISBLANK(R148),S147,IF(ISNUMBER(S147),S147,0)+R148),"")</f>
        <v/>
      </c>
      <c r="T148" s="52">
        <f>IFERROR(IF(OR(ISBLANK(Q148),ISBLANK(L148)),"",Q148*L148*VLOOKUP(C148,設定!$B$9:$D$23,3,FALSE)),"")</f>
        <v/>
      </c>
      <c r="U148" s="46" t="n"/>
      <c r="V148" s="46" t="n"/>
    </row>
    <row r="149">
      <c r="A149" s="53">
        <f>IF(ISBLANK(B149),"",COUNTA($B$18:B149))</f>
        <v/>
      </c>
      <c r="B149" s="54" t="n"/>
      <c r="C149" s="55" t="n"/>
      <c r="D149" s="55" t="n"/>
      <c r="E149" s="53" t="n"/>
      <c r="F149" s="56" t="n"/>
      <c r="G149" s="56" t="n"/>
      <c r="H149" s="56" t="n"/>
      <c r="I149" s="56" t="n"/>
      <c r="J149" s="56" t="n"/>
      <c r="K149" s="56" t="n"/>
      <c r="L149" s="57" t="n"/>
      <c r="M149" s="56" t="n"/>
      <c r="N149" s="55" t="n"/>
      <c r="O149" s="58">
        <f>IFERROR(IF(OR(ISBLANK(G149),ISBLANK(I149)),"",ABS(G149-I149)/VLOOKUP(C149,設定!$B$9:$D$23,2,FALSE)),"")</f>
        <v/>
      </c>
      <c r="P149" s="57">
        <f>IFERROR(IF(OR(ISBLANK(F149),ISBLANK(H149),ISBLANK(J149)),"",ABS(J149-F149)/ABS(F149-H149)),"")</f>
        <v/>
      </c>
      <c r="Q149" s="59">
        <f>IFERROR(IF(OR(ISBLANK(M149),ISBLANK(D149),ISBLANK(G149)),"",IF(D149="Long",(M149-G149),(G149-M149))/VLOOKUP(C149,設定!$B$9:$D$23,2,FALSE)),"")</f>
        <v/>
      </c>
      <c r="R149" s="60">
        <f>IFERROR(IF(OR(ISBLANK(Q149),O149=0),"",Q149/O149),"")</f>
        <v/>
      </c>
      <c r="S149" s="60">
        <f>IFERROR(IF(ISBLANK(R149),S148,IF(ISNUMBER(S148),S148,0)+R149),"")</f>
        <v/>
      </c>
      <c r="T149" s="61">
        <f>IFERROR(IF(OR(ISBLANK(Q149),ISBLANK(L149)),"",Q149*L149*VLOOKUP(C149,設定!$B$9:$D$23,3,FALSE)),"")</f>
        <v/>
      </c>
      <c r="U149" s="55" t="n"/>
      <c r="V149" s="55" t="n"/>
    </row>
    <row r="150">
      <c r="A150" s="44">
        <f>IF(ISBLANK(B150),"",COUNTA($B$18:B150))</f>
        <v/>
      </c>
      <c r="B150" s="45" t="n"/>
      <c r="C150" s="46" t="n"/>
      <c r="D150" s="46" t="n"/>
      <c r="E150" s="44" t="n"/>
      <c r="F150" s="47" t="n"/>
      <c r="G150" s="47" t="n"/>
      <c r="H150" s="47" t="n"/>
      <c r="I150" s="47" t="n"/>
      <c r="J150" s="47" t="n"/>
      <c r="K150" s="47" t="n"/>
      <c r="L150" s="48" t="n"/>
      <c r="M150" s="47" t="n"/>
      <c r="N150" s="46" t="n"/>
      <c r="O150" s="49">
        <f>IFERROR(IF(OR(ISBLANK(G150),ISBLANK(I150)),"",ABS(G150-I150)/VLOOKUP(C150,設定!$B$9:$D$23,2,FALSE)),"")</f>
        <v/>
      </c>
      <c r="P150" s="48">
        <f>IFERROR(IF(OR(ISBLANK(F150),ISBLANK(H150),ISBLANK(J150)),"",ABS(J150-F150)/ABS(F150-H150)),"")</f>
        <v/>
      </c>
      <c r="Q150" s="50">
        <f>IFERROR(IF(OR(ISBLANK(M150),ISBLANK(D150),ISBLANK(G150)),"",IF(D150="Long",(M150-G150),(G150-M150))/VLOOKUP(C150,設定!$B$9:$D$23,2,FALSE)),"")</f>
        <v/>
      </c>
      <c r="R150" s="51">
        <f>IFERROR(IF(OR(ISBLANK(Q150),O150=0),"",Q150/O150),"")</f>
        <v/>
      </c>
      <c r="S150" s="51">
        <f>IFERROR(IF(ISBLANK(R150),S149,IF(ISNUMBER(S149),S149,0)+R150),"")</f>
        <v/>
      </c>
      <c r="T150" s="52">
        <f>IFERROR(IF(OR(ISBLANK(Q150),ISBLANK(L150)),"",Q150*L150*VLOOKUP(C150,設定!$B$9:$D$23,3,FALSE)),"")</f>
        <v/>
      </c>
      <c r="U150" s="46" t="n"/>
      <c r="V150" s="46" t="n"/>
    </row>
    <row r="151">
      <c r="A151" s="53">
        <f>IF(ISBLANK(B151),"",COUNTA($B$18:B151))</f>
        <v/>
      </c>
      <c r="B151" s="54" t="n"/>
      <c r="C151" s="55" t="n"/>
      <c r="D151" s="55" t="n"/>
      <c r="E151" s="53" t="n"/>
      <c r="F151" s="56" t="n"/>
      <c r="G151" s="56" t="n"/>
      <c r="H151" s="56" t="n"/>
      <c r="I151" s="56" t="n"/>
      <c r="J151" s="56" t="n"/>
      <c r="K151" s="56" t="n"/>
      <c r="L151" s="57" t="n"/>
      <c r="M151" s="56" t="n"/>
      <c r="N151" s="55" t="n"/>
      <c r="O151" s="58">
        <f>IFERROR(IF(OR(ISBLANK(G151),ISBLANK(I151)),"",ABS(G151-I151)/VLOOKUP(C151,設定!$B$9:$D$23,2,FALSE)),"")</f>
        <v/>
      </c>
      <c r="P151" s="57">
        <f>IFERROR(IF(OR(ISBLANK(F151),ISBLANK(H151),ISBLANK(J151)),"",ABS(J151-F151)/ABS(F151-H151)),"")</f>
        <v/>
      </c>
      <c r="Q151" s="59">
        <f>IFERROR(IF(OR(ISBLANK(M151),ISBLANK(D151),ISBLANK(G151)),"",IF(D151="Long",(M151-G151),(G151-M151))/VLOOKUP(C151,設定!$B$9:$D$23,2,FALSE)),"")</f>
        <v/>
      </c>
      <c r="R151" s="60">
        <f>IFERROR(IF(OR(ISBLANK(Q151),O151=0),"",Q151/O151),"")</f>
        <v/>
      </c>
      <c r="S151" s="60">
        <f>IFERROR(IF(ISBLANK(R151),S150,IF(ISNUMBER(S150),S150,0)+R151),"")</f>
        <v/>
      </c>
      <c r="T151" s="61">
        <f>IFERROR(IF(OR(ISBLANK(Q151),ISBLANK(L151)),"",Q151*L151*VLOOKUP(C151,設定!$B$9:$D$23,3,FALSE)),"")</f>
        <v/>
      </c>
      <c r="U151" s="55" t="n"/>
      <c r="V151" s="55" t="n"/>
    </row>
    <row r="152">
      <c r="A152" s="44">
        <f>IF(ISBLANK(B152),"",COUNTA($B$18:B152))</f>
        <v/>
      </c>
      <c r="B152" s="45" t="n"/>
      <c r="C152" s="46" t="n"/>
      <c r="D152" s="46" t="n"/>
      <c r="E152" s="44" t="n"/>
      <c r="F152" s="47" t="n"/>
      <c r="G152" s="47" t="n"/>
      <c r="H152" s="47" t="n"/>
      <c r="I152" s="47" t="n"/>
      <c r="J152" s="47" t="n"/>
      <c r="K152" s="47" t="n"/>
      <c r="L152" s="48" t="n"/>
      <c r="M152" s="47" t="n"/>
      <c r="N152" s="46" t="n"/>
      <c r="O152" s="49">
        <f>IFERROR(IF(OR(ISBLANK(G152),ISBLANK(I152)),"",ABS(G152-I152)/VLOOKUP(C152,設定!$B$9:$D$23,2,FALSE)),"")</f>
        <v/>
      </c>
      <c r="P152" s="48">
        <f>IFERROR(IF(OR(ISBLANK(F152),ISBLANK(H152),ISBLANK(J152)),"",ABS(J152-F152)/ABS(F152-H152)),"")</f>
        <v/>
      </c>
      <c r="Q152" s="50">
        <f>IFERROR(IF(OR(ISBLANK(M152),ISBLANK(D152),ISBLANK(G152)),"",IF(D152="Long",(M152-G152),(G152-M152))/VLOOKUP(C152,設定!$B$9:$D$23,2,FALSE)),"")</f>
        <v/>
      </c>
      <c r="R152" s="51">
        <f>IFERROR(IF(OR(ISBLANK(Q152),O152=0),"",Q152/O152),"")</f>
        <v/>
      </c>
      <c r="S152" s="51">
        <f>IFERROR(IF(ISBLANK(R152),S151,IF(ISNUMBER(S151),S151,0)+R152),"")</f>
        <v/>
      </c>
      <c r="T152" s="52">
        <f>IFERROR(IF(OR(ISBLANK(Q152),ISBLANK(L152)),"",Q152*L152*VLOOKUP(C152,設定!$B$9:$D$23,3,FALSE)),"")</f>
        <v/>
      </c>
      <c r="U152" s="46" t="n"/>
      <c r="V152" s="46" t="n"/>
    </row>
    <row r="153">
      <c r="A153" s="53">
        <f>IF(ISBLANK(B153),"",COUNTA($B$18:B153))</f>
        <v/>
      </c>
      <c r="B153" s="54" t="n"/>
      <c r="C153" s="55" t="n"/>
      <c r="D153" s="55" t="n"/>
      <c r="E153" s="53" t="n"/>
      <c r="F153" s="56" t="n"/>
      <c r="G153" s="56" t="n"/>
      <c r="H153" s="56" t="n"/>
      <c r="I153" s="56" t="n"/>
      <c r="J153" s="56" t="n"/>
      <c r="K153" s="56" t="n"/>
      <c r="L153" s="57" t="n"/>
      <c r="M153" s="56" t="n"/>
      <c r="N153" s="55" t="n"/>
      <c r="O153" s="58">
        <f>IFERROR(IF(OR(ISBLANK(G153),ISBLANK(I153)),"",ABS(G153-I153)/VLOOKUP(C153,設定!$B$9:$D$23,2,FALSE)),"")</f>
        <v/>
      </c>
      <c r="P153" s="57">
        <f>IFERROR(IF(OR(ISBLANK(F153),ISBLANK(H153),ISBLANK(J153)),"",ABS(J153-F153)/ABS(F153-H153)),"")</f>
        <v/>
      </c>
      <c r="Q153" s="59">
        <f>IFERROR(IF(OR(ISBLANK(M153),ISBLANK(D153),ISBLANK(G153)),"",IF(D153="Long",(M153-G153),(G153-M153))/VLOOKUP(C153,設定!$B$9:$D$23,2,FALSE)),"")</f>
        <v/>
      </c>
      <c r="R153" s="60">
        <f>IFERROR(IF(OR(ISBLANK(Q153),O153=0),"",Q153/O153),"")</f>
        <v/>
      </c>
      <c r="S153" s="60">
        <f>IFERROR(IF(ISBLANK(R153),S152,IF(ISNUMBER(S152),S152,0)+R153),"")</f>
        <v/>
      </c>
      <c r="T153" s="61">
        <f>IFERROR(IF(OR(ISBLANK(Q153),ISBLANK(L153)),"",Q153*L153*VLOOKUP(C153,設定!$B$9:$D$23,3,FALSE)),"")</f>
        <v/>
      </c>
      <c r="U153" s="55" t="n"/>
      <c r="V153" s="55" t="n"/>
    </row>
    <row r="154">
      <c r="A154" s="44">
        <f>IF(ISBLANK(B154),"",COUNTA($B$18:B154))</f>
        <v/>
      </c>
      <c r="B154" s="45" t="n"/>
      <c r="C154" s="46" t="n"/>
      <c r="D154" s="46" t="n"/>
      <c r="E154" s="44" t="n"/>
      <c r="F154" s="47" t="n"/>
      <c r="G154" s="47" t="n"/>
      <c r="H154" s="47" t="n"/>
      <c r="I154" s="47" t="n"/>
      <c r="J154" s="47" t="n"/>
      <c r="K154" s="47" t="n"/>
      <c r="L154" s="48" t="n"/>
      <c r="M154" s="47" t="n"/>
      <c r="N154" s="46" t="n"/>
      <c r="O154" s="49">
        <f>IFERROR(IF(OR(ISBLANK(G154),ISBLANK(I154)),"",ABS(G154-I154)/VLOOKUP(C154,設定!$B$9:$D$23,2,FALSE)),"")</f>
        <v/>
      </c>
      <c r="P154" s="48">
        <f>IFERROR(IF(OR(ISBLANK(F154),ISBLANK(H154),ISBLANK(J154)),"",ABS(J154-F154)/ABS(F154-H154)),"")</f>
        <v/>
      </c>
      <c r="Q154" s="50">
        <f>IFERROR(IF(OR(ISBLANK(M154),ISBLANK(D154),ISBLANK(G154)),"",IF(D154="Long",(M154-G154),(G154-M154))/VLOOKUP(C154,設定!$B$9:$D$23,2,FALSE)),"")</f>
        <v/>
      </c>
      <c r="R154" s="51">
        <f>IFERROR(IF(OR(ISBLANK(Q154),O154=0),"",Q154/O154),"")</f>
        <v/>
      </c>
      <c r="S154" s="51">
        <f>IFERROR(IF(ISBLANK(R154),S153,IF(ISNUMBER(S153),S153,0)+R154),"")</f>
        <v/>
      </c>
      <c r="T154" s="52">
        <f>IFERROR(IF(OR(ISBLANK(Q154),ISBLANK(L154)),"",Q154*L154*VLOOKUP(C154,設定!$B$9:$D$23,3,FALSE)),"")</f>
        <v/>
      </c>
      <c r="U154" s="46" t="n"/>
      <c r="V154" s="46" t="n"/>
    </row>
    <row r="155">
      <c r="A155" s="53">
        <f>IF(ISBLANK(B155),"",COUNTA($B$18:B155))</f>
        <v/>
      </c>
      <c r="B155" s="54" t="n"/>
      <c r="C155" s="55" t="n"/>
      <c r="D155" s="55" t="n"/>
      <c r="E155" s="53" t="n"/>
      <c r="F155" s="56" t="n"/>
      <c r="G155" s="56" t="n"/>
      <c r="H155" s="56" t="n"/>
      <c r="I155" s="56" t="n"/>
      <c r="J155" s="56" t="n"/>
      <c r="K155" s="56" t="n"/>
      <c r="L155" s="57" t="n"/>
      <c r="M155" s="56" t="n"/>
      <c r="N155" s="55" t="n"/>
      <c r="O155" s="58">
        <f>IFERROR(IF(OR(ISBLANK(G155),ISBLANK(I155)),"",ABS(G155-I155)/VLOOKUP(C155,設定!$B$9:$D$23,2,FALSE)),"")</f>
        <v/>
      </c>
      <c r="P155" s="57">
        <f>IFERROR(IF(OR(ISBLANK(F155),ISBLANK(H155),ISBLANK(J155)),"",ABS(J155-F155)/ABS(F155-H155)),"")</f>
        <v/>
      </c>
      <c r="Q155" s="59">
        <f>IFERROR(IF(OR(ISBLANK(M155),ISBLANK(D155),ISBLANK(G155)),"",IF(D155="Long",(M155-G155),(G155-M155))/VLOOKUP(C155,設定!$B$9:$D$23,2,FALSE)),"")</f>
        <v/>
      </c>
      <c r="R155" s="60">
        <f>IFERROR(IF(OR(ISBLANK(Q155),O155=0),"",Q155/O155),"")</f>
        <v/>
      </c>
      <c r="S155" s="60">
        <f>IFERROR(IF(ISBLANK(R155),S154,IF(ISNUMBER(S154),S154,0)+R155),"")</f>
        <v/>
      </c>
      <c r="T155" s="61">
        <f>IFERROR(IF(OR(ISBLANK(Q155),ISBLANK(L155)),"",Q155*L155*VLOOKUP(C155,設定!$B$9:$D$23,3,FALSE)),"")</f>
        <v/>
      </c>
      <c r="U155" s="55" t="n"/>
      <c r="V155" s="55" t="n"/>
    </row>
    <row r="156">
      <c r="A156" s="44">
        <f>IF(ISBLANK(B156),"",COUNTA($B$18:B156))</f>
        <v/>
      </c>
      <c r="B156" s="45" t="n"/>
      <c r="C156" s="46" t="n"/>
      <c r="D156" s="46" t="n"/>
      <c r="E156" s="44" t="n"/>
      <c r="F156" s="47" t="n"/>
      <c r="G156" s="47" t="n"/>
      <c r="H156" s="47" t="n"/>
      <c r="I156" s="47" t="n"/>
      <c r="J156" s="47" t="n"/>
      <c r="K156" s="47" t="n"/>
      <c r="L156" s="48" t="n"/>
      <c r="M156" s="47" t="n"/>
      <c r="N156" s="46" t="n"/>
      <c r="O156" s="49">
        <f>IFERROR(IF(OR(ISBLANK(G156),ISBLANK(I156)),"",ABS(G156-I156)/VLOOKUP(C156,設定!$B$9:$D$23,2,FALSE)),"")</f>
        <v/>
      </c>
      <c r="P156" s="48">
        <f>IFERROR(IF(OR(ISBLANK(F156),ISBLANK(H156),ISBLANK(J156)),"",ABS(J156-F156)/ABS(F156-H156)),"")</f>
        <v/>
      </c>
      <c r="Q156" s="50">
        <f>IFERROR(IF(OR(ISBLANK(M156),ISBLANK(D156),ISBLANK(G156)),"",IF(D156="Long",(M156-G156),(G156-M156))/VLOOKUP(C156,設定!$B$9:$D$23,2,FALSE)),"")</f>
        <v/>
      </c>
      <c r="R156" s="51">
        <f>IFERROR(IF(OR(ISBLANK(Q156),O156=0),"",Q156/O156),"")</f>
        <v/>
      </c>
      <c r="S156" s="51">
        <f>IFERROR(IF(ISBLANK(R156),S155,IF(ISNUMBER(S155),S155,0)+R156),"")</f>
        <v/>
      </c>
      <c r="T156" s="52">
        <f>IFERROR(IF(OR(ISBLANK(Q156),ISBLANK(L156)),"",Q156*L156*VLOOKUP(C156,設定!$B$9:$D$23,3,FALSE)),"")</f>
        <v/>
      </c>
      <c r="U156" s="46" t="n"/>
      <c r="V156" s="46" t="n"/>
    </row>
    <row r="157">
      <c r="A157" s="53">
        <f>IF(ISBLANK(B157),"",COUNTA($B$18:B157))</f>
        <v/>
      </c>
      <c r="B157" s="54" t="n"/>
      <c r="C157" s="55" t="n"/>
      <c r="D157" s="55" t="n"/>
      <c r="E157" s="53" t="n"/>
      <c r="F157" s="56" t="n"/>
      <c r="G157" s="56" t="n"/>
      <c r="H157" s="56" t="n"/>
      <c r="I157" s="56" t="n"/>
      <c r="J157" s="56" t="n"/>
      <c r="K157" s="56" t="n"/>
      <c r="L157" s="57" t="n"/>
      <c r="M157" s="56" t="n"/>
      <c r="N157" s="55" t="n"/>
      <c r="O157" s="58">
        <f>IFERROR(IF(OR(ISBLANK(G157),ISBLANK(I157)),"",ABS(G157-I157)/VLOOKUP(C157,設定!$B$9:$D$23,2,FALSE)),"")</f>
        <v/>
      </c>
      <c r="P157" s="57">
        <f>IFERROR(IF(OR(ISBLANK(F157),ISBLANK(H157),ISBLANK(J157)),"",ABS(J157-F157)/ABS(F157-H157)),"")</f>
        <v/>
      </c>
      <c r="Q157" s="59">
        <f>IFERROR(IF(OR(ISBLANK(M157),ISBLANK(D157),ISBLANK(G157)),"",IF(D157="Long",(M157-G157),(G157-M157))/VLOOKUP(C157,設定!$B$9:$D$23,2,FALSE)),"")</f>
        <v/>
      </c>
      <c r="R157" s="60">
        <f>IFERROR(IF(OR(ISBLANK(Q157),O157=0),"",Q157/O157),"")</f>
        <v/>
      </c>
      <c r="S157" s="60">
        <f>IFERROR(IF(ISBLANK(R157),S156,IF(ISNUMBER(S156),S156,0)+R157),"")</f>
        <v/>
      </c>
      <c r="T157" s="61">
        <f>IFERROR(IF(OR(ISBLANK(Q157),ISBLANK(L157)),"",Q157*L157*VLOOKUP(C157,設定!$B$9:$D$23,3,FALSE)),"")</f>
        <v/>
      </c>
      <c r="U157" s="55" t="n"/>
      <c r="V157" s="55" t="n"/>
    </row>
    <row r="158">
      <c r="A158" s="44">
        <f>IF(ISBLANK(B158),"",COUNTA($B$18:B158))</f>
        <v/>
      </c>
      <c r="B158" s="45" t="n"/>
      <c r="C158" s="46" t="n"/>
      <c r="D158" s="46" t="n"/>
      <c r="E158" s="44" t="n"/>
      <c r="F158" s="47" t="n"/>
      <c r="G158" s="47" t="n"/>
      <c r="H158" s="47" t="n"/>
      <c r="I158" s="47" t="n"/>
      <c r="J158" s="47" t="n"/>
      <c r="K158" s="47" t="n"/>
      <c r="L158" s="48" t="n"/>
      <c r="M158" s="47" t="n"/>
      <c r="N158" s="46" t="n"/>
      <c r="O158" s="49">
        <f>IFERROR(IF(OR(ISBLANK(G158),ISBLANK(I158)),"",ABS(G158-I158)/VLOOKUP(C158,設定!$B$9:$D$23,2,FALSE)),"")</f>
        <v/>
      </c>
      <c r="P158" s="48">
        <f>IFERROR(IF(OR(ISBLANK(F158),ISBLANK(H158),ISBLANK(J158)),"",ABS(J158-F158)/ABS(F158-H158)),"")</f>
        <v/>
      </c>
      <c r="Q158" s="50">
        <f>IFERROR(IF(OR(ISBLANK(M158),ISBLANK(D158),ISBLANK(G158)),"",IF(D158="Long",(M158-G158),(G158-M158))/VLOOKUP(C158,設定!$B$9:$D$23,2,FALSE)),"")</f>
        <v/>
      </c>
      <c r="R158" s="51">
        <f>IFERROR(IF(OR(ISBLANK(Q158),O158=0),"",Q158/O158),"")</f>
        <v/>
      </c>
      <c r="S158" s="51">
        <f>IFERROR(IF(ISBLANK(R158),S157,IF(ISNUMBER(S157),S157,0)+R158),"")</f>
        <v/>
      </c>
      <c r="T158" s="52">
        <f>IFERROR(IF(OR(ISBLANK(Q158),ISBLANK(L158)),"",Q158*L158*VLOOKUP(C158,設定!$B$9:$D$23,3,FALSE)),"")</f>
        <v/>
      </c>
      <c r="U158" s="46" t="n"/>
      <c r="V158" s="46" t="n"/>
    </row>
    <row r="159">
      <c r="A159" s="53">
        <f>IF(ISBLANK(B159),"",COUNTA($B$18:B159))</f>
        <v/>
      </c>
      <c r="B159" s="54" t="n"/>
      <c r="C159" s="55" t="n"/>
      <c r="D159" s="55" t="n"/>
      <c r="E159" s="53" t="n"/>
      <c r="F159" s="56" t="n"/>
      <c r="G159" s="56" t="n"/>
      <c r="H159" s="56" t="n"/>
      <c r="I159" s="56" t="n"/>
      <c r="J159" s="56" t="n"/>
      <c r="K159" s="56" t="n"/>
      <c r="L159" s="57" t="n"/>
      <c r="M159" s="56" t="n"/>
      <c r="N159" s="55" t="n"/>
      <c r="O159" s="58">
        <f>IFERROR(IF(OR(ISBLANK(G159),ISBLANK(I159)),"",ABS(G159-I159)/VLOOKUP(C159,設定!$B$9:$D$23,2,FALSE)),"")</f>
        <v/>
      </c>
      <c r="P159" s="57">
        <f>IFERROR(IF(OR(ISBLANK(F159),ISBLANK(H159),ISBLANK(J159)),"",ABS(J159-F159)/ABS(F159-H159)),"")</f>
        <v/>
      </c>
      <c r="Q159" s="59">
        <f>IFERROR(IF(OR(ISBLANK(M159),ISBLANK(D159),ISBLANK(G159)),"",IF(D159="Long",(M159-G159),(G159-M159))/VLOOKUP(C159,設定!$B$9:$D$23,2,FALSE)),"")</f>
        <v/>
      </c>
      <c r="R159" s="60">
        <f>IFERROR(IF(OR(ISBLANK(Q159),O159=0),"",Q159/O159),"")</f>
        <v/>
      </c>
      <c r="S159" s="60">
        <f>IFERROR(IF(ISBLANK(R159),S158,IF(ISNUMBER(S158),S158,0)+R159),"")</f>
        <v/>
      </c>
      <c r="T159" s="61">
        <f>IFERROR(IF(OR(ISBLANK(Q159),ISBLANK(L159)),"",Q159*L159*VLOOKUP(C159,設定!$B$9:$D$23,3,FALSE)),"")</f>
        <v/>
      </c>
      <c r="U159" s="55" t="n"/>
      <c r="V159" s="55" t="n"/>
    </row>
    <row r="160">
      <c r="A160" s="44">
        <f>IF(ISBLANK(B160),"",COUNTA($B$18:B160))</f>
        <v/>
      </c>
      <c r="B160" s="45" t="n"/>
      <c r="C160" s="46" t="n"/>
      <c r="D160" s="46" t="n"/>
      <c r="E160" s="44" t="n"/>
      <c r="F160" s="47" t="n"/>
      <c r="G160" s="47" t="n"/>
      <c r="H160" s="47" t="n"/>
      <c r="I160" s="47" t="n"/>
      <c r="J160" s="47" t="n"/>
      <c r="K160" s="47" t="n"/>
      <c r="L160" s="48" t="n"/>
      <c r="M160" s="47" t="n"/>
      <c r="N160" s="46" t="n"/>
      <c r="O160" s="49">
        <f>IFERROR(IF(OR(ISBLANK(G160),ISBLANK(I160)),"",ABS(G160-I160)/VLOOKUP(C160,設定!$B$9:$D$23,2,FALSE)),"")</f>
        <v/>
      </c>
      <c r="P160" s="48">
        <f>IFERROR(IF(OR(ISBLANK(F160),ISBLANK(H160),ISBLANK(J160)),"",ABS(J160-F160)/ABS(F160-H160)),"")</f>
        <v/>
      </c>
      <c r="Q160" s="50">
        <f>IFERROR(IF(OR(ISBLANK(M160),ISBLANK(D160),ISBLANK(G160)),"",IF(D160="Long",(M160-G160),(G160-M160))/VLOOKUP(C160,設定!$B$9:$D$23,2,FALSE)),"")</f>
        <v/>
      </c>
      <c r="R160" s="51">
        <f>IFERROR(IF(OR(ISBLANK(Q160),O160=0),"",Q160/O160),"")</f>
        <v/>
      </c>
      <c r="S160" s="51">
        <f>IFERROR(IF(ISBLANK(R160),S159,IF(ISNUMBER(S159),S159,0)+R160),"")</f>
        <v/>
      </c>
      <c r="T160" s="52">
        <f>IFERROR(IF(OR(ISBLANK(Q160),ISBLANK(L160)),"",Q160*L160*VLOOKUP(C160,設定!$B$9:$D$23,3,FALSE)),"")</f>
        <v/>
      </c>
      <c r="U160" s="46" t="n"/>
      <c r="V160" s="46" t="n"/>
    </row>
    <row r="161">
      <c r="A161" s="53">
        <f>IF(ISBLANK(B161),"",COUNTA($B$18:B161))</f>
        <v/>
      </c>
      <c r="B161" s="54" t="n"/>
      <c r="C161" s="55" t="n"/>
      <c r="D161" s="55" t="n"/>
      <c r="E161" s="53" t="n"/>
      <c r="F161" s="56" t="n"/>
      <c r="G161" s="56" t="n"/>
      <c r="H161" s="56" t="n"/>
      <c r="I161" s="56" t="n"/>
      <c r="J161" s="56" t="n"/>
      <c r="K161" s="56" t="n"/>
      <c r="L161" s="57" t="n"/>
      <c r="M161" s="56" t="n"/>
      <c r="N161" s="55" t="n"/>
      <c r="O161" s="58">
        <f>IFERROR(IF(OR(ISBLANK(G161),ISBLANK(I161)),"",ABS(G161-I161)/VLOOKUP(C161,設定!$B$9:$D$23,2,FALSE)),"")</f>
        <v/>
      </c>
      <c r="P161" s="57">
        <f>IFERROR(IF(OR(ISBLANK(F161),ISBLANK(H161),ISBLANK(J161)),"",ABS(J161-F161)/ABS(F161-H161)),"")</f>
        <v/>
      </c>
      <c r="Q161" s="59">
        <f>IFERROR(IF(OR(ISBLANK(M161),ISBLANK(D161),ISBLANK(G161)),"",IF(D161="Long",(M161-G161),(G161-M161))/VLOOKUP(C161,設定!$B$9:$D$23,2,FALSE)),"")</f>
        <v/>
      </c>
      <c r="R161" s="60">
        <f>IFERROR(IF(OR(ISBLANK(Q161),O161=0),"",Q161/O161),"")</f>
        <v/>
      </c>
      <c r="S161" s="60">
        <f>IFERROR(IF(ISBLANK(R161),S160,IF(ISNUMBER(S160),S160,0)+R161),"")</f>
        <v/>
      </c>
      <c r="T161" s="61">
        <f>IFERROR(IF(OR(ISBLANK(Q161),ISBLANK(L161)),"",Q161*L161*VLOOKUP(C161,設定!$B$9:$D$23,3,FALSE)),"")</f>
        <v/>
      </c>
      <c r="U161" s="55" t="n"/>
      <c r="V161" s="55" t="n"/>
    </row>
    <row r="162">
      <c r="A162" s="44">
        <f>IF(ISBLANK(B162),"",COUNTA($B$18:B162))</f>
        <v/>
      </c>
      <c r="B162" s="45" t="n"/>
      <c r="C162" s="46" t="n"/>
      <c r="D162" s="46" t="n"/>
      <c r="E162" s="44" t="n"/>
      <c r="F162" s="47" t="n"/>
      <c r="G162" s="47" t="n"/>
      <c r="H162" s="47" t="n"/>
      <c r="I162" s="47" t="n"/>
      <c r="J162" s="47" t="n"/>
      <c r="K162" s="47" t="n"/>
      <c r="L162" s="48" t="n"/>
      <c r="M162" s="47" t="n"/>
      <c r="N162" s="46" t="n"/>
      <c r="O162" s="49">
        <f>IFERROR(IF(OR(ISBLANK(G162),ISBLANK(I162)),"",ABS(G162-I162)/VLOOKUP(C162,設定!$B$9:$D$23,2,FALSE)),"")</f>
        <v/>
      </c>
      <c r="P162" s="48">
        <f>IFERROR(IF(OR(ISBLANK(F162),ISBLANK(H162),ISBLANK(J162)),"",ABS(J162-F162)/ABS(F162-H162)),"")</f>
        <v/>
      </c>
      <c r="Q162" s="50">
        <f>IFERROR(IF(OR(ISBLANK(M162),ISBLANK(D162),ISBLANK(G162)),"",IF(D162="Long",(M162-G162),(G162-M162))/VLOOKUP(C162,設定!$B$9:$D$23,2,FALSE)),"")</f>
        <v/>
      </c>
      <c r="R162" s="51">
        <f>IFERROR(IF(OR(ISBLANK(Q162),O162=0),"",Q162/O162),"")</f>
        <v/>
      </c>
      <c r="S162" s="51">
        <f>IFERROR(IF(ISBLANK(R162),S161,IF(ISNUMBER(S161),S161,0)+R162),"")</f>
        <v/>
      </c>
      <c r="T162" s="52">
        <f>IFERROR(IF(OR(ISBLANK(Q162),ISBLANK(L162)),"",Q162*L162*VLOOKUP(C162,設定!$B$9:$D$23,3,FALSE)),"")</f>
        <v/>
      </c>
      <c r="U162" s="46" t="n"/>
      <c r="V162" s="46" t="n"/>
    </row>
    <row r="163">
      <c r="A163" s="53">
        <f>IF(ISBLANK(B163),"",COUNTA($B$18:B163))</f>
        <v/>
      </c>
      <c r="B163" s="54" t="n"/>
      <c r="C163" s="55" t="n"/>
      <c r="D163" s="55" t="n"/>
      <c r="E163" s="53" t="n"/>
      <c r="F163" s="56" t="n"/>
      <c r="G163" s="56" t="n"/>
      <c r="H163" s="56" t="n"/>
      <c r="I163" s="56" t="n"/>
      <c r="J163" s="56" t="n"/>
      <c r="K163" s="56" t="n"/>
      <c r="L163" s="57" t="n"/>
      <c r="M163" s="56" t="n"/>
      <c r="N163" s="55" t="n"/>
      <c r="O163" s="58">
        <f>IFERROR(IF(OR(ISBLANK(G163),ISBLANK(I163)),"",ABS(G163-I163)/VLOOKUP(C163,設定!$B$9:$D$23,2,FALSE)),"")</f>
        <v/>
      </c>
      <c r="P163" s="57">
        <f>IFERROR(IF(OR(ISBLANK(F163),ISBLANK(H163),ISBLANK(J163)),"",ABS(J163-F163)/ABS(F163-H163)),"")</f>
        <v/>
      </c>
      <c r="Q163" s="59">
        <f>IFERROR(IF(OR(ISBLANK(M163),ISBLANK(D163),ISBLANK(G163)),"",IF(D163="Long",(M163-G163),(G163-M163))/VLOOKUP(C163,設定!$B$9:$D$23,2,FALSE)),"")</f>
        <v/>
      </c>
      <c r="R163" s="60">
        <f>IFERROR(IF(OR(ISBLANK(Q163),O163=0),"",Q163/O163),"")</f>
        <v/>
      </c>
      <c r="S163" s="60">
        <f>IFERROR(IF(ISBLANK(R163),S162,IF(ISNUMBER(S162),S162,0)+R163),"")</f>
        <v/>
      </c>
      <c r="T163" s="61">
        <f>IFERROR(IF(OR(ISBLANK(Q163),ISBLANK(L163)),"",Q163*L163*VLOOKUP(C163,設定!$B$9:$D$23,3,FALSE)),"")</f>
        <v/>
      </c>
      <c r="U163" s="55" t="n"/>
      <c r="V163" s="55" t="n"/>
    </row>
    <row r="164">
      <c r="A164" s="44">
        <f>IF(ISBLANK(B164),"",COUNTA($B$18:B164))</f>
        <v/>
      </c>
      <c r="B164" s="45" t="n"/>
      <c r="C164" s="46" t="n"/>
      <c r="D164" s="46" t="n"/>
      <c r="E164" s="44" t="n"/>
      <c r="F164" s="47" t="n"/>
      <c r="G164" s="47" t="n"/>
      <c r="H164" s="47" t="n"/>
      <c r="I164" s="47" t="n"/>
      <c r="J164" s="47" t="n"/>
      <c r="K164" s="47" t="n"/>
      <c r="L164" s="48" t="n"/>
      <c r="M164" s="47" t="n"/>
      <c r="N164" s="46" t="n"/>
      <c r="O164" s="49">
        <f>IFERROR(IF(OR(ISBLANK(G164),ISBLANK(I164)),"",ABS(G164-I164)/VLOOKUP(C164,設定!$B$9:$D$23,2,FALSE)),"")</f>
        <v/>
      </c>
      <c r="P164" s="48">
        <f>IFERROR(IF(OR(ISBLANK(F164),ISBLANK(H164),ISBLANK(J164)),"",ABS(J164-F164)/ABS(F164-H164)),"")</f>
        <v/>
      </c>
      <c r="Q164" s="50">
        <f>IFERROR(IF(OR(ISBLANK(M164),ISBLANK(D164),ISBLANK(G164)),"",IF(D164="Long",(M164-G164),(G164-M164))/VLOOKUP(C164,設定!$B$9:$D$23,2,FALSE)),"")</f>
        <v/>
      </c>
      <c r="R164" s="51">
        <f>IFERROR(IF(OR(ISBLANK(Q164),O164=0),"",Q164/O164),"")</f>
        <v/>
      </c>
      <c r="S164" s="51">
        <f>IFERROR(IF(ISBLANK(R164),S163,IF(ISNUMBER(S163),S163,0)+R164),"")</f>
        <v/>
      </c>
      <c r="T164" s="52">
        <f>IFERROR(IF(OR(ISBLANK(Q164),ISBLANK(L164)),"",Q164*L164*VLOOKUP(C164,設定!$B$9:$D$23,3,FALSE)),"")</f>
        <v/>
      </c>
      <c r="U164" s="46" t="n"/>
      <c r="V164" s="46" t="n"/>
    </row>
    <row r="165">
      <c r="A165" s="53">
        <f>IF(ISBLANK(B165),"",COUNTA($B$18:B165))</f>
        <v/>
      </c>
      <c r="B165" s="54" t="n"/>
      <c r="C165" s="55" t="n"/>
      <c r="D165" s="55" t="n"/>
      <c r="E165" s="53" t="n"/>
      <c r="F165" s="56" t="n"/>
      <c r="G165" s="56" t="n"/>
      <c r="H165" s="56" t="n"/>
      <c r="I165" s="56" t="n"/>
      <c r="J165" s="56" t="n"/>
      <c r="K165" s="56" t="n"/>
      <c r="L165" s="57" t="n"/>
      <c r="M165" s="56" t="n"/>
      <c r="N165" s="55" t="n"/>
      <c r="O165" s="58">
        <f>IFERROR(IF(OR(ISBLANK(G165),ISBLANK(I165)),"",ABS(G165-I165)/VLOOKUP(C165,設定!$B$9:$D$23,2,FALSE)),"")</f>
        <v/>
      </c>
      <c r="P165" s="57">
        <f>IFERROR(IF(OR(ISBLANK(F165),ISBLANK(H165),ISBLANK(J165)),"",ABS(J165-F165)/ABS(F165-H165)),"")</f>
        <v/>
      </c>
      <c r="Q165" s="59">
        <f>IFERROR(IF(OR(ISBLANK(M165),ISBLANK(D165),ISBLANK(G165)),"",IF(D165="Long",(M165-G165),(G165-M165))/VLOOKUP(C165,設定!$B$9:$D$23,2,FALSE)),"")</f>
        <v/>
      </c>
      <c r="R165" s="60">
        <f>IFERROR(IF(OR(ISBLANK(Q165),O165=0),"",Q165/O165),"")</f>
        <v/>
      </c>
      <c r="S165" s="60">
        <f>IFERROR(IF(ISBLANK(R165),S164,IF(ISNUMBER(S164),S164,0)+R165),"")</f>
        <v/>
      </c>
      <c r="T165" s="61">
        <f>IFERROR(IF(OR(ISBLANK(Q165),ISBLANK(L165)),"",Q165*L165*VLOOKUP(C165,設定!$B$9:$D$23,3,FALSE)),"")</f>
        <v/>
      </c>
      <c r="U165" s="55" t="n"/>
      <c r="V165" s="55" t="n"/>
    </row>
    <row r="166">
      <c r="A166" s="44">
        <f>IF(ISBLANK(B166),"",COUNTA($B$18:B166))</f>
        <v/>
      </c>
      <c r="B166" s="45" t="n"/>
      <c r="C166" s="46" t="n"/>
      <c r="D166" s="46" t="n"/>
      <c r="E166" s="44" t="n"/>
      <c r="F166" s="47" t="n"/>
      <c r="G166" s="47" t="n"/>
      <c r="H166" s="47" t="n"/>
      <c r="I166" s="47" t="n"/>
      <c r="J166" s="47" t="n"/>
      <c r="K166" s="47" t="n"/>
      <c r="L166" s="48" t="n"/>
      <c r="M166" s="47" t="n"/>
      <c r="N166" s="46" t="n"/>
      <c r="O166" s="49">
        <f>IFERROR(IF(OR(ISBLANK(G166),ISBLANK(I166)),"",ABS(G166-I166)/VLOOKUP(C166,設定!$B$9:$D$23,2,FALSE)),"")</f>
        <v/>
      </c>
      <c r="P166" s="48">
        <f>IFERROR(IF(OR(ISBLANK(F166),ISBLANK(H166),ISBLANK(J166)),"",ABS(J166-F166)/ABS(F166-H166)),"")</f>
        <v/>
      </c>
      <c r="Q166" s="50">
        <f>IFERROR(IF(OR(ISBLANK(M166),ISBLANK(D166),ISBLANK(G166)),"",IF(D166="Long",(M166-G166),(G166-M166))/VLOOKUP(C166,設定!$B$9:$D$23,2,FALSE)),"")</f>
        <v/>
      </c>
      <c r="R166" s="51">
        <f>IFERROR(IF(OR(ISBLANK(Q166),O166=0),"",Q166/O166),"")</f>
        <v/>
      </c>
      <c r="S166" s="51">
        <f>IFERROR(IF(ISBLANK(R166),S165,IF(ISNUMBER(S165),S165,0)+R166),"")</f>
        <v/>
      </c>
      <c r="T166" s="52">
        <f>IFERROR(IF(OR(ISBLANK(Q166),ISBLANK(L166)),"",Q166*L166*VLOOKUP(C166,設定!$B$9:$D$23,3,FALSE)),"")</f>
        <v/>
      </c>
      <c r="U166" s="46" t="n"/>
      <c r="V166" s="46" t="n"/>
    </row>
    <row r="167">
      <c r="A167" s="53">
        <f>IF(ISBLANK(B167),"",COUNTA($B$18:B167))</f>
        <v/>
      </c>
      <c r="B167" s="54" t="n"/>
      <c r="C167" s="55" t="n"/>
      <c r="D167" s="55" t="n"/>
      <c r="E167" s="53" t="n"/>
      <c r="F167" s="56" t="n"/>
      <c r="G167" s="56" t="n"/>
      <c r="H167" s="56" t="n"/>
      <c r="I167" s="56" t="n"/>
      <c r="J167" s="56" t="n"/>
      <c r="K167" s="56" t="n"/>
      <c r="L167" s="57" t="n"/>
      <c r="M167" s="56" t="n"/>
      <c r="N167" s="55" t="n"/>
      <c r="O167" s="58">
        <f>IFERROR(IF(OR(ISBLANK(G167),ISBLANK(I167)),"",ABS(G167-I167)/VLOOKUP(C167,設定!$B$9:$D$23,2,FALSE)),"")</f>
        <v/>
      </c>
      <c r="P167" s="57">
        <f>IFERROR(IF(OR(ISBLANK(F167),ISBLANK(H167),ISBLANK(J167)),"",ABS(J167-F167)/ABS(F167-H167)),"")</f>
        <v/>
      </c>
      <c r="Q167" s="59">
        <f>IFERROR(IF(OR(ISBLANK(M167),ISBLANK(D167),ISBLANK(G167)),"",IF(D167="Long",(M167-G167),(G167-M167))/VLOOKUP(C167,設定!$B$9:$D$23,2,FALSE)),"")</f>
        <v/>
      </c>
      <c r="R167" s="60">
        <f>IFERROR(IF(OR(ISBLANK(Q167),O167=0),"",Q167/O167),"")</f>
        <v/>
      </c>
      <c r="S167" s="60">
        <f>IFERROR(IF(ISBLANK(R167),S166,IF(ISNUMBER(S166),S166,0)+R167),"")</f>
        <v/>
      </c>
      <c r="T167" s="61">
        <f>IFERROR(IF(OR(ISBLANK(Q167),ISBLANK(L167)),"",Q167*L167*VLOOKUP(C167,設定!$B$9:$D$23,3,FALSE)),"")</f>
        <v/>
      </c>
      <c r="U167" s="55" t="n"/>
      <c r="V167" s="55" t="n"/>
    </row>
    <row r="168">
      <c r="A168" s="44">
        <f>IF(ISBLANK(B168),"",COUNTA($B$18:B168))</f>
        <v/>
      </c>
      <c r="B168" s="45" t="n"/>
      <c r="C168" s="46" t="n"/>
      <c r="D168" s="46" t="n"/>
      <c r="E168" s="44" t="n"/>
      <c r="F168" s="47" t="n"/>
      <c r="G168" s="47" t="n"/>
      <c r="H168" s="47" t="n"/>
      <c r="I168" s="47" t="n"/>
      <c r="J168" s="47" t="n"/>
      <c r="K168" s="47" t="n"/>
      <c r="L168" s="48" t="n"/>
      <c r="M168" s="47" t="n"/>
      <c r="N168" s="46" t="n"/>
      <c r="O168" s="49">
        <f>IFERROR(IF(OR(ISBLANK(G168),ISBLANK(I168)),"",ABS(G168-I168)/VLOOKUP(C168,設定!$B$9:$D$23,2,FALSE)),"")</f>
        <v/>
      </c>
      <c r="P168" s="48">
        <f>IFERROR(IF(OR(ISBLANK(F168),ISBLANK(H168),ISBLANK(J168)),"",ABS(J168-F168)/ABS(F168-H168)),"")</f>
        <v/>
      </c>
      <c r="Q168" s="50">
        <f>IFERROR(IF(OR(ISBLANK(M168),ISBLANK(D168),ISBLANK(G168)),"",IF(D168="Long",(M168-G168),(G168-M168))/VLOOKUP(C168,設定!$B$9:$D$23,2,FALSE)),"")</f>
        <v/>
      </c>
      <c r="R168" s="51">
        <f>IFERROR(IF(OR(ISBLANK(Q168),O168=0),"",Q168/O168),"")</f>
        <v/>
      </c>
      <c r="S168" s="51">
        <f>IFERROR(IF(ISBLANK(R168),S167,IF(ISNUMBER(S167),S167,0)+R168),"")</f>
        <v/>
      </c>
      <c r="T168" s="52">
        <f>IFERROR(IF(OR(ISBLANK(Q168),ISBLANK(L168)),"",Q168*L168*VLOOKUP(C168,設定!$B$9:$D$23,3,FALSE)),"")</f>
        <v/>
      </c>
      <c r="U168" s="46" t="n"/>
      <c r="V168" s="46" t="n"/>
    </row>
    <row r="169">
      <c r="A169" s="53">
        <f>IF(ISBLANK(B169),"",COUNTA($B$18:B169))</f>
        <v/>
      </c>
      <c r="B169" s="54" t="n"/>
      <c r="C169" s="55" t="n"/>
      <c r="D169" s="55" t="n"/>
      <c r="E169" s="53" t="n"/>
      <c r="F169" s="56" t="n"/>
      <c r="G169" s="56" t="n"/>
      <c r="H169" s="56" t="n"/>
      <c r="I169" s="56" t="n"/>
      <c r="J169" s="56" t="n"/>
      <c r="K169" s="56" t="n"/>
      <c r="L169" s="57" t="n"/>
      <c r="M169" s="56" t="n"/>
      <c r="N169" s="55" t="n"/>
      <c r="O169" s="58">
        <f>IFERROR(IF(OR(ISBLANK(G169),ISBLANK(I169)),"",ABS(G169-I169)/VLOOKUP(C169,設定!$B$9:$D$23,2,FALSE)),"")</f>
        <v/>
      </c>
      <c r="P169" s="57">
        <f>IFERROR(IF(OR(ISBLANK(F169),ISBLANK(H169),ISBLANK(J169)),"",ABS(J169-F169)/ABS(F169-H169)),"")</f>
        <v/>
      </c>
      <c r="Q169" s="59">
        <f>IFERROR(IF(OR(ISBLANK(M169),ISBLANK(D169),ISBLANK(G169)),"",IF(D169="Long",(M169-G169),(G169-M169))/VLOOKUP(C169,設定!$B$9:$D$23,2,FALSE)),"")</f>
        <v/>
      </c>
      <c r="R169" s="60">
        <f>IFERROR(IF(OR(ISBLANK(Q169),O169=0),"",Q169/O169),"")</f>
        <v/>
      </c>
      <c r="S169" s="60">
        <f>IFERROR(IF(ISBLANK(R169),S168,IF(ISNUMBER(S168),S168,0)+R169),"")</f>
        <v/>
      </c>
      <c r="T169" s="61">
        <f>IFERROR(IF(OR(ISBLANK(Q169),ISBLANK(L169)),"",Q169*L169*VLOOKUP(C169,設定!$B$9:$D$23,3,FALSE)),"")</f>
        <v/>
      </c>
      <c r="U169" s="55" t="n"/>
      <c r="V169" s="55" t="n"/>
    </row>
    <row r="170">
      <c r="A170" s="44">
        <f>IF(ISBLANK(B170),"",COUNTA($B$18:B170))</f>
        <v/>
      </c>
      <c r="B170" s="45" t="n"/>
      <c r="C170" s="46" t="n"/>
      <c r="D170" s="46" t="n"/>
      <c r="E170" s="44" t="n"/>
      <c r="F170" s="47" t="n"/>
      <c r="G170" s="47" t="n"/>
      <c r="H170" s="47" t="n"/>
      <c r="I170" s="47" t="n"/>
      <c r="J170" s="47" t="n"/>
      <c r="K170" s="47" t="n"/>
      <c r="L170" s="48" t="n"/>
      <c r="M170" s="47" t="n"/>
      <c r="N170" s="46" t="n"/>
      <c r="O170" s="49">
        <f>IFERROR(IF(OR(ISBLANK(G170),ISBLANK(I170)),"",ABS(G170-I170)/VLOOKUP(C170,設定!$B$9:$D$23,2,FALSE)),"")</f>
        <v/>
      </c>
      <c r="P170" s="48">
        <f>IFERROR(IF(OR(ISBLANK(F170),ISBLANK(H170),ISBLANK(J170)),"",ABS(J170-F170)/ABS(F170-H170)),"")</f>
        <v/>
      </c>
      <c r="Q170" s="50">
        <f>IFERROR(IF(OR(ISBLANK(M170),ISBLANK(D170),ISBLANK(G170)),"",IF(D170="Long",(M170-G170),(G170-M170))/VLOOKUP(C170,設定!$B$9:$D$23,2,FALSE)),"")</f>
        <v/>
      </c>
      <c r="R170" s="51">
        <f>IFERROR(IF(OR(ISBLANK(Q170),O170=0),"",Q170/O170),"")</f>
        <v/>
      </c>
      <c r="S170" s="51">
        <f>IFERROR(IF(ISBLANK(R170),S169,IF(ISNUMBER(S169),S169,0)+R170),"")</f>
        <v/>
      </c>
      <c r="T170" s="52">
        <f>IFERROR(IF(OR(ISBLANK(Q170),ISBLANK(L170)),"",Q170*L170*VLOOKUP(C170,設定!$B$9:$D$23,3,FALSE)),"")</f>
        <v/>
      </c>
      <c r="U170" s="46" t="n"/>
      <c r="V170" s="46" t="n"/>
    </row>
    <row r="171">
      <c r="A171" s="53">
        <f>IF(ISBLANK(B171),"",COUNTA($B$18:B171))</f>
        <v/>
      </c>
      <c r="B171" s="54" t="n"/>
      <c r="C171" s="55" t="n"/>
      <c r="D171" s="55" t="n"/>
      <c r="E171" s="53" t="n"/>
      <c r="F171" s="56" t="n"/>
      <c r="G171" s="56" t="n"/>
      <c r="H171" s="56" t="n"/>
      <c r="I171" s="56" t="n"/>
      <c r="J171" s="56" t="n"/>
      <c r="K171" s="56" t="n"/>
      <c r="L171" s="57" t="n"/>
      <c r="M171" s="56" t="n"/>
      <c r="N171" s="55" t="n"/>
      <c r="O171" s="58">
        <f>IFERROR(IF(OR(ISBLANK(G171),ISBLANK(I171)),"",ABS(G171-I171)/VLOOKUP(C171,設定!$B$9:$D$23,2,FALSE)),"")</f>
        <v/>
      </c>
      <c r="P171" s="57">
        <f>IFERROR(IF(OR(ISBLANK(F171),ISBLANK(H171),ISBLANK(J171)),"",ABS(J171-F171)/ABS(F171-H171)),"")</f>
        <v/>
      </c>
      <c r="Q171" s="59">
        <f>IFERROR(IF(OR(ISBLANK(M171),ISBLANK(D171),ISBLANK(G171)),"",IF(D171="Long",(M171-G171),(G171-M171))/VLOOKUP(C171,設定!$B$9:$D$23,2,FALSE)),"")</f>
        <v/>
      </c>
      <c r="R171" s="60">
        <f>IFERROR(IF(OR(ISBLANK(Q171),O171=0),"",Q171/O171),"")</f>
        <v/>
      </c>
      <c r="S171" s="60">
        <f>IFERROR(IF(ISBLANK(R171),S170,IF(ISNUMBER(S170),S170,0)+R171),"")</f>
        <v/>
      </c>
      <c r="T171" s="61">
        <f>IFERROR(IF(OR(ISBLANK(Q171),ISBLANK(L171)),"",Q171*L171*VLOOKUP(C171,設定!$B$9:$D$23,3,FALSE)),"")</f>
        <v/>
      </c>
      <c r="U171" s="55" t="n"/>
      <c r="V171" s="55" t="n"/>
    </row>
    <row r="172">
      <c r="A172" s="44">
        <f>IF(ISBLANK(B172),"",COUNTA($B$18:B172))</f>
        <v/>
      </c>
      <c r="B172" s="45" t="n"/>
      <c r="C172" s="46" t="n"/>
      <c r="D172" s="46" t="n"/>
      <c r="E172" s="44" t="n"/>
      <c r="F172" s="47" t="n"/>
      <c r="G172" s="47" t="n"/>
      <c r="H172" s="47" t="n"/>
      <c r="I172" s="47" t="n"/>
      <c r="J172" s="47" t="n"/>
      <c r="K172" s="47" t="n"/>
      <c r="L172" s="48" t="n"/>
      <c r="M172" s="47" t="n"/>
      <c r="N172" s="46" t="n"/>
      <c r="O172" s="49">
        <f>IFERROR(IF(OR(ISBLANK(G172),ISBLANK(I172)),"",ABS(G172-I172)/VLOOKUP(C172,設定!$B$9:$D$23,2,FALSE)),"")</f>
        <v/>
      </c>
      <c r="P172" s="48">
        <f>IFERROR(IF(OR(ISBLANK(F172),ISBLANK(H172),ISBLANK(J172)),"",ABS(J172-F172)/ABS(F172-H172)),"")</f>
        <v/>
      </c>
      <c r="Q172" s="50">
        <f>IFERROR(IF(OR(ISBLANK(M172),ISBLANK(D172),ISBLANK(G172)),"",IF(D172="Long",(M172-G172),(G172-M172))/VLOOKUP(C172,設定!$B$9:$D$23,2,FALSE)),"")</f>
        <v/>
      </c>
      <c r="R172" s="51">
        <f>IFERROR(IF(OR(ISBLANK(Q172),O172=0),"",Q172/O172),"")</f>
        <v/>
      </c>
      <c r="S172" s="51">
        <f>IFERROR(IF(ISBLANK(R172),S171,IF(ISNUMBER(S171),S171,0)+R172),"")</f>
        <v/>
      </c>
      <c r="T172" s="52">
        <f>IFERROR(IF(OR(ISBLANK(Q172),ISBLANK(L172)),"",Q172*L172*VLOOKUP(C172,設定!$B$9:$D$23,3,FALSE)),"")</f>
        <v/>
      </c>
      <c r="U172" s="46" t="n"/>
      <c r="V172" s="46" t="n"/>
    </row>
    <row r="173">
      <c r="A173" s="53">
        <f>IF(ISBLANK(B173),"",COUNTA($B$18:B173))</f>
        <v/>
      </c>
      <c r="B173" s="54" t="n"/>
      <c r="C173" s="55" t="n"/>
      <c r="D173" s="55" t="n"/>
      <c r="E173" s="53" t="n"/>
      <c r="F173" s="56" t="n"/>
      <c r="G173" s="56" t="n"/>
      <c r="H173" s="56" t="n"/>
      <c r="I173" s="56" t="n"/>
      <c r="J173" s="56" t="n"/>
      <c r="K173" s="56" t="n"/>
      <c r="L173" s="57" t="n"/>
      <c r="M173" s="56" t="n"/>
      <c r="N173" s="55" t="n"/>
      <c r="O173" s="58">
        <f>IFERROR(IF(OR(ISBLANK(G173),ISBLANK(I173)),"",ABS(G173-I173)/VLOOKUP(C173,設定!$B$9:$D$23,2,FALSE)),"")</f>
        <v/>
      </c>
      <c r="P173" s="57">
        <f>IFERROR(IF(OR(ISBLANK(F173),ISBLANK(H173),ISBLANK(J173)),"",ABS(J173-F173)/ABS(F173-H173)),"")</f>
        <v/>
      </c>
      <c r="Q173" s="59">
        <f>IFERROR(IF(OR(ISBLANK(M173),ISBLANK(D173),ISBLANK(G173)),"",IF(D173="Long",(M173-G173),(G173-M173))/VLOOKUP(C173,設定!$B$9:$D$23,2,FALSE)),"")</f>
        <v/>
      </c>
      <c r="R173" s="60">
        <f>IFERROR(IF(OR(ISBLANK(Q173),O173=0),"",Q173/O173),"")</f>
        <v/>
      </c>
      <c r="S173" s="60">
        <f>IFERROR(IF(ISBLANK(R173),S172,IF(ISNUMBER(S172),S172,0)+R173),"")</f>
        <v/>
      </c>
      <c r="T173" s="61">
        <f>IFERROR(IF(OR(ISBLANK(Q173),ISBLANK(L173)),"",Q173*L173*VLOOKUP(C173,設定!$B$9:$D$23,3,FALSE)),"")</f>
        <v/>
      </c>
      <c r="U173" s="55" t="n"/>
      <c r="V173" s="55" t="n"/>
    </row>
    <row r="174">
      <c r="A174" s="44">
        <f>IF(ISBLANK(B174),"",COUNTA($B$18:B174))</f>
        <v/>
      </c>
      <c r="B174" s="45" t="n"/>
      <c r="C174" s="46" t="n"/>
      <c r="D174" s="46" t="n"/>
      <c r="E174" s="44" t="n"/>
      <c r="F174" s="47" t="n"/>
      <c r="G174" s="47" t="n"/>
      <c r="H174" s="47" t="n"/>
      <c r="I174" s="47" t="n"/>
      <c r="J174" s="47" t="n"/>
      <c r="K174" s="47" t="n"/>
      <c r="L174" s="48" t="n"/>
      <c r="M174" s="47" t="n"/>
      <c r="N174" s="46" t="n"/>
      <c r="O174" s="49">
        <f>IFERROR(IF(OR(ISBLANK(G174),ISBLANK(I174)),"",ABS(G174-I174)/VLOOKUP(C174,設定!$B$9:$D$23,2,FALSE)),"")</f>
        <v/>
      </c>
      <c r="P174" s="48">
        <f>IFERROR(IF(OR(ISBLANK(F174),ISBLANK(H174),ISBLANK(J174)),"",ABS(J174-F174)/ABS(F174-H174)),"")</f>
        <v/>
      </c>
      <c r="Q174" s="50">
        <f>IFERROR(IF(OR(ISBLANK(M174),ISBLANK(D174),ISBLANK(G174)),"",IF(D174="Long",(M174-G174),(G174-M174))/VLOOKUP(C174,設定!$B$9:$D$23,2,FALSE)),"")</f>
        <v/>
      </c>
      <c r="R174" s="51">
        <f>IFERROR(IF(OR(ISBLANK(Q174),O174=0),"",Q174/O174),"")</f>
        <v/>
      </c>
      <c r="S174" s="51">
        <f>IFERROR(IF(ISBLANK(R174),S173,IF(ISNUMBER(S173),S173,0)+R174),"")</f>
        <v/>
      </c>
      <c r="T174" s="52">
        <f>IFERROR(IF(OR(ISBLANK(Q174),ISBLANK(L174)),"",Q174*L174*VLOOKUP(C174,設定!$B$9:$D$23,3,FALSE)),"")</f>
        <v/>
      </c>
      <c r="U174" s="46" t="n"/>
      <c r="V174" s="46" t="n"/>
    </row>
    <row r="175">
      <c r="A175" s="53">
        <f>IF(ISBLANK(B175),"",COUNTA($B$18:B175))</f>
        <v/>
      </c>
      <c r="B175" s="54" t="n"/>
      <c r="C175" s="55" t="n"/>
      <c r="D175" s="55" t="n"/>
      <c r="E175" s="53" t="n"/>
      <c r="F175" s="56" t="n"/>
      <c r="G175" s="56" t="n"/>
      <c r="H175" s="56" t="n"/>
      <c r="I175" s="56" t="n"/>
      <c r="J175" s="56" t="n"/>
      <c r="K175" s="56" t="n"/>
      <c r="L175" s="57" t="n"/>
      <c r="M175" s="56" t="n"/>
      <c r="N175" s="55" t="n"/>
      <c r="O175" s="58">
        <f>IFERROR(IF(OR(ISBLANK(G175),ISBLANK(I175)),"",ABS(G175-I175)/VLOOKUP(C175,設定!$B$9:$D$23,2,FALSE)),"")</f>
        <v/>
      </c>
      <c r="P175" s="57">
        <f>IFERROR(IF(OR(ISBLANK(F175),ISBLANK(H175),ISBLANK(J175)),"",ABS(J175-F175)/ABS(F175-H175)),"")</f>
        <v/>
      </c>
      <c r="Q175" s="59">
        <f>IFERROR(IF(OR(ISBLANK(M175),ISBLANK(D175),ISBLANK(G175)),"",IF(D175="Long",(M175-G175),(G175-M175))/VLOOKUP(C175,設定!$B$9:$D$23,2,FALSE)),"")</f>
        <v/>
      </c>
      <c r="R175" s="60">
        <f>IFERROR(IF(OR(ISBLANK(Q175),O175=0),"",Q175/O175),"")</f>
        <v/>
      </c>
      <c r="S175" s="60">
        <f>IFERROR(IF(ISBLANK(R175),S174,IF(ISNUMBER(S174),S174,0)+R175),"")</f>
        <v/>
      </c>
      <c r="T175" s="61">
        <f>IFERROR(IF(OR(ISBLANK(Q175),ISBLANK(L175)),"",Q175*L175*VLOOKUP(C175,設定!$B$9:$D$23,3,FALSE)),"")</f>
        <v/>
      </c>
      <c r="U175" s="55" t="n"/>
      <c r="V175" s="55" t="n"/>
    </row>
    <row r="176">
      <c r="A176" s="44">
        <f>IF(ISBLANK(B176),"",COUNTA($B$18:B176))</f>
        <v/>
      </c>
      <c r="B176" s="45" t="n"/>
      <c r="C176" s="46" t="n"/>
      <c r="D176" s="46" t="n"/>
      <c r="E176" s="44" t="n"/>
      <c r="F176" s="47" t="n"/>
      <c r="G176" s="47" t="n"/>
      <c r="H176" s="47" t="n"/>
      <c r="I176" s="47" t="n"/>
      <c r="J176" s="47" t="n"/>
      <c r="K176" s="47" t="n"/>
      <c r="L176" s="48" t="n"/>
      <c r="M176" s="47" t="n"/>
      <c r="N176" s="46" t="n"/>
      <c r="O176" s="49">
        <f>IFERROR(IF(OR(ISBLANK(G176),ISBLANK(I176)),"",ABS(G176-I176)/VLOOKUP(C176,設定!$B$9:$D$23,2,FALSE)),"")</f>
        <v/>
      </c>
      <c r="P176" s="48">
        <f>IFERROR(IF(OR(ISBLANK(F176),ISBLANK(H176),ISBLANK(J176)),"",ABS(J176-F176)/ABS(F176-H176)),"")</f>
        <v/>
      </c>
      <c r="Q176" s="50">
        <f>IFERROR(IF(OR(ISBLANK(M176),ISBLANK(D176),ISBLANK(G176)),"",IF(D176="Long",(M176-G176),(G176-M176))/VLOOKUP(C176,設定!$B$9:$D$23,2,FALSE)),"")</f>
        <v/>
      </c>
      <c r="R176" s="51">
        <f>IFERROR(IF(OR(ISBLANK(Q176),O176=0),"",Q176/O176),"")</f>
        <v/>
      </c>
      <c r="S176" s="51">
        <f>IFERROR(IF(ISBLANK(R176),S175,IF(ISNUMBER(S175),S175,0)+R176),"")</f>
        <v/>
      </c>
      <c r="T176" s="52">
        <f>IFERROR(IF(OR(ISBLANK(Q176),ISBLANK(L176)),"",Q176*L176*VLOOKUP(C176,設定!$B$9:$D$23,3,FALSE)),"")</f>
        <v/>
      </c>
      <c r="U176" s="46" t="n"/>
      <c r="V176" s="46" t="n"/>
    </row>
    <row r="177">
      <c r="A177" s="53">
        <f>IF(ISBLANK(B177),"",COUNTA($B$18:B177))</f>
        <v/>
      </c>
      <c r="B177" s="54" t="n"/>
      <c r="C177" s="55" t="n"/>
      <c r="D177" s="55" t="n"/>
      <c r="E177" s="53" t="n"/>
      <c r="F177" s="56" t="n"/>
      <c r="G177" s="56" t="n"/>
      <c r="H177" s="56" t="n"/>
      <c r="I177" s="56" t="n"/>
      <c r="J177" s="56" t="n"/>
      <c r="K177" s="56" t="n"/>
      <c r="L177" s="57" t="n"/>
      <c r="M177" s="56" t="n"/>
      <c r="N177" s="55" t="n"/>
      <c r="O177" s="58">
        <f>IFERROR(IF(OR(ISBLANK(G177),ISBLANK(I177)),"",ABS(G177-I177)/VLOOKUP(C177,設定!$B$9:$D$23,2,FALSE)),"")</f>
        <v/>
      </c>
      <c r="P177" s="57">
        <f>IFERROR(IF(OR(ISBLANK(F177),ISBLANK(H177),ISBLANK(J177)),"",ABS(J177-F177)/ABS(F177-H177)),"")</f>
        <v/>
      </c>
      <c r="Q177" s="59">
        <f>IFERROR(IF(OR(ISBLANK(M177),ISBLANK(D177),ISBLANK(G177)),"",IF(D177="Long",(M177-G177),(G177-M177))/VLOOKUP(C177,設定!$B$9:$D$23,2,FALSE)),"")</f>
        <v/>
      </c>
      <c r="R177" s="60">
        <f>IFERROR(IF(OR(ISBLANK(Q177),O177=0),"",Q177/O177),"")</f>
        <v/>
      </c>
      <c r="S177" s="60">
        <f>IFERROR(IF(ISBLANK(R177),S176,IF(ISNUMBER(S176),S176,0)+R177),"")</f>
        <v/>
      </c>
      <c r="T177" s="61">
        <f>IFERROR(IF(OR(ISBLANK(Q177),ISBLANK(L177)),"",Q177*L177*VLOOKUP(C177,設定!$B$9:$D$23,3,FALSE)),"")</f>
        <v/>
      </c>
      <c r="U177" s="55" t="n"/>
      <c r="V177" s="55" t="n"/>
    </row>
    <row r="178">
      <c r="A178" s="44">
        <f>IF(ISBLANK(B178),"",COUNTA($B$18:B178))</f>
        <v/>
      </c>
      <c r="B178" s="45" t="n"/>
      <c r="C178" s="46" t="n"/>
      <c r="D178" s="46" t="n"/>
      <c r="E178" s="44" t="n"/>
      <c r="F178" s="47" t="n"/>
      <c r="G178" s="47" t="n"/>
      <c r="H178" s="47" t="n"/>
      <c r="I178" s="47" t="n"/>
      <c r="J178" s="47" t="n"/>
      <c r="K178" s="47" t="n"/>
      <c r="L178" s="48" t="n"/>
      <c r="M178" s="47" t="n"/>
      <c r="N178" s="46" t="n"/>
      <c r="O178" s="49">
        <f>IFERROR(IF(OR(ISBLANK(G178),ISBLANK(I178)),"",ABS(G178-I178)/VLOOKUP(C178,設定!$B$9:$D$23,2,FALSE)),"")</f>
        <v/>
      </c>
      <c r="P178" s="48">
        <f>IFERROR(IF(OR(ISBLANK(F178),ISBLANK(H178),ISBLANK(J178)),"",ABS(J178-F178)/ABS(F178-H178)),"")</f>
        <v/>
      </c>
      <c r="Q178" s="50">
        <f>IFERROR(IF(OR(ISBLANK(M178),ISBLANK(D178),ISBLANK(G178)),"",IF(D178="Long",(M178-G178),(G178-M178))/VLOOKUP(C178,設定!$B$9:$D$23,2,FALSE)),"")</f>
        <v/>
      </c>
      <c r="R178" s="51">
        <f>IFERROR(IF(OR(ISBLANK(Q178),O178=0),"",Q178/O178),"")</f>
        <v/>
      </c>
      <c r="S178" s="51">
        <f>IFERROR(IF(ISBLANK(R178),S177,IF(ISNUMBER(S177),S177,0)+R178),"")</f>
        <v/>
      </c>
      <c r="T178" s="52">
        <f>IFERROR(IF(OR(ISBLANK(Q178),ISBLANK(L178)),"",Q178*L178*VLOOKUP(C178,設定!$B$9:$D$23,3,FALSE)),"")</f>
        <v/>
      </c>
      <c r="U178" s="46" t="n"/>
      <c r="V178" s="46" t="n"/>
    </row>
    <row r="179">
      <c r="A179" s="53">
        <f>IF(ISBLANK(B179),"",COUNTA($B$18:B179))</f>
        <v/>
      </c>
      <c r="B179" s="54" t="n"/>
      <c r="C179" s="55" t="n"/>
      <c r="D179" s="55" t="n"/>
      <c r="E179" s="53" t="n"/>
      <c r="F179" s="56" t="n"/>
      <c r="G179" s="56" t="n"/>
      <c r="H179" s="56" t="n"/>
      <c r="I179" s="56" t="n"/>
      <c r="J179" s="56" t="n"/>
      <c r="K179" s="56" t="n"/>
      <c r="L179" s="57" t="n"/>
      <c r="M179" s="56" t="n"/>
      <c r="N179" s="55" t="n"/>
      <c r="O179" s="58">
        <f>IFERROR(IF(OR(ISBLANK(G179),ISBLANK(I179)),"",ABS(G179-I179)/VLOOKUP(C179,設定!$B$9:$D$23,2,FALSE)),"")</f>
        <v/>
      </c>
      <c r="P179" s="57">
        <f>IFERROR(IF(OR(ISBLANK(F179),ISBLANK(H179),ISBLANK(J179)),"",ABS(J179-F179)/ABS(F179-H179)),"")</f>
        <v/>
      </c>
      <c r="Q179" s="59">
        <f>IFERROR(IF(OR(ISBLANK(M179),ISBLANK(D179),ISBLANK(G179)),"",IF(D179="Long",(M179-G179),(G179-M179))/VLOOKUP(C179,設定!$B$9:$D$23,2,FALSE)),"")</f>
        <v/>
      </c>
      <c r="R179" s="60">
        <f>IFERROR(IF(OR(ISBLANK(Q179),O179=0),"",Q179/O179),"")</f>
        <v/>
      </c>
      <c r="S179" s="60">
        <f>IFERROR(IF(ISBLANK(R179),S178,IF(ISNUMBER(S178),S178,0)+R179),"")</f>
        <v/>
      </c>
      <c r="T179" s="61">
        <f>IFERROR(IF(OR(ISBLANK(Q179),ISBLANK(L179)),"",Q179*L179*VLOOKUP(C179,設定!$B$9:$D$23,3,FALSE)),"")</f>
        <v/>
      </c>
      <c r="U179" s="55" t="n"/>
      <c r="V179" s="55" t="n"/>
    </row>
    <row r="180">
      <c r="A180" s="44">
        <f>IF(ISBLANK(B180),"",COUNTA($B$18:B180))</f>
        <v/>
      </c>
      <c r="B180" s="45" t="n"/>
      <c r="C180" s="46" t="n"/>
      <c r="D180" s="46" t="n"/>
      <c r="E180" s="44" t="n"/>
      <c r="F180" s="47" t="n"/>
      <c r="G180" s="47" t="n"/>
      <c r="H180" s="47" t="n"/>
      <c r="I180" s="47" t="n"/>
      <c r="J180" s="47" t="n"/>
      <c r="K180" s="47" t="n"/>
      <c r="L180" s="48" t="n"/>
      <c r="M180" s="47" t="n"/>
      <c r="N180" s="46" t="n"/>
      <c r="O180" s="49">
        <f>IFERROR(IF(OR(ISBLANK(G180),ISBLANK(I180)),"",ABS(G180-I180)/VLOOKUP(C180,設定!$B$9:$D$23,2,FALSE)),"")</f>
        <v/>
      </c>
      <c r="P180" s="48">
        <f>IFERROR(IF(OR(ISBLANK(F180),ISBLANK(H180),ISBLANK(J180)),"",ABS(J180-F180)/ABS(F180-H180)),"")</f>
        <v/>
      </c>
      <c r="Q180" s="50">
        <f>IFERROR(IF(OR(ISBLANK(M180),ISBLANK(D180),ISBLANK(G180)),"",IF(D180="Long",(M180-G180),(G180-M180))/VLOOKUP(C180,設定!$B$9:$D$23,2,FALSE)),"")</f>
        <v/>
      </c>
      <c r="R180" s="51">
        <f>IFERROR(IF(OR(ISBLANK(Q180),O180=0),"",Q180/O180),"")</f>
        <v/>
      </c>
      <c r="S180" s="51">
        <f>IFERROR(IF(ISBLANK(R180),S179,IF(ISNUMBER(S179),S179,0)+R180),"")</f>
        <v/>
      </c>
      <c r="T180" s="52">
        <f>IFERROR(IF(OR(ISBLANK(Q180),ISBLANK(L180)),"",Q180*L180*VLOOKUP(C180,設定!$B$9:$D$23,3,FALSE)),"")</f>
        <v/>
      </c>
      <c r="U180" s="46" t="n"/>
      <c r="V180" s="46" t="n"/>
    </row>
    <row r="181">
      <c r="A181" s="53">
        <f>IF(ISBLANK(B181),"",COUNTA($B$18:B181))</f>
        <v/>
      </c>
      <c r="B181" s="54" t="n"/>
      <c r="C181" s="55" t="n"/>
      <c r="D181" s="55" t="n"/>
      <c r="E181" s="53" t="n"/>
      <c r="F181" s="56" t="n"/>
      <c r="G181" s="56" t="n"/>
      <c r="H181" s="56" t="n"/>
      <c r="I181" s="56" t="n"/>
      <c r="J181" s="56" t="n"/>
      <c r="K181" s="56" t="n"/>
      <c r="L181" s="57" t="n"/>
      <c r="M181" s="56" t="n"/>
      <c r="N181" s="55" t="n"/>
      <c r="O181" s="58">
        <f>IFERROR(IF(OR(ISBLANK(G181),ISBLANK(I181)),"",ABS(G181-I181)/VLOOKUP(C181,設定!$B$9:$D$23,2,FALSE)),"")</f>
        <v/>
      </c>
      <c r="P181" s="57">
        <f>IFERROR(IF(OR(ISBLANK(F181),ISBLANK(H181),ISBLANK(J181)),"",ABS(J181-F181)/ABS(F181-H181)),"")</f>
        <v/>
      </c>
      <c r="Q181" s="59">
        <f>IFERROR(IF(OR(ISBLANK(M181),ISBLANK(D181),ISBLANK(G181)),"",IF(D181="Long",(M181-G181),(G181-M181))/VLOOKUP(C181,設定!$B$9:$D$23,2,FALSE)),"")</f>
        <v/>
      </c>
      <c r="R181" s="60">
        <f>IFERROR(IF(OR(ISBLANK(Q181),O181=0),"",Q181/O181),"")</f>
        <v/>
      </c>
      <c r="S181" s="60">
        <f>IFERROR(IF(ISBLANK(R181),S180,IF(ISNUMBER(S180),S180,0)+R181),"")</f>
        <v/>
      </c>
      <c r="T181" s="61">
        <f>IFERROR(IF(OR(ISBLANK(Q181),ISBLANK(L181)),"",Q181*L181*VLOOKUP(C181,設定!$B$9:$D$23,3,FALSE)),"")</f>
        <v/>
      </c>
      <c r="U181" s="55" t="n"/>
      <c r="V181" s="55" t="n"/>
    </row>
    <row r="182">
      <c r="A182" s="44">
        <f>IF(ISBLANK(B182),"",COUNTA($B$18:B182))</f>
        <v/>
      </c>
      <c r="B182" s="45" t="n"/>
      <c r="C182" s="46" t="n"/>
      <c r="D182" s="46" t="n"/>
      <c r="E182" s="44" t="n"/>
      <c r="F182" s="47" t="n"/>
      <c r="G182" s="47" t="n"/>
      <c r="H182" s="47" t="n"/>
      <c r="I182" s="47" t="n"/>
      <c r="J182" s="47" t="n"/>
      <c r="K182" s="47" t="n"/>
      <c r="L182" s="48" t="n"/>
      <c r="M182" s="47" t="n"/>
      <c r="N182" s="46" t="n"/>
      <c r="O182" s="49">
        <f>IFERROR(IF(OR(ISBLANK(G182),ISBLANK(I182)),"",ABS(G182-I182)/VLOOKUP(C182,設定!$B$9:$D$23,2,FALSE)),"")</f>
        <v/>
      </c>
      <c r="P182" s="48">
        <f>IFERROR(IF(OR(ISBLANK(F182),ISBLANK(H182),ISBLANK(J182)),"",ABS(J182-F182)/ABS(F182-H182)),"")</f>
        <v/>
      </c>
      <c r="Q182" s="50">
        <f>IFERROR(IF(OR(ISBLANK(M182),ISBLANK(D182),ISBLANK(G182)),"",IF(D182="Long",(M182-G182),(G182-M182))/VLOOKUP(C182,設定!$B$9:$D$23,2,FALSE)),"")</f>
        <v/>
      </c>
      <c r="R182" s="51">
        <f>IFERROR(IF(OR(ISBLANK(Q182),O182=0),"",Q182/O182),"")</f>
        <v/>
      </c>
      <c r="S182" s="51">
        <f>IFERROR(IF(ISBLANK(R182),S181,IF(ISNUMBER(S181),S181,0)+R182),"")</f>
        <v/>
      </c>
      <c r="T182" s="52">
        <f>IFERROR(IF(OR(ISBLANK(Q182),ISBLANK(L182)),"",Q182*L182*VLOOKUP(C182,設定!$B$9:$D$23,3,FALSE)),"")</f>
        <v/>
      </c>
      <c r="U182" s="46" t="n"/>
      <c r="V182" s="46" t="n"/>
    </row>
    <row r="183">
      <c r="A183" s="53">
        <f>IF(ISBLANK(B183),"",COUNTA($B$18:B183))</f>
        <v/>
      </c>
      <c r="B183" s="54" t="n"/>
      <c r="C183" s="55" t="n"/>
      <c r="D183" s="55" t="n"/>
      <c r="E183" s="53" t="n"/>
      <c r="F183" s="56" t="n"/>
      <c r="G183" s="56" t="n"/>
      <c r="H183" s="56" t="n"/>
      <c r="I183" s="56" t="n"/>
      <c r="J183" s="56" t="n"/>
      <c r="K183" s="56" t="n"/>
      <c r="L183" s="57" t="n"/>
      <c r="M183" s="56" t="n"/>
      <c r="N183" s="55" t="n"/>
      <c r="O183" s="58">
        <f>IFERROR(IF(OR(ISBLANK(G183),ISBLANK(I183)),"",ABS(G183-I183)/VLOOKUP(C183,設定!$B$9:$D$23,2,FALSE)),"")</f>
        <v/>
      </c>
      <c r="P183" s="57">
        <f>IFERROR(IF(OR(ISBLANK(F183),ISBLANK(H183),ISBLANK(J183)),"",ABS(J183-F183)/ABS(F183-H183)),"")</f>
        <v/>
      </c>
      <c r="Q183" s="59">
        <f>IFERROR(IF(OR(ISBLANK(M183),ISBLANK(D183),ISBLANK(G183)),"",IF(D183="Long",(M183-G183),(G183-M183))/VLOOKUP(C183,設定!$B$9:$D$23,2,FALSE)),"")</f>
        <v/>
      </c>
      <c r="R183" s="60">
        <f>IFERROR(IF(OR(ISBLANK(Q183),O183=0),"",Q183/O183),"")</f>
        <v/>
      </c>
      <c r="S183" s="60">
        <f>IFERROR(IF(ISBLANK(R183),S182,IF(ISNUMBER(S182),S182,0)+R183),"")</f>
        <v/>
      </c>
      <c r="T183" s="61">
        <f>IFERROR(IF(OR(ISBLANK(Q183),ISBLANK(L183)),"",Q183*L183*VLOOKUP(C183,設定!$B$9:$D$23,3,FALSE)),"")</f>
        <v/>
      </c>
      <c r="U183" s="55" t="n"/>
      <c r="V183" s="55" t="n"/>
    </row>
    <row r="184">
      <c r="A184" s="44">
        <f>IF(ISBLANK(B184),"",COUNTA($B$18:B184))</f>
        <v/>
      </c>
      <c r="B184" s="45" t="n"/>
      <c r="C184" s="46" t="n"/>
      <c r="D184" s="46" t="n"/>
      <c r="E184" s="44" t="n"/>
      <c r="F184" s="47" t="n"/>
      <c r="G184" s="47" t="n"/>
      <c r="H184" s="47" t="n"/>
      <c r="I184" s="47" t="n"/>
      <c r="J184" s="47" t="n"/>
      <c r="K184" s="47" t="n"/>
      <c r="L184" s="48" t="n"/>
      <c r="M184" s="47" t="n"/>
      <c r="N184" s="46" t="n"/>
      <c r="O184" s="49">
        <f>IFERROR(IF(OR(ISBLANK(G184),ISBLANK(I184)),"",ABS(G184-I184)/VLOOKUP(C184,設定!$B$9:$D$23,2,FALSE)),"")</f>
        <v/>
      </c>
      <c r="P184" s="48">
        <f>IFERROR(IF(OR(ISBLANK(F184),ISBLANK(H184),ISBLANK(J184)),"",ABS(J184-F184)/ABS(F184-H184)),"")</f>
        <v/>
      </c>
      <c r="Q184" s="50">
        <f>IFERROR(IF(OR(ISBLANK(M184),ISBLANK(D184),ISBLANK(G184)),"",IF(D184="Long",(M184-G184),(G184-M184))/VLOOKUP(C184,設定!$B$9:$D$23,2,FALSE)),"")</f>
        <v/>
      </c>
      <c r="R184" s="51">
        <f>IFERROR(IF(OR(ISBLANK(Q184),O184=0),"",Q184/O184),"")</f>
        <v/>
      </c>
      <c r="S184" s="51">
        <f>IFERROR(IF(ISBLANK(R184),S183,IF(ISNUMBER(S183),S183,0)+R184),"")</f>
        <v/>
      </c>
      <c r="T184" s="52">
        <f>IFERROR(IF(OR(ISBLANK(Q184),ISBLANK(L184)),"",Q184*L184*VLOOKUP(C184,設定!$B$9:$D$23,3,FALSE)),"")</f>
        <v/>
      </c>
      <c r="U184" s="46" t="n"/>
      <c r="V184" s="46" t="n"/>
    </row>
    <row r="185">
      <c r="A185" s="53">
        <f>IF(ISBLANK(B185),"",COUNTA($B$18:B185))</f>
        <v/>
      </c>
      <c r="B185" s="54" t="n"/>
      <c r="C185" s="55" t="n"/>
      <c r="D185" s="55" t="n"/>
      <c r="E185" s="53" t="n"/>
      <c r="F185" s="56" t="n"/>
      <c r="G185" s="56" t="n"/>
      <c r="H185" s="56" t="n"/>
      <c r="I185" s="56" t="n"/>
      <c r="J185" s="56" t="n"/>
      <c r="K185" s="56" t="n"/>
      <c r="L185" s="57" t="n"/>
      <c r="M185" s="56" t="n"/>
      <c r="N185" s="55" t="n"/>
      <c r="O185" s="58">
        <f>IFERROR(IF(OR(ISBLANK(G185),ISBLANK(I185)),"",ABS(G185-I185)/VLOOKUP(C185,設定!$B$9:$D$23,2,FALSE)),"")</f>
        <v/>
      </c>
      <c r="P185" s="57">
        <f>IFERROR(IF(OR(ISBLANK(F185),ISBLANK(H185),ISBLANK(J185)),"",ABS(J185-F185)/ABS(F185-H185)),"")</f>
        <v/>
      </c>
      <c r="Q185" s="59">
        <f>IFERROR(IF(OR(ISBLANK(M185),ISBLANK(D185),ISBLANK(G185)),"",IF(D185="Long",(M185-G185),(G185-M185))/VLOOKUP(C185,設定!$B$9:$D$23,2,FALSE)),"")</f>
        <v/>
      </c>
      <c r="R185" s="60">
        <f>IFERROR(IF(OR(ISBLANK(Q185),O185=0),"",Q185/O185),"")</f>
        <v/>
      </c>
      <c r="S185" s="60">
        <f>IFERROR(IF(ISBLANK(R185),S184,IF(ISNUMBER(S184),S184,0)+R185),"")</f>
        <v/>
      </c>
      <c r="T185" s="61">
        <f>IFERROR(IF(OR(ISBLANK(Q185),ISBLANK(L185)),"",Q185*L185*VLOOKUP(C185,設定!$B$9:$D$23,3,FALSE)),"")</f>
        <v/>
      </c>
      <c r="U185" s="55" t="n"/>
      <c r="V185" s="55" t="n"/>
    </row>
    <row r="186">
      <c r="A186" s="44">
        <f>IF(ISBLANK(B186),"",COUNTA($B$18:B186))</f>
        <v/>
      </c>
      <c r="B186" s="45" t="n"/>
      <c r="C186" s="46" t="n"/>
      <c r="D186" s="46" t="n"/>
      <c r="E186" s="44" t="n"/>
      <c r="F186" s="47" t="n"/>
      <c r="G186" s="47" t="n"/>
      <c r="H186" s="47" t="n"/>
      <c r="I186" s="47" t="n"/>
      <c r="J186" s="47" t="n"/>
      <c r="K186" s="47" t="n"/>
      <c r="L186" s="48" t="n"/>
      <c r="M186" s="47" t="n"/>
      <c r="N186" s="46" t="n"/>
      <c r="O186" s="49">
        <f>IFERROR(IF(OR(ISBLANK(G186),ISBLANK(I186)),"",ABS(G186-I186)/VLOOKUP(C186,設定!$B$9:$D$23,2,FALSE)),"")</f>
        <v/>
      </c>
      <c r="P186" s="48">
        <f>IFERROR(IF(OR(ISBLANK(F186),ISBLANK(H186),ISBLANK(J186)),"",ABS(J186-F186)/ABS(F186-H186)),"")</f>
        <v/>
      </c>
      <c r="Q186" s="50">
        <f>IFERROR(IF(OR(ISBLANK(M186),ISBLANK(D186),ISBLANK(G186)),"",IF(D186="Long",(M186-G186),(G186-M186))/VLOOKUP(C186,設定!$B$9:$D$23,2,FALSE)),"")</f>
        <v/>
      </c>
      <c r="R186" s="51">
        <f>IFERROR(IF(OR(ISBLANK(Q186),O186=0),"",Q186/O186),"")</f>
        <v/>
      </c>
      <c r="S186" s="51">
        <f>IFERROR(IF(ISBLANK(R186),S185,IF(ISNUMBER(S185),S185,0)+R186),"")</f>
        <v/>
      </c>
      <c r="T186" s="52">
        <f>IFERROR(IF(OR(ISBLANK(Q186),ISBLANK(L186)),"",Q186*L186*VLOOKUP(C186,設定!$B$9:$D$23,3,FALSE)),"")</f>
        <v/>
      </c>
      <c r="U186" s="46" t="n"/>
      <c r="V186" s="46" t="n"/>
    </row>
    <row r="187">
      <c r="A187" s="53">
        <f>IF(ISBLANK(B187),"",COUNTA($B$18:B187))</f>
        <v/>
      </c>
      <c r="B187" s="54" t="n"/>
      <c r="C187" s="55" t="n"/>
      <c r="D187" s="55" t="n"/>
      <c r="E187" s="53" t="n"/>
      <c r="F187" s="56" t="n"/>
      <c r="G187" s="56" t="n"/>
      <c r="H187" s="56" t="n"/>
      <c r="I187" s="56" t="n"/>
      <c r="J187" s="56" t="n"/>
      <c r="K187" s="56" t="n"/>
      <c r="L187" s="57" t="n"/>
      <c r="M187" s="56" t="n"/>
      <c r="N187" s="55" t="n"/>
      <c r="O187" s="58">
        <f>IFERROR(IF(OR(ISBLANK(G187),ISBLANK(I187)),"",ABS(G187-I187)/VLOOKUP(C187,設定!$B$9:$D$23,2,FALSE)),"")</f>
        <v/>
      </c>
      <c r="P187" s="57">
        <f>IFERROR(IF(OR(ISBLANK(F187),ISBLANK(H187),ISBLANK(J187)),"",ABS(J187-F187)/ABS(F187-H187)),"")</f>
        <v/>
      </c>
      <c r="Q187" s="59">
        <f>IFERROR(IF(OR(ISBLANK(M187),ISBLANK(D187),ISBLANK(G187)),"",IF(D187="Long",(M187-G187),(G187-M187))/VLOOKUP(C187,設定!$B$9:$D$23,2,FALSE)),"")</f>
        <v/>
      </c>
      <c r="R187" s="60">
        <f>IFERROR(IF(OR(ISBLANK(Q187),O187=0),"",Q187/O187),"")</f>
        <v/>
      </c>
      <c r="S187" s="60">
        <f>IFERROR(IF(ISBLANK(R187),S186,IF(ISNUMBER(S186),S186,0)+R187),"")</f>
        <v/>
      </c>
      <c r="T187" s="61">
        <f>IFERROR(IF(OR(ISBLANK(Q187),ISBLANK(L187)),"",Q187*L187*VLOOKUP(C187,設定!$B$9:$D$23,3,FALSE)),"")</f>
        <v/>
      </c>
      <c r="U187" s="55" t="n"/>
      <c r="V187" s="55" t="n"/>
    </row>
    <row r="188">
      <c r="A188" s="44">
        <f>IF(ISBLANK(B188),"",COUNTA($B$18:B188))</f>
        <v/>
      </c>
      <c r="B188" s="45" t="n"/>
      <c r="C188" s="46" t="n"/>
      <c r="D188" s="46" t="n"/>
      <c r="E188" s="44" t="n"/>
      <c r="F188" s="47" t="n"/>
      <c r="G188" s="47" t="n"/>
      <c r="H188" s="47" t="n"/>
      <c r="I188" s="47" t="n"/>
      <c r="J188" s="47" t="n"/>
      <c r="K188" s="47" t="n"/>
      <c r="L188" s="48" t="n"/>
      <c r="M188" s="47" t="n"/>
      <c r="N188" s="46" t="n"/>
      <c r="O188" s="49">
        <f>IFERROR(IF(OR(ISBLANK(G188),ISBLANK(I188)),"",ABS(G188-I188)/VLOOKUP(C188,設定!$B$9:$D$23,2,FALSE)),"")</f>
        <v/>
      </c>
      <c r="P188" s="48">
        <f>IFERROR(IF(OR(ISBLANK(F188),ISBLANK(H188),ISBLANK(J188)),"",ABS(J188-F188)/ABS(F188-H188)),"")</f>
        <v/>
      </c>
      <c r="Q188" s="50">
        <f>IFERROR(IF(OR(ISBLANK(M188),ISBLANK(D188),ISBLANK(G188)),"",IF(D188="Long",(M188-G188),(G188-M188))/VLOOKUP(C188,設定!$B$9:$D$23,2,FALSE)),"")</f>
        <v/>
      </c>
      <c r="R188" s="51">
        <f>IFERROR(IF(OR(ISBLANK(Q188),O188=0),"",Q188/O188),"")</f>
        <v/>
      </c>
      <c r="S188" s="51">
        <f>IFERROR(IF(ISBLANK(R188),S187,IF(ISNUMBER(S187),S187,0)+R188),"")</f>
        <v/>
      </c>
      <c r="T188" s="52">
        <f>IFERROR(IF(OR(ISBLANK(Q188),ISBLANK(L188)),"",Q188*L188*VLOOKUP(C188,設定!$B$9:$D$23,3,FALSE)),"")</f>
        <v/>
      </c>
      <c r="U188" s="46" t="n"/>
      <c r="V188" s="46" t="n"/>
    </row>
    <row r="189">
      <c r="A189" s="53">
        <f>IF(ISBLANK(B189),"",COUNTA($B$18:B189))</f>
        <v/>
      </c>
      <c r="B189" s="54" t="n"/>
      <c r="C189" s="55" t="n"/>
      <c r="D189" s="55" t="n"/>
      <c r="E189" s="53" t="n"/>
      <c r="F189" s="56" t="n"/>
      <c r="G189" s="56" t="n"/>
      <c r="H189" s="56" t="n"/>
      <c r="I189" s="56" t="n"/>
      <c r="J189" s="56" t="n"/>
      <c r="K189" s="56" t="n"/>
      <c r="L189" s="57" t="n"/>
      <c r="M189" s="56" t="n"/>
      <c r="N189" s="55" t="n"/>
      <c r="O189" s="58">
        <f>IFERROR(IF(OR(ISBLANK(G189),ISBLANK(I189)),"",ABS(G189-I189)/VLOOKUP(C189,設定!$B$9:$D$23,2,FALSE)),"")</f>
        <v/>
      </c>
      <c r="P189" s="57">
        <f>IFERROR(IF(OR(ISBLANK(F189),ISBLANK(H189),ISBLANK(J189)),"",ABS(J189-F189)/ABS(F189-H189)),"")</f>
        <v/>
      </c>
      <c r="Q189" s="59">
        <f>IFERROR(IF(OR(ISBLANK(M189),ISBLANK(D189),ISBLANK(G189)),"",IF(D189="Long",(M189-G189),(G189-M189))/VLOOKUP(C189,設定!$B$9:$D$23,2,FALSE)),"")</f>
        <v/>
      </c>
      <c r="R189" s="60">
        <f>IFERROR(IF(OR(ISBLANK(Q189),O189=0),"",Q189/O189),"")</f>
        <v/>
      </c>
      <c r="S189" s="60">
        <f>IFERROR(IF(ISBLANK(R189),S188,IF(ISNUMBER(S188),S188,0)+R189),"")</f>
        <v/>
      </c>
      <c r="T189" s="61">
        <f>IFERROR(IF(OR(ISBLANK(Q189),ISBLANK(L189)),"",Q189*L189*VLOOKUP(C189,設定!$B$9:$D$23,3,FALSE)),"")</f>
        <v/>
      </c>
      <c r="U189" s="55" t="n"/>
      <c r="V189" s="55" t="n"/>
    </row>
    <row r="190">
      <c r="A190" s="44">
        <f>IF(ISBLANK(B190),"",COUNTA($B$18:B190))</f>
        <v/>
      </c>
      <c r="B190" s="45" t="n"/>
      <c r="C190" s="46" t="n"/>
      <c r="D190" s="46" t="n"/>
      <c r="E190" s="44" t="n"/>
      <c r="F190" s="47" t="n"/>
      <c r="G190" s="47" t="n"/>
      <c r="H190" s="47" t="n"/>
      <c r="I190" s="47" t="n"/>
      <c r="J190" s="47" t="n"/>
      <c r="K190" s="47" t="n"/>
      <c r="L190" s="48" t="n"/>
      <c r="M190" s="47" t="n"/>
      <c r="N190" s="46" t="n"/>
      <c r="O190" s="49">
        <f>IFERROR(IF(OR(ISBLANK(G190),ISBLANK(I190)),"",ABS(G190-I190)/VLOOKUP(C190,設定!$B$9:$D$23,2,FALSE)),"")</f>
        <v/>
      </c>
      <c r="P190" s="48">
        <f>IFERROR(IF(OR(ISBLANK(F190),ISBLANK(H190),ISBLANK(J190)),"",ABS(J190-F190)/ABS(F190-H190)),"")</f>
        <v/>
      </c>
      <c r="Q190" s="50">
        <f>IFERROR(IF(OR(ISBLANK(M190),ISBLANK(D190),ISBLANK(G190)),"",IF(D190="Long",(M190-G190),(G190-M190))/VLOOKUP(C190,設定!$B$9:$D$23,2,FALSE)),"")</f>
        <v/>
      </c>
      <c r="R190" s="51">
        <f>IFERROR(IF(OR(ISBLANK(Q190),O190=0),"",Q190/O190),"")</f>
        <v/>
      </c>
      <c r="S190" s="51">
        <f>IFERROR(IF(ISBLANK(R190),S189,IF(ISNUMBER(S189),S189,0)+R190),"")</f>
        <v/>
      </c>
      <c r="T190" s="52">
        <f>IFERROR(IF(OR(ISBLANK(Q190),ISBLANK(L190)),"",Q190*L190*VLOOKUP(C190,設定!$B$9:$D$23,3,FALSE)),"")</f>
        <v/>
      </c>
      <c r="U190" s="46" t="n"/>
      <c r="V190" s="46" t="n"/>
    </row>
    <row r="191">
      <c r="A191" s="53">
        <f>IF(ISBLANK(B191),"",COUNTA($B$18:B191))</f>
        <v/>
      </c>
      <c r="B191" s="54" t="n"/>
      <c r="C191" s="55" t="n"/>
      <c r="D191" s="55" t="n"/>
      <c r="E191" s="53" t="n"/>
      <c r="F191" s="56" t="n"/>
      <c r="G191" s="56" t="n"/>
      <c r="H191" s="56" t="n"/>
      <c r="I191" s="56" t="n"/>
      <c r="J191" s="56" t="n"/>
      <c r="K191" s="56" t="n"/>
      <c r="L191" s="57" t="n"/>
      <c r="M191" s="56" t="n"/>
      <c r="N191" s="55" t="n"/>
      <c r="O191" s="58">
        <f>IFERROR(IF(OR(ISBLANK(G191),ISBLANK(I191)),"",ABS(G191-I191)/VLOOKUP(C191,設定!$B$9:$D$23,2,FALSE)),"")</f>
        <v/>
      </c>
      <c r="P191" s="57">
        <f>IFERROR(IF(OR(ISBLANK(F191),ISBLANK(H191),ISBLANK(J191)),"",ABS(J191-F191)/ABS(F191-H191)),"")</f>
        <v/>
      </c>
      <c r="Q191" s="59">
        <f>IFERROR(IF(OR(ISBLANK(M191),ISBLANK(D191),ISBLANK(G191)),"",IF(D191="Long",(M191-G191),(G191-M191))/VLOOKUP(C191,設定!$B$9:$D$23,2,FALSE)),"")</f>
        <v/>
      </c>
      <c r="R191" s="60">
        <f>IFERROR(IF(OR(ISBLANK(Q191),O191=0),"",Q191/O191),"")</f>
        <v/>
      </c>
      <c r="S191" s="60">
        <f>IFERROR(IF(ISBLANK(R191),S190,IF(ISNUMBER(S190),S190,0)+R191),"")</f>
        <v/>
      </c>
      <c r="T191" s="61">
        <f>IFERROR(IF(OR(ISBLANK(Q191),ISBLANK(L191)),"",Q191*L191*VLOOKUP(C191,設定!$B$9:$D$23,3,FALSE)),"")</f>
        <v/>
      </c>
      <c r="U191" s="55" t="n"/>
      <c r="V191" s="55" t="n"/>
    </row>
    <row r="192">
      <c r="A192" s="44">
        <f>IF(ISBLANK(B192),"",COUNTA($B$18:B192))</f>
        <v/>
      </c>
      <c r="B192" s="45" t="n"/>
      <c r="C192" s="46" t="n"/>
      <c r="D192" s="46" t="n"/>
      <c r="E192" s="44" t="n"/>
      <c r="F192" s="47" t="n"/>
      <c r="G192" s="47" t="n"/>
      <c r="H192" s="47" t="n"/>
      <c r="I192" s="47" t="n"/>
      <c r="J192" s="47" t="n"/>
      <c r="K192" s="47" t="n"/>
      <c r="L192" s="48" t="n"/>
      <c r="M192" s="47" t="n"/>
      <c r="N192" s="46" t="n"/>
      <c r="O192" s="49">
        <f>IFERROR(IF(OR(ISBLANK(G192),ISBLANK(I192)),"",ABS(G192-I192)/VLOOKUP(C192,設定!$B$9:$D$23,2,FALSE)),"")</f>
        <v/>
      </c>
      <c r="P192" s="48">
        <f>IFERROR(IF(OR(ISBLANK(F192),ISBLANK(H192),ISBLANK(J192)),"",ABS(J192-F192)/ABS(F192-H192)),"")</f>
        <v/>
      </c>
      <c r="Q192" s="50">
        <f>IFERROR(IF(OR(ISBLANK(M192),ISBLANK(D192),ISBLANK(G192)),"",IF(D192="Long",(M192-G192),(G192-M192))/VLOOKUP(C192,設定!$B$9:$D$23,2,FALSE)),"")</f>
        <v/>
      </c>
      <c r="R192" s="51">
        <f>IFERROR(IF(OR(ISBLANK(Q192),O192=0),"",Q192/O192),"")</f>
        <v/>
      </c>
      <c r="S192" s="51">
        <f>IFERROR(IF(ISBLANK(R192),S191,IF(ISNUMBER(S191),S191,0)+R192),"")</f>
        <v/>
      </c>
      <c r="T192" s="52">
        <f>IFERROR(IF(OR(ISBLANK(Q192),ISBLANK(L192)),"",Q192*L192*VLOOKUP(C192,設定!$B$9:$D$23,3,FALSE)),"")</f>
        <v/>
      </c>
      <c r="U192" s="46" t="n"/>
      <c r="V192" s="46" t="n"/>
    </row>
    <row r="193">
      <c r="A193" s="53">
        <f>IF(ISBLANK(B193),"",COUNTA($B$18:B193))</f>
        <v/>
      </c>
      <c r="B193" s="54" t="n"/>
      <c r="C193" s="55" t="n"/>
      <c r="D193" s="55" t="n"/>
      <c r="E193" s="53" t="n"/>
      <c r="F193" s="56" t="n"/>
      <c r="G193" s="56" t="n"/>
      <c r="H193" s="56" t="n"/>
      <c r="I193" s="56" t="n"/>
      <c r="J193" s="56" t="n"/>
      <c r="K193" s="56" t="n"/>
      <c r="L193" s="57" t="n"/>
      <c r="M193" s="56" t="n"/>
      <c r="N193" s="55" t="n"/>
      <c r="O193" s="58">
        <f>IFERROR(IF(OR(ISBLANK(G193),ISBLANK(I193)),"",ABS(G193-I193)/VLOOKUP(C193,設定!$B$9:$D$23,2,FALSE)),"")</f>
        <v/>
      </c>
      <c r="P193" s="57">
        <f>IFERROR(IF(OR(ISBLANK(F193),ISBLANK(H193),ISBLANK(J193)),"",ABS(J193-F193)/ABS(F193-H193)),"")</f>
        <v/>
      </c>
      <c r="Q193" s="59">
        <f>IFERROR(IF(OR(ISBLANK(M193),ISBLANK(D193),ISBLANK(G193)),"",IF(D193="Long",(M193-G193),(G193-M193))/VLOOKUP(C193,設定!$B$9:$D$23,2,FALSE)),"")</f>
        <v/>
      </c>
      <c r="R193" s="60">
        <f>IFERROR(IF(OR(ISBLANK(Q193),O193=0),"",Q193/O193),"")</f>
        <v/>
      </c>
      <c r="S193" s="60">
        <f>IFERROR(IF(ISBLANK(R193),S192,IF(ISNUMBER(S192),S192,0)+R193),"")</f>
        <v/>
      </c>
      <c r="T193" s="61">
        <f>IFERROR(IF(OR(ISBLANK(Q193),ISBLANK(L193)),"",Q193*L193*VLOOKUP(C193,設定!$B$9:$D$23,3,FALSE)),"")</f>
        <v/>
      </c>
      <c r="U193" s="55" t="n"/>
      <c r="V193" s="55" t="n"/>
    </row>
    <row r="194">
      <c r="A194" s="44">
        <f>IF(ISBLANK(B194),"",COUNTA($B$18:B194))</f>
        <v/>
      </c>
      <c r="B194" s="45" t="n"/>
      <c r="C194" s="46" t="n"/>
      <c r="D194" s="46" t="n"/>
      <c r="E194" s="44" t="n"/>
      <c r="F194" s="47" t="n"/>
      <c r="G194" s="47" t="n"/>
      <c r="H194" s="47" t="n"/>
      <c r="I194" s="47" t="n"/>
      <c r="J194" s="47" t="n"/>
      <c r="K194" s="47" t="n"/>
      <c r="L194" s="48" t="n"/>
      <c r="M194" s="47" t="n"/>
      <c r="N194" s="46" t="n"/>
      <c r="O194" s="49">
        <f>IFERROR(IF(OR(ISBLANK(G194),ISBLANK(I194)),"",ABS(G194-I194)/VLOOKUP(C194,設定!$B$9:$D$23,2,FALSE)),"")</f>
        <v/>
      </c>
      <c r="P194" s="48">
        <f>IFERROR(IF(OR(ISBLANK(F194),ISBLANK(H194),ISBLANK(J194)),"",ABS(J194-F194)/ABS(F194-H194)),"")</f>
        <v/>
      </c>
      <c r="Q194" s="50">
        <f>IFERROR(IF(OR(ISBLANK(M194),ISBLANK(D194),ISBLANK(G194)),"",IF(D194="Long",(M194-G194),(G194-M194))/VLOOKUP(C194,設定!$B$9:$D$23,2,FALSE)),"")</f>
        <v/>
      </c>
      <c r="R194" s="51">
        <f>IFERROR(IF(OR(ISBLANK(Q194),O194=0),"",Q194/O194),"")</f>
        <v/>
      </c>
      <c r="S194" s="51">
        <f>IFERROR(IF(ISBLANK(R194),S193,IF(ISNUMBER(S193),S193,0)+R194),"")</f>
        <v/>
      </c>
      <c r="T194" s="52">
        <f>IFERROR(IF(OR(ISBLANK(Q194),ISBLANK(L194)),"",Q194*L194*VLOOKUP(C194,設定!$B$9:$D$23,3,FALSE)),"")</f>
        <v/>
      </c>
      <c r="U194" s="46" t="n"/>
      <c r="V194" s="46" t="n"/>
    </row>
    <row r="195">
      <c r="A195" s="53">
        <f>IF(ISBLANK(B195),"",COUNTA($B$18:B195))</f>
        <v/>
      </c>
      <c r="B195" s="54" t="n"/>
      <c r="C195" s="55" t="n"/>
      <c r="D195" s="55" t="n"/>
      <c r="E195" s="53" t="n"/>
      <c r="F195" s="56" t="n"/>
      <c r="G195" s="56" t="n"/>
      <c r="H195" s="56" t="n"/>
      <c r="I195" s="56" t="n"/>
      <c r="J195" s="56" t="n"/>
      <c r="K195" s="56" t="n"/>
      <c r="L195" s="57" t="n"/>
      <c r="M195" s="56" t="n"/>
      <c r="N195" s="55" t="n"/>
      <c r="O195" s="58">
        <f>IFERROR(IF(OR(ISBLANK(G195),ISBLANK(I195)),"",ABS(G195-I195)/VLOOKUP(C195,設定!$B$9:$D$23,2,FALSE)),"")</f>
        <v/>
      </c>
      <c r="P195" s="57">
        <f>IFERROR(IF(OR(ISBLANK(F195),ISBLANK(H195),ISBLANK(J195)),"",ABS(J195-F195)/ABS(F195-H195)),"")</f>
        <v/>
      </c>
      <c r="Q195" s="59">
        <f>IFERROR(IF(OR(ISBLANK(M195),ISBLANK(D195),ISBLANK(G195)),"",IF(D195="Long",(M195-G195),(G195-M195))/VLOOKUP(C195,設定!$B$9:$D$23,2,FALSE)),"")</f>
        <v/>
      </c>
      <c r="R195" s="60">
        <f>IFERROR(IF(OR(ISBLANK(Q195),O195=0),"",Q195/O195),"")</f>
        <v/>
      </c>
      <c r="S195" s="60">
        <f>IFERROR(IF(ISBLANK(R195),S194,IF(ISNUMBER(S194),S194,0)+R195),"")</f>
        <v/>
      </c>
      <c r="T195" s="61">
        <f>IFERROR(IF(OR(ISBLANK(Q195),ISBLANK(L195)),"",Q195*L195*VLOOKUP(C195,設定!$B$9:$D$23,3,FALSE)),"")</f>
        <v/>
      </c>
      <c r="U195" s="55" t="n"/>
      <c r="V195" s="55" t="n"/>
    </row>
    <row r="196">
      <c r="A196" s="44">
        <f>IF(ISBLANK(B196),"",COUNTA($B$18:B196))</f>
        <v/>
      </c>
      <c r="B196" s="45" t="n"/>
      <c r="C196" s="46" t="n"/>
      <c r="D196" s="46" t="n"/>
      <c r="E196" s="44" t="n"/>
      <c r="F196" s="47" t="n"/>
      <c r="G196" s="47" t="n"/>
      <c r="H196" s="47" t="n"/>
      <c r="I196" s="47" t="n"/>
      <c r="J196" s="47" t="n"/>
      <c r="K196" s="47" t="n"/>
      <c r="L196" s="48" t="n"/>
      <c r="M196" s="47" t="n"/>
      <c r="N196" s="46" t="n"/>
      <c r="O196" s="49">
        <f>IFERROR(IF(OR(ISBLANK(G196),ISBLANK(I196)),"",ABS(G196-I196)/VLOOKUP(C196,設定!$B$9:$D$23,2,FALSE)),"")</f>
        <v/>
      </c>
      <c r="P196" s="48">
        <f>IFERROR(IF(OR(ISBLANK(F196),ISBLANK(H196),ISBLANK(J196)),"",ABS(J196-F196)/ABS(F196-H196)),"")</f>
        <v/>
      </c>
      <c r="Q196" s="50">
        <f>IFERROR(IF(OR(ISBLANK(M196),ISBLANK(D196),ISBLANK(G196)),"",IF(D196="Long",(M196-G196),(G196-M196))/VLOOKUP(C196,設定!$B$9:$D$23,2,FALSE)),"")</f>
        <v/>
      </c>
      <c r="R196" s="51">
        <f>IFERROR(IF(OR(ISBLANK(Q196),O196=0),"",Q196/O196),"")</f>
        <v/>
      </c>
      <c r="S196" s="51">
        <f>IFERROR(IF(ISBLANK(R196),S195,IF(ISNUMBER(S195),S195,0)+R196),"")</f>
        <v/>
      </c>
      <c r="T196" s="52">
        <f>IFERROR(IF(OR(ISBLANK(Q196),ISBLANK(L196)),"",Q196*L196*VLOOKUP(C196,設定!$B$9:$D$23,3,FALSE)),"")</f>
        <v/>
      </c>
      <c r="U196" s="46" t="n"/>
      <c r="V196" s="46" t="n"/>
    </row>
    <row r="197">
      <c r="A197" s="53">
        <f>IF(ISBLANK(B197),"",COUNTA($B$18:B197))</f>
        <v/>
      </c>
      <c r="B197" s="54" t="n"/>
      <c r="C197" s="55" t="n"/>
      <c r="D197" s="55" t="n"/>
      <c r="E197" s="53" t="n"/>
      <c r="F197" s="56" t="n"/>
      <c r="G197" s="56" t="n"/>
      <c r="H197" s="56" t="n"/>
      <c r="I197" s="56" t="n"/>
      <c r="J197" s="56" t="n"/>
      <c r="K197" s="56" t="n"/>
      <c r="L197" s="57" t="n"/>
      <c r="M197" s="56" t="n"/>
      <c r="N197" s="55" t="n"/>
      <c r="O197" s="58">
        <f>IFERROR(IF(OR(ISBLANK(G197),ISBLANK(I197)),"",ABS(G197-I197)/VLOOKUP(C197,設定!$B$9:$D$23,2,FALSE)),"")</f>
        <v/>
      </c>
      <c r="P197" s="57">
        <f>IFERROR(IF(OR(ISBLANK(F197),ISBLANK(H197),ISBLANK(J197)),"",ABS(J197-F197)/ABS(F197-H197)),"")</f>
        <v/>
      </c>
      <c r="Q197" s="59">
        <f>IFERROR(IF(OR(ISBLANK(M197),ISBLANK(D197),ISBLANK(G197)),"",IF(D197="Long",(M197-G197),(G197-M197))/VLOOKUP(C197,設定!$B$9:$D$23,2,FALSE)),"")</f>
        <v/>
      </c>
      <c r="R197" s="60">
        <f>IFERROR(IF(OR(ISBLANK(Q197),O197=0),"",Q197/O197),"")</f>
        <v/>
      </c>
      <c r="S197" s="60">
        <f>IFERROR(IF(ISBLANK(R197),S196,IF(ISNUMBER(S196),S196,0)+R197),"")</f>
        <v/>
      </c>
      <c r="T197" s="61">
        <f>IFERROR(IF(OR(ISBLANK(Q197),ISBLANK(L197)),"",Q197*L197*VLOOKUP(C197,設定!$B$9:$D$23,3,FALSE)),"")</f>
        <v/>
      </c>
      <c r="U197" s="55" t="n"/>
      <c r="V197" s="55" t="n"/>
    </row>
    <row r="198">
      <c r="A198" s="44">
        <f>IF(ISBLANK(B198),"",COUNTA($B$18:B198))</f>
        <v/>
      </c>
      <c r="B198" s="45" t="n"/>
      <c r="C198" s="46" t="n"/>
      <c r="D198" s="46" t="n"/>
      <c r="E198" s="44" t="n"/>
      <c r="F198" s="47" t="n"/>
      <c r="G198" s="47" t="n"/>
      <c r="H198" s="47" t="n"/>
      <c r="I198" s="47" t="n"/>
      <c r="J198" s="47" t="n"/>
      <c r="K198" s="47" t="n"/>
      <c r="L198" s="48" t="n"/>
      <c r="M198" s="47" t="n"/>
      <c r="N198" s="46" t="n"/>
      <c r="O198" s="49">
        <f>IFERROR(IF(OR(ISBLANK(G198),ISBLANK(I198)),"",ABS(G198-I198)/VLOOKUP(C198,設定!$B$9:$D$23,2,FALSE)),"")</f>
        <v/>
      </c>
      <c r="P198" s="48">
        <f>IFERROR(IF(OR(ISBLANK(F198),ISBLANK(H198),ISBLANK(J198)),"",ABS(J198-F198)/ABS(F198-H198)),"")</f>
        <v/>
      </c>
      <c r="Q198" s="50">
        <f>IFERROR(IF(OR(ISBLANK(M198),ISBLANK(D198),ISBLANK(G198)),"",IF(D198="Long",(M198-G198),(G198-M198))/VLOOKUP(C198,設定!$B$9:$D$23,2,FALSE)),"")</f>
        <v/>
      </c>
      <c r="R198" s="51">
        <f>IFERROR(IF(OR(ISBLANK(Q198),O198=0),"",Q198/O198),"")</f>
        <v/>
      </c>
      <c r="S198" s="51">
        <f>IFERROR(IF(ISBLANK(R198),S197,IF(ISNUMBER(S197),S197,0)+R198),"")</f>
        <v/>
      </c>
      <c r="T198" s="52">
        <f>IFERROR(IF(OR(ISBLANK(Q198),ISBLANK(L198)),"",Q198*L198*VLOOKUP(C198,設定!$B$9:$D$23,3,FALSE)),"")</f>
        <v/>
      </c>
      <c r="U198" s="46" t="n"/>
      <c r="V198" s="46" t="n"/>
    </row>
    <row r="199">
      <c r="A199" s="53">
        <f>IF(ISBLANK(B199),"",COUNTA($B$18:B199))</f>
        <v/>
      </c>
      <c r="B199" s="54" t="n"/>
      <c r="C199" s="55" t="n"/>
      <c r="D199" s="55" t="n"/>
      <c r="E199" s="53" t="n"/>
      <c r="F199" s="56" t="n"/>
      <c r="G199" s="56" t="n"/>
      <c r="H199" s="56" t="n"/>
      <c r="I199" s="56" t="n"/>
      <c r="J199" s="56" t="n"/>
      <c r="K199" s="56" t="n"/>
      <c r="L199" s="57" t="n"/>
      <c r="M199" s="56" t="n"/>
      <c r="N199" s="55" t="n"/>
      <c r="O199" s="58">
        <f>IFERROR(IF(OR(ISBLANK(G199),ISBLANK(I199)),"",ABS(G199-I199)/VLOOKUP(C199,設定!$B$9:$D$23,2,FALSE)),"")</f>
        <v/>
      </c>
      <c r="P199" s="57">
        <f>IFERROR(IF(OR(ISBLANK(F199),ISBLANK(H199),ISBLANK(J199)),"",ABS(J199-F199)/ABS(F199-H199)),"")</f>
        <v/>
      </c>
      <c r="Q199" s="59">
        <f>IFERROR(IF(OR(ISBLANK(M199),ISBLANK(D199),ISBLANK(G199)),"",IF(D199="Long",(M199-G199),(G199-M199))/VLOOKUP(C199,設定!$B$9:$D$23,2,FALSE)),"")</f>
        <v/>
      </c>
      <c r="R199" s="60">
        <f>IFERROR(IF(OR(ISBLANK(Q199),O199=0),"",Q199/O199),"")</f>
        <v/>
      </c>
      <c r="S199" s="60">
        <f>IFERROR(IF(ISBLANK(R199),S198,IF(ISNUMBER(S198),S198,0)+R199),"")</f>
        <v/>
      </c>
      <c r="T199" s="61">
        <f>IFERROR(IF(OR(ISBLANK(Q199),ISBLANK(L199)),"",Q199*L199*VLOOKUP(C199,設定!$B$9:$D$23,3,FALSE)),"")</f>
        <v/>
      </c>
      <c r="U199" s="55" t="n"/>
      <c r="V199" s="55" t="n"/>
    </row>
    <row r="200">
      <c r="A200" s="44">
        <f>IF(ISBLANK(B200),"",COUNTA($B$18:B200))</f>
        <v/>
      </c>
      <c r="B200" s="45" t="n"/>
      <c r="C200" s="46" t="n"/>
      <c r="D200" s="46" t="n"/>
      <c r="E200" s="44" t="n"/>
      <c r="F200" s="47" t="n"/>
      <c r="G200" s="47" t="n"/>
      <c r="H200" s="47" t="n"/>
      <c r="I200" s="47" t="n"/>
      <c r="J200" s="47" t="n"/>
      <c r="K200" s="47" t="n"/>
      <c r="L200" s="48" t="n"/>
      <c r="M200" s="47" t="n"/>
      <c r="N200" s="46" t="n"/>
      <c r="O200" s="49">
        <f>IFERROR(IF(OR(ISBLANK(G200),ISBLANK(I200)),"",ABS(G200-I200)/VLOOKUP(C200,設定!$B$9:$D$23,2,FALSE)),"")</f>
        <v/>
      </c>
      <c r="P200" s="48">
        <f>IFERROR(IF(OR(ISBLANK(F200),ISBLANK(H200),ISBLANK(J200)),"",ABS(J200-F200)/ABS(F200-H200)),"")</f>
        <v/>
      </c>
      <c r="Q200" s="50">
        <f>IFERROR(IF(OR(ISBLANK(M200),ISBLANK(D200),ISBLANK(G200)),"",IF(D200="Long",(M200-G200),(G200-M200))/VLOOKUP(C200,設定!$B$9:$D$23,2,FALSE)),"")</f>
        <v/>
      </c>
      <c r="R200" s="51">
        <f>IFERROR(IF(OR(ISBLANK(Q200),O200=0),"",Q200/O200),"")</f>
        <v/>
      </c>
      <c r="S200" s="51">
        <f>IFERROR(IF(ISBLANK(R200),S199,IF(ISNUMBER(S199),S199,0)+R200),"")</f>
        <v/>
      </c>
      <c r="T200" s="52">
        <f>IFERROR(IF(OR(ISBLANK(Q200),ISBLANK(L200)),"",Q200*L200*VLOOKUP(C200,設定!$B$9:$D$23,3,FALSE)),"")</f>
        <v/>
      </c>
      <c r="U200" s="46" t="n"/>
      <c r="V200" s="46" t="n"/>
    </row>
    <row r="201">
      <c r="A201" s="53">
        <f>IF(ISBLANK(B201),"",COUNTA($B$18:B201))</f>
        <v/>
      </c>
      <c r="B201" s="54" t="n"/>
      <c r="C201" s="55" t="n"/>
      <c r="D201" s="55" t="n"/>
      <c r="E201" s="53" t="n"/>
      <c r="F201" s="56" t="n"/>
      <c r="G201" s="56" t="n"/>
      <c r="H201" s="56" t="n"/>
      <c r="I201" s="56" t="n"/>
      <c r="J201" s="56" t="n"/>
      <c r="K201" s="56" t="n"/>
      <c r="L201" s="57" t="n"/>
      <c r="M201" s="56" t="n"/>
      <c r="N201" s="55" t="n"/>
      <c r="O201" s="58">
        <f>IFERROR(IF(OR(ISBLANK(G201),ISBLANK(I201)),"",ABS(G201-I201)/VLOOKUP(C201,設定!$B$9:$D$23,2,FALSE)),"")</f>
        <v/>
      </c>
      <c r="P201" s="57">
        <f>IFERROR(IF(OR(ISBLANK(F201),ISBLANK(H201),ISBLANK(J201)),"",ABS(J201-F201)/ABS(F201-H201)),"")</f>
        <v/>
      </c>
      <c r="Q201" s="59">
        <f>IFERROR(IF(OR(ISBLANK(M201),ISBLANK(D201),ISBLANK(G201)),"",IF(D201="Long",(M201-G201),(G201-M201))/VLOOKUP(C201,設定!$B$9:$D$23,2,FALSE)),"")</f>
        <v/>
      </c>
      <c r="R201" s="60">
        <f>IFERROR(IF(OR(ISBLANK(Q201),O201=0),"",Q201/O201),"")</f>
        <v/>
      </c>
      <c r="S201" s="60">
        <f>IFERROR(IF(ISBLANK(R201),S200,IF(ISNUMBER(S200),S200,0)+R201),"")</f>
        <v/>
      </c>
      <c r="T201" s="61">
        <f>IFERROR(IF(OR(ISBLANK(Q201),ISBLANK(L201)),"",Q201*L201*VLOOKUP(C201,設定!$B$9:$D$23,3,FALSE)),"")</f>
        <v/>
      </c>
      <c r="U201" s="55" t="n"/>
      <c r="V201" s="55" t="n"/>
    </row>
    <row r="202">
      <c r="A202" s="44">
        <f>IF(ISBLANK(B202),"",COUNTA($B$18:B202))</f>
        <v/>
      </c>
      <c r="B202" s="45" t="n"/>
      <c r="C202" s="46" t="n"/>
      <c r="D202" s="46" t="n"/>
      <c r="E202" s="44" t="n"/>
      <c r="F202" s="47" t="n"/>
      <c r="G202" s="47" t="n"/>
      <c r="H202" s="47" t="n"/>
      <c r="I202" s="47" t="n"/>
      <c r="J202" s="47" t="n"/>
      <c r="K202" s="47" t="n"/>
      <c r="L202" s="48" t="n"/>
      <c r="M202" s="47" t="n"/>
      <c r="N202" s="46" t="n"/>
      <c r="O202" s="49">
        <f>IFERROR(IF(OR(ISBLANK(G202),ISBLANK(I202)),"",ABS(G202-I202)/VLOOKUP(C202,設定!$B$9:$D$23,2,FALSE)),"")</f>
        <v/>
      </c>
      <c r="P202" s="48">
        <f>IFERROR(IF(OR(ISBLANK(F202),ISBLANK(H202),ISBLANK(J202)),"",ABS(J202-F202)/ABS(F202-H202)),"")</f>
        <v/>
      </c>
      <c r="Q202" s="50">
        <f>IFERROR(IF(OR(ISBLANK(M202),ISBLANK(D202),ISBLANK(G202)),"",IF(D202="Long",(M202-G202),(G202-M202))/VLOOKUP(C202,設定!$B$9:$D$23,2,FALSE)),"")</f>
        <v/>
      </c>
      <c r="R202" s="51">
        <f>IFERROR(IF(OR(ISBLANK(Q202),O202=0),"",Q202/O202),"")</f>
        <v/>
      </c>
      <c r="S202" s="51">
        <f>IFERROR(IF(ISBLANK(R202),S201,IF(ISNUMBER(S201),S201,0)+R202),"")</f>
        <v/>
      </c>
      <c r="T202" s="52">
        <f>IFERROR(IF(OR(ISBLANK(Q202),ISBLANK(L202)),"",Q202*L202*VLOOKUP(C202,設定!$B$9:$D$23,3,FALSE)),"")</f>
        <v/>
      </c>
      <c r="U202" s="46" t="n"/>
      <c r="V202" s="46" t="n"/>
    </row>
    <row r="203">
      <c r="A203" s="53">
        <f>IF(ISBLANK(B203),"",COUNTA($B$18:B203))</f>
        <v/>
      </c>
      <c r="B203" s="54" t="n"/>
      <c r="C203" s="55" t="n"/>
      <c r="D203" s="55" t="n"/>
      <c r="E203" s="53" t="n"/>
      <c r="F203" s="56" t="n"/>
      <c r="G203" s="56" t="n"/>
      <c r="H203" s="56" t="n"/>
      <c r="I203" s="56" t="n"/>
      <c r="J203" s="56" t="n"/>
      <c r="K203" s="56" t="n"/>
      <c r="L203" s="57" t="n"/>
      <c r="M203" s="56" t="n"/>
      <c r="N203" s="55" t="n"/>
      <c r="O203" s="58">
        <f>IFERROR(IF(OR(ISBLANK(G203),ISBLANK(I203)),"",ABS(G203-I203)/VLOOKUP(C203,設定!$B$9:$D$23,2,FALSE)),"")</f>
        <v/>
      </c>
      <c r="P203" s="57">
        <f>IFERROR(IF(OR(ISBLANK(F203),ISBLANK(H203),ISBLANK(J203)),"",ABS(J203-F203)/ABS(F203-H203)),"")</f>
        <v/>
      </c>
      <c r="Q203" s="59">
        <f>IFERROR(IF(OR(ISBLANK(M203),ISBLANK(D203),ISBLANK(G203)),"",IF(D203="Long",(M203-G203),(G203-M203))/VLOOKUP(C203,設定!$B$9:$D$23,2,FALSE)),"")</f>
        <v/>
      </c>
      <c r="R203" s="60">
        <f>IFERROR(IF(OR(ISBLANK(Q203),O203=0),"",Q203/O203),"")</f>
        <v/>
      </c>
      <c r="S203" s="60">
        <f>IFERROR(IF(ISBLANK(R203),S202,IF(ISNUMBER(S202),S202,0)+R203),"")</f>
        <v/>
      </c>
      <c r="T203" s="61">
        <f>IFERROR(IF(OR(ISBLANK(Q203),ISBLANK(L203)),"",Q203*L203*VLOOKUP(C203,設定!$B$9:$D$23,3,FALSE)),"")</f>
        <v/>
      </c>
      <c r="U203" s="55" t="n"/>
      <c r="V203" s="55" t="n"/>
    </row>
    <row r="204">
      <c r="A204" s="44">
        <f>IF(ISBLANK(B204),"",COUNTA($B$18:B204))</f>
        <v/>
      </c>
      <c r="B204" s="45" t="n"/>
      <c r="C204" s="46" t="n"/>
      <c r="D204" s="46" t="n"/>
      <c r="E204" s="44" t="n"/>
      <c r="F204" s="47" t="n"/>
      <c r="G204" s="47" t="n"/>
      <c r="H204" s="47" t="n"/>
      <c r="I204" s="47" t="n"/>
      <c r="J204" s="47" t="n"/>
      <c r="K204" s="47" t="n"/>
      <c r="L204" s="48" t="n"/>
      <c r="M204" s="47" t="n"/>
      <c r="N204" s="46" t="n"/>
      <c r="O204" s="49">
        <f>IFERROR(IF(OR(ISBLANK(G204),ISBLANK(I204)),"",ABS(G204-I204)/VLOOKUP(C204,設定!$B$9:$D$23,2,FALSE)),"")</f>
        <v/>
      </c>
      <c r="P204" s="48">
        <f>IFERROR(IF(OR(ISBLANK(F204),ISBLANK(H204),ISBLANK(J204)),"",ABS(J204-F204)/ABS(F204-H204)),"")</f>
        <v/>
      </c>
      <c r="Q204" s="50">
        <f>IFERROR(IF(OR(ISBLANK(M204),ISBLANK(D204),ISBLANK(G204)),"",IF(D204="Long",(M204-G204),(G204-M204))/VLOOKUP(C204,設定!$B$9:$D$23,2,FALSE)),"")</f>
        <v/>
      </c>
      <c r="R204" s="51">
        <f>IFERROR(IF(OR(ISBLANK(Q204),O204=0),"",Q204/O204),"")</f>
        <v/>
      </c>
      <c r="S204" s="51">
        <f>IFERROR(IF(ISBLANK(R204),S203,IF(ISNUMBER(S203),S203,0)+R204),"")</f>
        <v/>
      </c>
      <c r="T204" s="52">
        <f>IFERROR(IF(OR(ISBLANK(Q204),ISBLANK(L204)),"",Q204*L204*VLOOKUP(C204,設定!$B$9:$D$23,3,FALSE)),"")</f>
        <v/>
      </c>
      <c r="U204" s="46" t="n"/>
      <c r="V204" s="46" t="n"/>
    </row>
    <row r="205">
      <c r="A205" s="53">
        <f>IF(ISBLANK(B205),"",COUNTA($B$18:B205))</f>
        <v/>
      </c>
      <c r="B205" s="54" t="n"/>
      <c r="C205" s="55" t="n"/>
      <c r="D205" s="55" t="n"/>
      <c r="E205" s="53" t="n"/>
      <c r="F205" s="56" t="n"/>
      <c r="G205" s="56" t="n"/>
      <c r="H205" s="56" t="n"/>
      <c r="I205" s="56" t="n"/>
      <c r="J205" s="56" t="n"/>
      <c r="K205" s="56" t="n"/>
      <c r="L205" s="57" t="n"/>
      <c r="M205" s="56" t="n"/>
      <c r="N205" s="55" t="n"/>
      <c r="O205" s="58">
        <f>IFERROR(IF(OR(ISBLANK(G205),ISBLANK(I205)),"",ABS(G205-I205)/VLOOKUP(C205,設定!$B$9:$D$23,2,FALSE)),"")</f>
        <v/>
      </c>
      <c r="P205" s="57">
        <f>IFERROR(IF(OR(ISBLANK(F205),ISBLANK(H205),ISBLANK(J205)),"",ABS(J205-F205)/ABS(F205-H205)),"")</f>
        <v/>
      </c>
      <c r="Q205" s="59">
        <f>IFERROR(IF(OR(ISBLANK(M205),ISBLANK(D205),ISBLANK(G205)),"",IF(D205="Long",(M205-G205),(G205-M205))/VLOOKUP(C205,設定!$B$9:$D$23,2,FALSE)),"")</f>
        <v/>
      </c>
      <c r="R205" s="60">
        <f>IFERROR(IF(OR(ISBLANK(Q205),O205=0),"",Q205/O205),"")</f>
        <v/>
      </c>
      <c r="S205" s="60">
        <f>IFERROR(IF(ISBLANK(R205),S204,IF(ISNUMBER(S204),S204,0)+R205),"")</f>
        <v/>
      </c>
      <c r="T205" s="61">
        <f>IFERROR(IF(OR(ISBLANK(Q205),ISBLANK(L205)),"",Q205*L205*VLOOKUP(C205,設定!$B$9:$D$23,3,FALSE)),"")</f>
        <v/>
      </c>
      <c r="U205" s="55" t="n"/>
      <c r="V205" s="55" t="n"/>
    </row>
    <row r="206">
      <c r="A206" s="44">
        <f>IF(ISBLANK(B206),"",COUNTA($B$18:B206))</f>
        <v/>
      </c>
      <c r="B206" s="45" t="n"/>
      <c r="C206" s="46" t="n"/>
      <c r="D206" s="46" t="n"/>
      <c r="E206" s="44" t="n"/>
      <c r="F206" s="47" t="n"/>
      <c r="G206" s="47" t="n"/>
      <c r="H206" s="47" t="n"/>
      <c r="I206" s="47" t="n"/>
      <c r="J206" s="47" t="n"/>
      <c r="K206" s="47" t="n"/>
      <c r="L206" s="48" t="n"/>
      <c r="M206" s="47" t="n"/>
      <c r="N206" s="46" t="n"/>
      <c r="O206" s="49">
        <f>IFERROR(IF(OR(ISBLANK(G206),ISBLANK(I206)),"",ABS(G206-I206)/VLOOKUP(C206,設定!$B$9:$D$23,2,FALSE)),"")</f>
        <v/>
      </c>
      <c r="P206" s="48">
        <f>IFERROR(IF(OR(ISBLANK(F206),ISBLANK(H206),ISBLANK(J206)),"",ABS(J206-F206)/ABS(F206-H206)),"")</f>
        <v/>
      </c>
      <c r="Q206" s="50">
        <f>IFERROR(IF(OR(ISBLANK(M206),ISBLANK(D206),ISBLANK(G206)),"",IF(D206="Long",(M206-G206),(G206-M206))/VLOOKUP(C206,設定!$B$9:$D$23,2,FALSE)),"")</f>
        <v/>
      </c>
      <c r="R206" s="51">
        <f>IFERROR(IF(OR(ISBLANK(Q206),O206=0),"",Q206/O206),"")</f>
        <v/>
      </c>
      <c r="S206" s="51">
        <f>IFERROR(IF(ISBLANK(R206),S205,IF(ISNUMBER(S205),S205,0)+R206),"")</f>
        <v/>
      </c>
      <c r="T206" s="52">
        <f>IFERROR(IF(OR(ISBLANK(Q206),ISBLANK(L206)),"",Q206*L206*VLOOKUP(C206,設定!$B$9:$D$23,3,FALSE)),"")</f>
        <v/>
      </c>
      <c r="U206" s="46" t="n"/>
      <c r="V206" s="46" t="n"/>
    </row>
    <row r="207">
      <c r="A207" s="53">
        <f>IF(ISBLANK(B207),"",COUNTA($B$18:B207))</f>
        <v/>
      </c>
      <c r="B207" s="54" t="n"/>
      <c r="C207" s="55" t="n"/>
      <c r="D207" s="55" t="n"/>
      <c r="E207" s="53" t="n"/>
      <c r="F207" s="56" t="n"/>
      <c r="G207" s="56" t="n"/>
      <c r="H207" s="56" t="n"/>
      <c r="I207" s="56" t="n"/>
      <c r="J207" s="56" t="n"/>
      <c r="K207" s="56" t="n"/>
      <c r="L207" s="57" t="n"/>
      <c r="M207" s="56" t="n"/>
      <c r="N207" s="55" t="n"/>
      <c r="O207" s="58">
        <f>IFERROR(IF(OR(ISBLANK(G207),ISBLANK(I207)),"",ABS(G207-I207)/VLOOKUP(C207,設定!$B$9:$D$23,2,FALSE)),"")</f>
        <v/>
      </c>
      <c r="P207" s="57">
        <f>IFERROR(IF(OR(ISBLANK(F207),ISBLANK(H207),ISBLANK(J207)),"",ABS(J207-F207)/ABS(F207-H207)),"")</f>
        <v/>
      </c>
      <c r="Q207" s="59">
        <f>IFERROR(IF(OR(ISBLANK(M207),ISBLANK(D207),ISBLANK(G207)),"",IF(D207="Long",(M207-G207),(G207-M207))/VLOOKUP(C207,設定!$B$9:$D$23,2,FALSE)),"")</f>
        <v/>
      </c>
      <c r="R207" s="60">
        <f>IFERROR(IF(OR(ISBLANK(Q207),O207=0),"",Q207/O207),"")</f>
        <v/>
      </c>
      <c r="S207" s="60">
        <f>IFERROR(IF(ISBLANK(R207),S206,IF(ISNUMBER(S206),S206,0)+R207),"")</f>
        <v/>
      </c>
      <c r="T207" s="61">
        <f>IFERROR(IF(OR(ISBLANK(Q207),ISBLANK(L207)),"",Q207*L207*VLOOKUP(C207,設定!$B$9:$D$23,3,FALSE)),"")</f>
        <v/>
      </c>
      <c r="U207" s="55" t="n"/>
      <c r="V207" s="55" t="n"/>
    </row>
    <row r="208">
      <c r="A208" s="44">
        <f>IF(ISBLANK(B208),"",COUNTA($B$18:B208))</f>
        <v/>
      </c>
      <c r="B208" s="45" t="n"/>
      <c r="C208" s="46" t="n"/>
      <c r="D208" s="46" t="n"/>
      <c r="E208" s="44" t="n"/>
      <c r="F208" s="47" t="n"/>
      <c r="G208" s="47" t="n"/>
      <c r="H208" s="47" t="n"/>
      <c r="I208" s="47" t="n"/>
      <c r="J208" s="47" t="n"/>
      <c r="K208" s="47" t="n"/>
      <c r="L208" s="48" t="n"/>
      <c r="M208" s="47" t="n"/>
      <c r="N208" s="46" t="n"/>
      <c r="O208" s="49">
        <f>IFERROR(IF(OR(ISBLANK(G208),ISBLANK(I208)),"",ABS(G208-I208)/VLOOKUP(C208,設定!$B$9:$D$23,2,FALSE)),"")</f>
        <v/>
      </c>
      <c r="P208" s="48">
        <f>IFERROR(IF(OR(ISBLANK(F208),ISBLANK(H208),ISBLANK(J208)),"",ABS(J208-F208)/ABS(F208-H208)),"")</f>
        <v/>
      </c>
      <c r="Q208" s="50">
        <f>IFERROR(IF(OR(ISBLANK(M208),ISBLANK(D208),ISBLANK(G208)),"",IF(D208="Long",(M208-G208),(G208-M208))/VLOOKUP(C208,設定!$B$9:$D$23,2,FALSE)),"")</f>
        <v/>
      </c>
      <c r="R208" s="51">
        <f>IFERROR(IF(OR(ISBLANK(Q208),O208=0),"",Q208/O208),"")</f>
        <v/>
      </c>
      <c r="S208" s="51">
        <f>IFERROR(IF(ISBLANK(R208),S207,IF(ISNUMBER(S207),S207,0)+R208),"")</f>
        <v/>
      </c>
      <c r="T208" s="52">
        <f>IFERROR(IF(OR(ISBLANK(Q208),ISBLANK(L208)),"",Q208*L208*VLOOKUP(C208,設定!$B$9:$D$23,3,FALSE)),"")</f>
        <v/>
      </c>
      <c r="U208" s="46" t="n"/>
      <c r="V208" s="46" t="n"/>
    </row>
    <row r="209">
      <c r="A209" s="53">
        <f>IF(ISBLANK(B209),"",COUNTA($B$18:B209))</f>
        <v/>
      </c>
      <c r="B209" s="54" t="n"/>
      <c r="C209" s="55" t="n"/>
      <c r="D209" s="55" t="n"/>
      <c r="E209" s="53" t="n"/>
      <c r="F209" s="56" t="n"/>
      <c r="G209" s="56" t="n"/>
      <c r="H209" s="56" t="n"/>
      <c r="I209" s="56" t="n"/>
      <c r="J209" s="56" t="n"/>
      <c r="K209" s="56" t="n"/>
      <c r="L209" s="57" t="n"/>
      <c r="M209" s="56" t="n"/>
      <c r="N209" s="55" t="n"/>
      <c r="O209" s="58">
        <f>IFERROR(IF(OR(ISBLANK(G209),ISBLANK(I209)),"",ABS(G209-I209)/VLOOKUP(C209,設定!$B$9:$D$23,2,FALSE)),"")</f>
        <v/>
      </c>
      <c r="P209" s="57">
        <f>IFERROR(IF(OR(ISBLANK(F209),ISBLANK(H209),ISBLANK(J209)),"",ABS(J209-F209)/ABS(F209-H209)),"")</f>
        <v/>
      </c>
      <c r="Q209" s="59">
        <f>IFERROR(IF(OR(ISBLANK(M209),ISBLANK(D209),ISBLANK(G209)),"",IF(D209="Long",(M209-G209),(G209-M209))/VLOOKUP(C209,設定!$B$9:$D$23,2,FALSE)),"")</f>
        <v/>
      </c>
      <c r="R209" s="60">
        <f>IFERROR(IF(OR(ISBLANK(Q209),O209=0),"",Q209/O209),"")</f>
        <v/>
      </c>
      <c r="S209" s="60">
        <f>IFERROR(IF(ISBLANK(R209),S208,IF(ISNUMBER(S208),S208,0)+R209),"")</f>
        <v/>
      </c>
      <c r="T209" s="61">
        <f>IFERROR(IF(OR(ISBLANK(Q209),ISBLANK(L209)),"",Q209*L209*VLOOKUP(C209,設定!$B$9:$D$23,3,FALSE)),"")</f>
        <v/>
      </c>
      <c r="U209" s="55" t="n"/>
      <c r="V209" s="55" t="n"/>
    </row>
    <row r="210">
      <c r="A210" s="44">
        <f>IF(ISBLANK(B210),"",COUNTA($B$18:B210))</f>
        <v/>
      </c>
      <c r="B210" s="45" t="n"/>
      <c r="C210" s="46" t="n"/>
      <c r="D210" s="46" t="n"/>
      <c r="E210" s="44" t="n"/>
      <c r="F210" s="47" t="n"/>
      <c r="G210" s="47" t="n"/>
      <c r="H210" s="47" t="n"/>
      <c r="I210" s="47" t="n"/>
      <c r="J210" s="47" t="n"/>
      <c r="K210" s="47" t="n"/>
      <c r="L210" s="48" t="n"/>
      <c r="M210" s="47" t="n"/>
      <c r="N210" s="46" t="n"/>
      <c r="O210" s="49">
        <f>IFERROR(IF(OR(ISBLANK(G210),ISBLANK(I210)),"",ABS(G210-I210)/VLOOKUP(C210,設定!$B$9:$D$23,2,FALSE)),"")</f>
        <v/>
      </c>
      <c r="P210" s="48">
        <f>IFERROR(IF(OR(ISBLANK(F210),ISBLANK(H210),ISBLANK(J210)),"",ABS(J210-F210)/ABS(F210-H210)),"")</f>
        <v/>
      </c>
      <c r="Q210" s="50">
        <f>IFERROR(IF(OR(ISBLANK(M210),ISBLANK(D210),ISBLANK(G210)),"",IF(D210="Long",(M210-G210),(G210-M210))/VLOOKUP(C210,設定!$B$9:$D$23,2,FALSE)),"")</f>
        <v/>
      </c>
      <c r="R210" s="51">
        <f>IFERROR(IF(OR(ISBLANK(Q210),O210=0),"",Q210/O210),"")</f>
        <v/>
      </c>
      <c r="S210" s="51">
        <f>IFERROR(IF(ISBLANK(R210),S209,IF(ISNUMBER(S209),S209,0)+R210),"")</f>
        <v/>
      </c>
      <c r="T210" s="52">
        <f>IFERROR(IF(OR(ISBLANK(Q210),ISBLANK(L210)),"",Q210*L210*VLOOKUP(C210,設定!$B$9:$D$23,3,FALSE)),"")</f>
        <v/>
      </c>
      <c r="U210" s="46" t="n"/>
      <c r="V210" s="46" t="n"/>
    </row>
    <row r="211">
      <c r="A211" s="53">
        <f>IF(ISBLANK(B211),"",COUNTA($B$18:B211))</f>
        <v/>
      </c>
      <c r="B211" s="54" t="n"/>
      <c r="C211" s="55" t="n"/>
      <c r="D211" s="55" t="n"/>
      <c r="E211" s="53" t="n"/>
      <c r="F211" s="56" t="n"/>
      <c r="G211" s="56" t="n"/>
      <c r="H211" s="56" t="n"/>
      <c r="I211" s="56" t="n"/>
      <c r="J211" s="56" t="n"/>
      <c r="K211" s="56" t="n"/>
      <c r="L211" s="57" t="n"/>
      <c r="M211" s="56" t="n"/>
      <c r="N211" s="55" t="n"/>
      <c r="O211" s="58">
        <f>IFERROR(IF(OR(ISBLANK(G211),ISBLANK(I211)),"",ABS(G211-I211)/VLOOKUP(C211,設定!$B$9:$D$23,2,FALSE)),"")</f>
        <v/>
      </c>
      <c r="P211" s="57">
        <f>IFERROR(IF(OR(ISBLANK(F211),ISBLANK(H211),ISBLANK(J211)),"",ABS(J211-F211)/ABS(F211-H211)),"")</f>
        <v/>
      </c>
      <c r="Q211" s="59">
        <f>IFERROR(IF(OR(ISBLANK(M211),ISBLANK(D211),ISBLANK(G211)),"",IF(D211="Long",(M211-G211),(G211-M211))/VLOOKUP(C211,設定!$B$9:$D$23,2,FALSE)),"")</f>
        <v/>
      </c>
      <c r="R211" s="60">
        <f>IFERROR(IF(OR(ISBLANK(Q211),O211=0),"",Q211/O211),"")</f>
        <v/>
      </c>
      <c r="S211" s="60">
        <f>IFERROR(IF(ISBLANK(R211),S210,IF(ISNUMBER(S210),S210,0)+R211),"")</f>
        <v/>
      </c>
      <c r="T211" s="61">
        <f>IFERROR(IF(OR(ISBLANK(Q211),ISBLANK(L211)),"",Q211*L211*VLOOKUP(C211,設定!$B$9:$D$23,3,FALSE)),"")</f>
        <v/>
      </c>
      <c r="U211" s="55" t="n"/>
      <c r="V211" s="55" t="n"/>
    </row>
    <row r="212">
      <c r="A212" s="44">
        <f>IF(ISBLANK(B212),"",COUNTA($B$18:B212))</f>
        <v/>
      </c>
      <c r="B212" s="45" t="n"/>
      <c r="C212" s="46" t="n"/>
      <c r="D212" s="46" t="n"/>
      <c r="E212" s="44" t="n"/>
      <c r="F212" s="47" t="n"/>
      <c r="G212" s="47" t="n"/>
      <c r="H212" s="47" t="n"/>
      <c r="I212" s="47" t="n"/>
      <c r="J212" s="47" t="n"/>
      <c r="K212" s="47" t="n"/>
      <c r="L212" s="48" t="n"/>
      <c r="M212" s="47" t="n"/>
      <c r="N212" s="46" t="n"/>
      <c r="O212" s="49">
        <f>IFERROR(IF(OR(ISBLANK(G212),ISBLANK(I212)),"",ABS(G212-I212)/VLOOKUP(C212,設定!$B$9:$D$23,2,FALSE)),"")</f>
        <v/>
      </c>
      <c r="P212" s="48">
        <f>IFERROR(IF(OR(ISBLANK(F212),ISBLANK(H212),ISBLANK(J212)),"",ABS(J212-F212)/ABS(F212-H212)),"")</f>
        <v/>
      </c>
      <c r="Q212" s="50">
        <f>IFERROR(IF(OR(ISBLANK(M212),ISBLANK(D212),ISBLANK(G212)),"",IF(D212="Long",(M212-G212),(G212-M212))/VLOOKUP(C212,設定!$B$9:$D$23,2,FALSE)),"")</f>
        <v/>
      </c>
      <c r="R212" s="51">
        <f>IFERROR(IF(OR(ISBLANK(Q212),O212=0),"",Q212/O212),"")</f>
        <v/>
      </c>
      <c r="S212" s="51">
        <f>IFERROR(IF(ISBLANK(R212),S211,IF(ISNUMBER(S211),S211,0)+R212),"")</f>
        <v/>
      </c>
      <c r="T212" s="52">
        <f>IFERROR(IF(OR(ISBLANK(Q212),ISBLANK(L212)),"",Q212*L212*VLOOKUP(C212,設定!$B$9:$D$23,3,FALSE)),"")</f>
        <v/>
      </c>
      <c r="U212" s="46" t="n"/>
      <c r="V212" s="46" t="n"/>
    </row>
    <row r="213">
      <c r="A213" s="53">
        <f>IF(ISBLANK(B213),"",COUNTA($B$18:B213))</f>
        <v/>
      </c>
      <c r="B213" s="54" t="n"/>
      <c r="C213" s="55" t="n"/>
      <c r="D213" s="55" t="n"/>
      <c r="E213" s="53" t="n"/>
      <c r="F213" s="56" t="n"/>
      <c r="G213" s="56" t="n"/>
      <c r="H213" s="56" t="n"/>
      <c r="I213" s="56" t="n"/>
      <c r="J213" s="56" t="n"/>
      <c r="K213" s="56" t="n"/>
      <c r="L213" s="57" t="n"/>
      <c r="M213" s="56" t="n"/>
      <c r="N213" s="55" t="n"/>
      <c r="O213" s="58">
        <f>IFERROR(IF(OR(ISBLANK(G213),ISBLANK(I213)),"",ABS(G213-I213)/VLOOKUP(C213,設定!$B$9:$D$23,2,FALSE)),"")</f>
        <v/>
      </c>
      <c r="P213" s="57">
        <f>IFERROR(IF(OR(ISBLANK(F213),ISBLANK(H213),ISBLANK(J213)),"",ABS(J213-F213)/ABS(F213-H213)),"")</f>
        <v/>
      </c>
      <c r="Q213" s="59">
        <f>IFERROR(IF(OR(ISBLANK(M213),ISBLANK(D213),ISBLANK(G213)),"",IF(D213="Long",(M213-G213),(G213-M213))/VLOOKUP(C213,設定!$B$9:$D$23,2,FALSE)),"")</f>
        <v/>
      </c>
      <c r="R213" s="60">
        <f>IFERROR(IF(OR(ISBLANK(Q213),O213=0),"",Q213/O213),"")</f>
        <v/>
      </c>
      <c r="S213" s="60">
        <f>IFERROR(IF(ISBLANK(R213),S212,IF(ISNUMBER(S212),S212,0)+R213),"")</f>
        <v/>
      </c>
      <c r="T213" s="61">
        <f>IFERROR(IF(OR(ISBLANK(Q213),ISBLANK(L213)),"",Q213*L213*VLOOKUP(C213,設定!$B$9:$D$23,3,FALSE)),"")</f>
        <v/>
      </c>
      <c r="U213" s="55" t="n"/>
      <c r="V213" s="55" t="n"/>
    </row>
    <row r="214">
      <c r="A214" s="44">
        <f>IF(ISBLANK(B214),"",COUNTA($B$18:B214))</f>
        <v/>
      </c>
      <c r="B214" s="45" t="n"/>
      <c r="C214" s="46" t="n"/>
      <c r="D214" s="46" t="n"/>
      <c r="E214" s="44" t="n"/>
      <c r="F214" s="47" t="n"/>
      <c r="G214" s="47" t="n"/>
      <c r="H214" s="47" t="n"/>
      <c r="I214" s="47" t="n"/>
      <c r="J214" s="47" t="n"/>
      <c r="K214" s="47" t="n"/>
      <c r="L214" s="48" t="n"/>
      <c r="M214" s="47" t="n"/>
      <c r="N214" s="46" t="n"/>
      <c r="O214" s="49">
        <f>IFERROR(IF(OR(ISBLANK(G214),ISBLANK(I214)),"",ABS(G214-I214)/VLOOKUP(C214,設定!$B$9:$D$23,2,FALSE)),"")</f>
        <v/>
      </c>
      <c r="P214" s="48">
        <f>IFERROR(IF(OR(ISBLANK(F214),ISBLANK(H214),ISBLANK(J214)),"",ABS(J214-F214)/ABS(F214-H214)),"")</f>
        <v/>
      </c>
      <c r="Q214" s="50">
        <f>IFERROR(IF(OR(ISBLANK(M214),ISBLANK(D214),ISBLANK(G214)),"",IF(D214="Long",(M214-G214),(G214-M214))/VLOOKUP(C214,設定!$B$9:$D$23,2,FALSE)),"")</f>
        <v/>
      </c>
      <c r="R214" s="51">
        <f>IFERROR(IF(OR(ISBLANK(Q214),O214=0),"",Q214/O214),"")</f>
        <v/>
      </c>
      <c r="S214" s="51">
        <f>IFERROR(IF(ISBLANK(R214),S213,IF(ISNUMBER(S213),S213,0)+R214),"")</f>
        <v/>
      </c>
      <c r="T214" s="52">
        <f>IFERROR(IF(OR(ISBLANK(Q214),ISBLANK(L214)),"",Q214*L214*VLOOKUP(C214,設定!$B$9:$D$23,3,FALSE)),"")</f>
        <v/>
      </c>
      <c r="U214" s="46" t="n"/>
      <c r="V214" s="46" t="n"/>
    </row>
    <row r="215">
      <c r="A215" s="53">
        <f>IF(ISBLANK(B215),"",COUNTA($B$18:B215))</f>
        <v/>
      </c>
      <c r="B215" s="54" t="n"/>
      <c r="C215" s="55" t="n"/>
      <c r="D215" s="55" t="n"/>
      <c r="E215" s="53" t="n"/>
      <c r="F215" s="56" t="n"/>
      <c r="G215" s="56" t="n"/>
      <c r="H215" s="56" t="n"/>
      <c r="I215" s="56" t="n"/>
      <c r="J215" s="56" t="n"/>
      <c r="K215" s="56" t="n"/>
      <c r="L215" s="57" t="n"/>
      <c r="M215" s="56" t="n"/>
      <c r="N215" s="55" t="n"/>
      <c r="O215" s="58">
        <f>IFERROR(IF(OR(ISBLANK(G215),ISBLANK(I215)),"",ABS(G215-I215)/VLOOKUP(C215,設定!$B$9:$D$23,2,FALSE)),"")</f>
        <v/>
      </c>
      <c r="P215" s="57">
        <f>IFERROR(IF(OR(ISBLANK(F215),ISBLANK(H215),ISBLANK(J215)),"",ABS(J215-F215)/ABS(F215-H215)),"")</f>
        <v/>
      </c>
      <c r="Q215" s="59">
        <f>IFERROR(IF(OR(ISBLANK(M215),ISBLANK(D215),ISBLANK(G215)),"",IF(D215="Long",(M215-G215),(G215-M215))/VLOOKUP(C215,設定!$B$9:$D$23,2,FALSE)),"")</f>
        <v/>
      </c>
      <c r="R215" s="60">
        <f>IFERROR(IF(OR(ISBLANK(Q215),O215=0),"",Q215/O215),"")</f>
        <v/>
      </c>
      <c r="S215" s="60">
        <f>IFERROR(IF(ISBLANK(R215),S214,IF(ISNUMBER(S214),S214,0)+R215),"")</f>
        <v/>
      </c>
      <c r="T215" s="61">
        <f>IFERROR(IF(OR(ISBLANK(Q215),ISBLANK(L215)),"",Q215*L215*VLOOKUP(C215,設定!$B$9:$D$23,3,FALSE)),"")</f>
        <v/>
      </c>
      <c r="U215" s="55" t="n"/>
      <c r="V215" s="55" t="n"/>
    </row>
    <row r="216">
      <c r="A216" s="44">
        <f>IF(ISBLANK(B216),"",COUNTA($B$18:B216))</f>
        <v/>
      </c>
      <c r="B216" s="45" t="n"/>
      <c r="C216" s="46" t="n"/>
      <c r="D216" s="46" t="n"/>
      <c r="E216" s="44" t="n"/>
      <c r="F216" s="47" t="n"/>
      <c r="G216" s="47" t="n"/>
      <c r="H216" s="47" t="n"/>
      <c r="I216" s="47" t="n"/>
      <c r="J216" s="47" t="n"/>
      <c r="K216" s="47" t="n"/>
      <c r="L216" s="48" t="n"/>
      <c r="M216" s="47" t="n"/>
      <c r="N216" s="46" t="n"/>
      <c r="O216" s="49">
        <f>IFERROR(IF(OR(ISBLANK(G216),ISBLANK(I216)),"",ABS(G216-I216)/VLOOKUP(C216,設定!$B$9:$D$23,2,FALSE)),"")</f>
        <v/>
      </c>
      <c r="P216" s="48">
        <f>IFERROR(IF(OR(ISBLANK(F216),ISBLANK(H216),ISBLANK(J216)),"",ABS(J216-F216)/ABS(F216-H216)),"")</f>
        <v/>
      </c>
      <c r="Q216" s="50">
        <f>IFERROR(IF(OR(ISBLANK(M216),ISBLANK(D216),ISBLANK(G216)),"",IF(D216="Long",(M216-G216),(G216-M216))/VLOOKUP(C216,設定!$B$9:$D$23,2,FALSE)),"")</f>
        <v/>
      </c>
      <c r="R216" s="51">
        <f>IFERROR(IF(OR(ISBLANK(Q216),O216=0),"",Q216/O216),"")</f>
        <v/>
      </c>
      <c r="S216" s="51">
        <f>IFERROR(IF(ISBLANK(R216),S215,IF(ISNUMBER(S215),S215,0)+R216),"")</f>
        <v/>
      </c>
      <c r="T216" s="52">
        <f>IFERROR(IF(OR(ISBLANK(Q216),ISBLANK(L216)),"",Q216*L216*VLOOKUP(C216,設定!$B$9:$D$23,3,FALSE)),"")</f>
        <v/>
      </c>
      <c r="U216" s="46" t="n"/>
      <c r="V216" s="46" t="n"/>
    </row>
    <row r="217">
      <c r="A217" s="53">
        <f>IF(ISBLANK(B217),"",COUNTA($B$18:B217))</f>
        <v/>
      </c>
      <c r="B217" s="54" t="n"/>
      <c r="C217" s="55" t="n"/>
      <c r="D217" s="55" t="n"/>
      <c r="E217" s="53" t="n"/>
      <c r="F217" s="56" t="n"/>
      <c r="G217" s="56" t="n"/>
      <c r="H217" s="56" t="n"/>
      <c r="I217" s="56" t="n"/>
      <c r="J217" s="56" t="n"/>
      <c r="K217" s="56" t="n"/>
      <c r="L217" s="57" t="n"/>
      <c r="M217" s="56" t="n"/>
      <c r="N217" s="55" t="n"/>
      <c r="O217" s="58">
        <f>IFERROR(IF(OR(ISBLANK(G217),ISBLANK(I217)),"",ABS(G217-I217)/VLOOKUP(C217,設定!$B$9:$D$23,2,FALSE)),"")</f>
        <v/>
      </c>
      <c r="P217" s="57">
        <f>IFERROR(IF(OR(ISBLANK(F217),ISBLANK(H217),ISBLANK(J217)),"",ABS(J217-F217)/ABS(F217-H217)),"")</f>
        <v/>
      </c>
      <c r="Q217" s="59">
        <f>IFERROR(IF(OR(ISBLANK(M217),ISBLANK(D217),ISBLANK(G217)),"",IF(D217="Long",(M217-G217),(G217-M217))/VLOOKUP(C217,設定!$B$9:$D$23,2,FALSE)),"")</f>
        <v/>
      </c>
      <c r="R217" s="60">
        <f>IFERROR(IF(OR(ISBLANK(Q217),O217=0),"",Q217/O217),"")</f>
        <v/>
      </c>
      <c r="S217" s="60">
        <f>IFERROR(IF(ISBLANK(R217),S216,IF(ISNUMBER(S216),S216,0)+R217),"")</f>
        <v/>
      </c>
      <c r="T217" s="61">
        <f>IFERROR(IF(OR(ISBLANK(Q217),ISBLANK(L217)),"",Q217*L217*VLOOKUP(C217,設定!$B$9:$D$23,3,FALSE)),"")</f>
        <v/>
      </c>
      <c r="U217" s="55" t="n"/>
      <c r="V217" s="55" t="n"/>
    </row>
  </sheetData>
  <mergeCells count="6">
    <mergeCell ref="A2:V2"/>
    <mergeCell ref="I3:V3"/>
    <mergeCell ref="E3:H3"/>
    <mergeCell ref="B3:C3"/>
    <mergeCell ref="A1:V1"/>
    <mergeCell ref="I4:V15"/>
  </mergeCells>
  <conditionalFormatting sqref="R18:R2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18:N217">
    <cfRule type="expression" priority="3" dxfId="0">
      <formula>$N18="TP"</formula>
    </cfRule>
    <cfRule type="expression" priority="4" dxfId="1">
      <formula>$N18="SL"</formula>
    </cfRule>
  </conditionalFormatting>
  <conditionalFormatting sqref="U18:U217">
    <cfRule type="expression" priority="5" dxfId="4">
      <formula>$U18="S"</formula>
    </cfRule>
    <cfRule type="expression" priority="6" dxfId="0">
      <formula>$U18="A"</formula>
    </cfRule>
    <cfRule type="expression" priority="7" dxfId="1">
      <formula>$U18="D"</formula>
    </cfRule>
  </conditionalFormatting>
  <dataValidations count="4">
    <dataValidation sqref="C18:C217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18:D217" showDropDown="0" showInputMessage="0" showErrorMessage="0" allowBlank="1" type="list">
      <formula1>"Long,Short"</formula1>
    </dataValidation>
    <dataValidation sqref="N18:N217" showDropDown="0" showInputMessage="0" showErrorMessage="0" allowBlank="1" type="list">
      <formula1>"TP,SL,手動,強制,建値撤退"</formula1>
    </dataValidation>
    <dataValidation sqref="U18:U21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7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11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35" customWidth="1" min="22" max="22"/>
  </cols>
  <sheetData>
    <row r="1" ht="36" customHeight="1">
      <c r="A1" s="62" t="inlineStr">
        <is>
          <t>ORZ  ·  手動トレード履歴</t>
        </is>
      </c>
    </row>
    <row r="2" ht="32" customHeight="1">
      <c r="A2" s="63" t="inlineStr">
        <is>
          <t>SMA 20/50/100 + 一目雲。4H で trend / range / unclear 分類、押し目買い・戻り売り・ブレイク・レンジ逆張りを 15M トリガーで実行。</t>
        </is>
      </c>
    </row>
    <row r="3">
      <c r="B3" s="4" t="inlineStr">
        <is>
          <t>📊 集計サマリ</t>
        </is>
      </c>
      <c r="C3" s="28" t="n"/>
      <c r="E3" s="4" t="inlineStr">
        <is>
          <t>🏅 トレード評価分布</t>
        </is>
      </c>
      <c r="I3" s="4" t="inlineStr">
        <is>
          <t>📝 ORZ で学んだこと · 観察メモ</t>
        </is>
      </c>
    </row>
    <row r="4">
      <c r="B4" s="10" t="inlineStr">
        <is>
          <t>件数</t>
        </is>
      </c>
      <c r="C4" s="29">
        <f>COUNT(R18:R217)</f>
        <v/>
      </c>
      <c r="E4" s="10" t="inlineStr">
        <is>
          <t>S ランク</t>
        </is>
      </c>
      <c r="F4" s="30">
        <f>COUNTIF(U18:U217,"S")</f>
        <v/>
      </c>
      <c r="G4" s="31">
        <f>IFERROR(F4/COUNTA(U18:U217),0)</f>
        <v/>
      </c>
      <c r="H4" s="32" t="inlineStr">
        <is>
          <t>完璧 (計画通り + 理想的展開)</t>
        </is>
      </c>
      <c r="I4" s="64" t="inlineStr">
        <is>
          <t>(ここに ORZ で気づいたこと・パターン・反省を自由記述。例:
 ・東京時間の発火は勝率が低い、ロンドン時間に絞ると改善
 ・スコア 80+ のシグナルだけ取ると勝率が劇的に上がる
 ・SL を少しタイトめにすると RR 向上)</t>
        </is>
      </c>
    </row>
    <row r="5">
      <c r="B5" s="10" t="inlineStr">
        <is>
          <t>勝率</t>
        </is>
      </c>
      <c r="C5" s="34">
        <f>IFERROR(COUNTIF(R18:R217,"&gt;0")/COUNT(R18:R217),0)</f>
        <v/>
      </c>
      <c r="E5" s="10" t="inlineStr">
        <is>
          <t>A ランク</t>
        </is>
      </c>
      <c r="F5" s="35">
        <f>COUNTIF(U18:U217,"A")</f>
        <v/>
      </c>
      <c r="G5" s="31">
        <f>IFERROR(F5/COUNTA(U18:U217),0)</f>
        <v/>
      </c>
      <c r="H5" s="32" t="inlineStr">
        <is>
          <t>良い (利益確保)</t>
        </is>
      </c>
    </row>
    <row r="6">
      <c r="B6" s="10" t="inlineStr">
        <is>
          <t>平均 RR (計画)</t>
        </is>
      </c>
      <c r="C6" s="36">
        <f>IFERROR(AVERAGE(P18:P217),0)</f>
        <v/>
      </c>
      <c r="E6" s="10" t="inlineStr">
        <is>
          <t>B ランク</t>
        </is>
      </c>
      <c r="F6" s="37">
        <f>COUNTIF(U18:U217,"B")</f>
        <v/>
      </c>
      <c r="G6" s="31">
        <f>IFERROR(F6/COUNTA(U18:U217),0)</f>
        <v/>
      </c>
      <c r="H6" s="32" t="inlineStr">
        <is>
          <t>普通 (微益微損)</t>
        </is>
      </c>
    </row>
    <row r="7">
      <c r="B7" s="10" t="inlineStr">
        <is>
          <t>PF</t>
        </is>
      </c>
      <c r="C7" s="36">
        <f>IFERROR(SUMIF(R18:R217,"&gt;0")/-SUMIF(R18:R217,"&lt;0"),0)</f>
        <v/>
      </c>
      <c r="E7" s="10" t="inlineStr">
        <is>
          <t>C ランク</t>
        </is>
      </c>
      <c r="F7" s="38">
        <f>COUNTIF(U18:U217,"C")</f>
        <v/>
      </c>
      <c r="G7" s="31">
        <f>IFERROR(F7/COUNTA(U18:U217),0)</f>
        <v/>
      </c>
      <c r="H7" s="32" t="inlineStr">
        <is>
          <t>悪い (損失だが学びあり)</t>
        </is>
      </c>
    </row>
    <row r="8">
      <c r="B8" s="10" t="inlineStr">
        <is>
          <t>期待値 (R)</t>
        </is>
      </c>
      <c r="C8" s="39">
        <f>IFERROR(AVERAGE(R18:R217),0)</f>
        <v/>
      </c>
      <c r="E8" s="10" t="inlineStr">
        <is>
          <t>D ランク</t>
        </is>
      </c>
      <c r="F8" s="40">
        <f>COUNTIF(U18:U217,"D")</f>
        <v/>
      </c>
      <c r="G8" s="31">
        <f>IFERROR(F8/COUNTA(U18:U217),0)</f>
        <v/>
      </c>
      <c r="H8" s="32" t="inlineStr">
        <is>
          <t>失敗 (規律違反含む)</t>
        </is>
      </c>
    </row>
    <row r="9">
      <c r="B9" s="10" t="inlineStr">
        <is>
          <t>累計 R</t>
        </is>
      </c>
      <c r="C9" s="22">
        <f>SUM(R18:R217)</f>
        <v/>
      </c>
    </row>
    <row r="10">
      <c r="B10" s="10" t="inlineStr">
        <is>
          <t>累計損益 ¥</t>
        </is>
      </c>
      <c r="C10" s="23">
        <f>SUM(T18:T217)</f>
        <v/>
      </c>
    </row>
    <row r="11">
      <c r="B11" s="10" t="inlineStr">
        <is>
          <t>最大 DD (R)</t>
        </is>
      </c>
      <c r="C11" s="41">
        <f>IFERROR(MAX(S18:S217)-MIN(S18:S217),0)</f>
        <v/>
      </c>
    </row>
    <row r="12">
      <c r="B12" s="10" t="inlineStr">
        <is>
          <t>勝ち平均 R</t>
        </is>
      </c>
      <c r="C12" s="42">
        <f>IFERROR(AVERAGEIF(R18:R217,"&gt;0"),0)</f>
        <v/>
      </c>
    </row>
    <row r="13">
      <c r="B13" s="10" t="inlineStr">
        <is>
          <t>負け平均 R</t>
        </is>
      </c>
      <c r="C13" s="42">
        <f>IFERROR(AVERAGEIF(R18:R217,"&lt;0"),0)</f>
        <v/>
      </c>
    </row>
    <row r="14">
      <c r="B14" s="10" t="inlineStr">
        <is>
          <t>評価 S 件数</t>
        </is>
      </c>
      <c r="C14" s="29">
        <f>COUNTIF(U18:U217,"S")</f>
        <v/>
      </c>
    </row>
    <row r="15">
      <c r="B15" s="10" t="inlineStr">
        <is>
          <t>評価 D 件数</t>
        </is>
      </c>
      <c r="C15" s="29">
        <f>COUNTIF(U18:U217,"D")</f>
        <v/>
      </c>
    </row>
    <row r="17" ht="28" customHeight="1">
      <c r="A17" s="43" t="inlineStr">
        <is>
          <t>#</t>
        </is>
      </c>
      <c r="B17" s="43" t="inlineStr">
        <is>
          <t>日付</t>
        </is>
      </c>
      <c r="C17" s="43" t="inlineStr">
        <is>
          <t>通貨ペア</t>
        </is>
      </c>
      <c r="D17" s="43" t="inlineStr">
        <is>
          <t>方向</t>
        </is>
      </c>
      <c r="E17" s="43" t="inlineStr">
        <is>
          <t>スコア</t>
        </is>
      </c>
      <c r="F17" s="43" t="inlineStr">
        <is>
          <t>計画Entry</t>
        </is>
      </c>
      <c r="G17" s="43" t="inlineStr">
        <is>
          <t>実Entry</t>
        </is>
      </c>
      <c r="H17" s="43" t="inlineStr">
        <is>
          <t>計画SL</t>
        </is>
      </c>
      <c r="I17" s="43" t="inlineStr">
        <is>
          <t>実SL</t>
        </is>
      </c>
      <c r="J17" s="43" t="inlineStr">
        <is>
          <t>計画TP</t>
        </is>
      </c>
      <c r="K17" s="43" t="inlineStr">
        <is>
          <t>実TP</t>
        </is>
      </c>
      <c r="L17" s="43" t="inlineStr">
        <is>
          <t>ロット</t>
        </is>
      </c>
      <c r="M17" s="43" t="inlineStr">
        <is>
          <t>決済価格</t>
        </is>
      </c>
      <c r="N17" s="43" t="inlineStr">
        <is>
          <t>決済理由</t>
        </is>
      </c>
      <c r="O17" s="43" t="inlineStr">
        <is>
          <t>実SL pips</t>
        </is>
      </c>
      <c r="P17" s="43" t="inlineStr">
        <is>
          <t>計画RR</t>
        </is>
      </c>
      <c r="Q17" s="43" t="inlineStr">
        <is>
          <t>損益 pips</t>
        </is>
      </c>
      <c r="R17" s="43" t="inlineStr">
        <is>
          <t>R-mult</t>
        </is>
      </c>
      <c r="S17" s="43" t="inlineStr">
        <is>
          <t>累計R</t>
        </is>
      </c>
      <c r="T17" s="43" t="inlineStr">
        <is>
          <t>損益 ¥</t>
        </is>
      </c>
      <c r="U17" s="43" t="inlineStr">
        <is>
          <t>評価</t>
        </is>
      </c>
      <c r="V17" s="43" t="inlineStr">
        <is>
          <t>学び / 反省</t>
        </is>
      </c>
    </row>
    <row r="18">
      <c r="A18" s="44">
        <f>IF(ISBLANK(B18),"",COUNTA($B$18:B18))</f>
        <v/>
      </c>
      <c r="B18" s="45" t="n"/>
      <c r="C18" s="46" t="n"/>
      <c r="D18" s="46" t="n"/>
      <c r="E18" s="44" t="n"/>
      <c r="F18" s="47" t="n"/>
      <c r="G18" s="47" t="n"/>
      <c r="H18" s="47" t="n"/>
      <c r="I18" s="47" t="n"/>
      <c r="J18" s="47" t="n"/>
      <c r="K18" s="47" t="n"/>
      <c r="L18" s="48" t="n"/>
      <c r="M18" s="47" t="n"/>
      <c r="N18" s="46" t="n"/>
      <c r="O18" s="49">
        <f>IFERROR(IF(OR(ISBLANK(G18),ISBLANK(I18)),"",ABS(G18-I18)/VLOOKUP(C18,設定!$B$9:$D$23,2,FALSE)),"")</f>
        <v/>
      </c>
      <c r="P18" s="48">
        <f>IFERROR(IF(OR(ISBLANK(F18),ISBLANK(H18),ISBLANK(J18)),"",ABS(J18-F18)/ABS(F18-H18)),"")</f>
        <v/>
      </c>
      <c r="Q18" s="50">
        <f>IFERROR(IF(OR(ISBLANK(M18),ISBLANK(D18),ISBLANK(G18)),"",IF(D18="Long",(M18-G18),(G18-M18))/VLOOKUP(C18,設定!$B$9:$D$23,2,FALSE)),"")</f>
        <v/>
      </c>
      <c r="R18" s="51">
        <f>IFERROR(IF(OR(ISBLANK(Q18),O18=0),"",Q18/O18),"")</f>
        <v/>
      </c>
      <c r="S18" s="51">
        <f>IFERROR(IF(ISBLANK(R18),"",R18),"")</f>
        <v/>
      </c>
      <c r="T18" s="52">
        <f>IFERROR(IF(OR(ISBLANK(Q18),ISBLANK(L18)),"",Q18*L18*VLOOKUP(C18,設定!$B$9:$D$23,3,FALSE)),"")</f>
        <v/>
      </c>
      <c r="U18" s="46" t="n"/>
      <c r="V18" s="46" t="n"/>
    </row>
    <row r="19">
      <c r="A19" s="53">
        <f>IF(ISBLANK(B19),"",COUNTA($B$18:B19))</f>
        <v/>
      </c>
      <c r="B19" s="54" t="n"/>
      <c r="C19" s="55" t="n"/>
      <c r="D19" s="55" t="n"/>
      <c r="E19" s="53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5" t="n"/>
      <c r="O19" s="58">
        <f>IFERROR(IF(OR(ISBLANK(G19),ISBLANK(I19)),"",ABS(G19-I19)/VLOOKUP(C19,設定!$B$9:$D$23,2,FALSE)),"")</f>
        <v/>
      </c>
      <c r="P19" s="57">
        <f>IFERROR(IF(OR(ISBLANK(F19),ISBLANK(H19),ISBLANK(J19)),"",ABS(J19-F19)/ABS(F19-H19)),"")</f>
        <v/>
      </c>
      <c r="Q19" s="59">
        <f>IFERROR(IF(OR(ISBLANK(M19),ISBLANK(D19),ISBLANK(G19)),"",IF(D19="Long",(M19-G19),(G19-M19))/VLOOKUP(C19,設定!$B$9:$D$23,2,FALSE)),"")</f>
        <v/>
      </c>
      <c r="R19" s="60">
        <f>IFERROR(IF(OR(ISBLANK(Q19),O19=0),"",Q19/O19),"")</f>
        <v/>
      </c>
      <c r="S19" s="60">
        <f>IFERROR(IF(ISBLANK(R19),S18,IF(ISNUMBER(S18),S18,0)+R19),"")</f>
        <v/>
      </c>
      <c r="T19" s="61">
        <f>IFERROR(IF(OR(ISBLANK(Q19),ISBLANK(L19)),"",Q19*L19*VLOOKUP(C19,設定!$B$9:$D$23,3,FALSE)),"")</f>
        <v/>
      </c>
      <c r="U19" s="55" t="n"/>
      <c r="V19" s="55" t="n"/>
    </row>
    <row r="20">
      <c r="A20" s="44">
        <f>IF(ISBLANK(B20),"",COUNTA($B$18:B20))</f>
        <v/>
      </c>
      <c r="B20" s="45" t="n"/>
      <c r="C20" s="46" t="n"/>
      <c r="D20" s="46" t="n"/>
      <c r="E20" s="44" t="n"/>
      <c r="F20" s="47" t="n"/>
      <c r="G20" s="47" t="n"/>
      <c r="H20" s="47" t="n"/>
      <c r="I20" s="47" t="n"/>
      <c r="J20" s="47" t="n"/>
      <c r="K20" s="47" t="n"/>
      <c r="L20" s="48" t="n"/>
      <c r="M20" s="47" t="n"/>
      <c r="N20" s="46" t="n"/>
      <c r="O20" s="49">
        <f>IFERROR(IF(OR(ISBLANK(G20),ISBLANK(I20)),"",ABS(G20-I20)/VLOOKUP(C20,設定!$B$9:$D$23,2,FALSE)),"")</f>
        <v/>
      </c>
      <c r="P20" s="48">
        <f>IFERROR(IF(OR(ISBLANK(F20),ISBLANK(H20),ISBLANK(J20)),"",ABS(J20-F20)/ABS(F20-H20)),"")</f>
        <v/>
      </c>
      <c r="Q20" s="50">
        <f>IFERROR(IF(OR(ISBLANK(M20),ISBLANK(D20),ISBLANK(G20)),"",IF(D20="Long",(M20-G20),(G20-M20))/VLOOKUP(C20,設定!$B$9:$D$23,2,FALSE)),"")</f>
        <v/>
      </c>
      <c r="R20" s="51">
        <f>IFERROR(IF(OR(ISBLANK(Q20),O20=0),"",Q20/O20),"")</f>
        <v/>
      </c>
      <c r="S20" s="51">
        <f>IFERROR(IF(ISBLANK(R20),S19,IF(ISNUMBER(S19),S19,0)+R20),"")</f>
        <v/>
      </c>
      <c r="T20" s="52">
        <f>IFERROR(IF(OR(ISBLANK(Q20),ISBLANK(L20)),"",Q20*L20*VLOOKUP(C20,設定!$B$9:$D$23,3,FALSE)),"")</f>
        <v/>
      </c>
      <c r="U20" s="46" t="n"/>
      <c r="V20" s="46" t="n"/>
    </row>
    <row r="21">
      <c r="A21" s="53">
        <f>IF(ISBLANK(B21),"",COUNTA($B$18:B21))</f>
        <v/>
      </c>
      <c r="B21" s="54" t="n"/>
      <c r="C21" s="55" t="n"/>
      <c r="D21" s="55" t="n"/>
      <c r="E21" s="53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5" t="n"/>
      <c r="O21" s="58">
        <f>IFERROR(IF(OR(ISBLANK(G21),ISBLANK(I21)),"",ABS(G21-I21)/VLOOKUP(C21,設定!$B$9:$D$23,2,FALSE)),"")</f>
        <v/>
      </c>
      <c r="P21" s="57">
        <f>IFERROR(IF(OR(ISBLANK(F21),ISBLANK(H21),ISBLANK(J21)),"",ABS(J21-F21)/ABS(F21-H21)),"")</f>
        <v/>
      </c>
      <c r="Q21" s="59">
        <f>IFERROR(IF(OR(ISBLANK(M21),ISBLANK(D21),ISBLANK(G21)),"",IF(D21="Long",(M21-G21),(G21-M21))/VLOOKUP(C21,設定!$B$9:$D$23,2,FALSE)),"")</f>
        <v/>
      </c>
      <c r="R21" s="60">
        <f>IFERROR(IF(OR(ISBLANK(Q21),O21=0),"",Q21/O21),"")</f>
        <v/>
      </c>
      <c r="S21" s="60">
        <f>IFERROR(IF(ISBLANK(R21),S20,IF(ISNUMBER(S20),S20,0)+R21),"")</f>
        <v/>
      </c>
      <c r="T21" s="61">
        <f>IFERROR(IF(OR(ISBLANK(Q21),ISBLANK(L21)),"",Q21*L21*VLOOKUP(C21,設定!$B$9:$D$23,3,FALSE)),"")</f>
        <v/>
      </c>
      <c r="U21" s="55" t="n"/>
      <c r="V21" s="55" t="n"/>
    </row>
    <row r="22">
      <c r="A22" s="44">
        <f>IF(ISBLANK(B22),"",COUNTA($B$18:B22))</f>
        <v/>
      </c>
      <c r="B22" s="45" t="n"/>
      <c r="C22" s="46" t="n"/>
      <c r="D22" s="46" t="n"/>
      <c r="E22" s="44" t="n"/>
      <c r="F22" s="47" t="n"/>
      <c r="G22" s="47" t="n"/>
      <c r="H22" s="47" t="n"/>
      <c r="I22" s="47" t="n"/>
      <c r="J22" s="47" t="n"/>
      <c r="K22" s="47" t="n"/>
      <c r="L22" s="48" t="n"/>
      <c r="M22" s="47" t="n"/>
      <c r="N22" s="46" t="n"/>
      <c r="O22" s="49">
        <f>IFERROR(IF(OR(ISBLANK(G22),ISBLANK(I22)),"",ABS(G22-I22)/VLOOKUP(C22,設定!$B$9:$D$23,2,FALSE)),"")</f>
        <v/>
      </c>
      <c r="P22" s="48">
        <f>IFERROR(IF(OR(ISBLANK(F22),ISBLANK(H22),ISBLANK(J22)),"",ABS(J22-F22)/ABS(F22-H22)),"")</f>
        <v/>
      </c>
      <c r="Q22" s="50">
        <f>IFERROR(IF(OR(ISBLANK(M22),ISBLANK(D22),ISBLANK(G22)),"",IF(D22="Long",(M22-G22),(G22-M22))/VLOOKUP(C22,設定!$B$9:$D$23,2,FALSE)),"")</f>
        <v/>
      </c>
      <c r="R22" s="51">
        <f>IFERROR(IF(OR(ISBLANK(Q22),O22=0),"",Q22/O22),"")</f>
        <v/>
      </c>
      <c r="S22" s="51">
        <f>IFERROR(IF(ISBLANK(R22),S21,IF(ISNUMBER(S21),S21,0)+R22),"")</f>
        <v/>
      </c>
      <c r="T22" s="52">
        <f>IFERROR(IF(OR(ISBLANK(Q22),ISBLANK(L22)),"",Q22*L22*VLOOKUP(C22,設定!$B$9:$D$23,3,FALSE)),"")</f>
        <v/>
      </c>
      <c r="U22" s="46" t="n"/>
      <c r="V22" s="46" t="n"/>
    </row>
    <row r="23">
      <c r="A23" s="53">
        <f>IF(ISBLANK(B23),"",COUNTA($B$18:B23))</f>
        <v/>
      </c>
      <c r="B23" s="54" t="n"/>
      <c r="C23" s="55" t="n"/>
      <c r="D23" s="55" t="n"/>
      <c r="E23" s="53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5" t="n"/>
      <c r="O23" s="58">
        <f>IFERROR(IF(OR(ISBLANK(G23),ISBLANK(I23)),"",ABS(G23-I23)/VLOOKUP(C23,設定!$B$9:$D$23,2,FALSE)),"")</f>
        <v/>
      </c>
      <c r="P23" s="57">
        <f>IFERROR(IF(OR(ISBLANK(F23),ISBLANK(H23),ISBLANK(J23)),"",ABS(J23-F23)/ABS(F23-H23)),"")</f>
        <v/>
      </c>
      <c r="Q23" s="59">
        <f>IFERROR(IF(OR(ISBLANK(M23),ISBLANK(D23),ISBLANK(G23)),"",IF(D23="Long",(M23-G23),(G23-M23))/VLOOKUP(C23,設定!$B$9:$D$23,2,FALSE)),"")</f>
        <v/>
      </c>
      <c r="R23" s="60">
        <f>IFERROR(IF(OR(ISBLANK(Q23),O23=0),"",Q23/O23),"")</f>
        <v/>
      </c>
      <c r="S23" s="60">
        <f>IFERROR(IF(ISBLANK(R23),S22,IF(ISNUMBER(S22),S22,0)+R23),"")</f>
        <v/>
      </c>
      <c r="T23" s="61">
        <f>IFERROR(IF(OR(ISBLANK(Q23),ISBLANK(L23)),"",Q23*L23*VLOOKUP(C23,設定!$B$9:$D$23,3,FALSE)),"")</f>
        <v/>
      </c>
      <c r="U23" s="55" t="n"/>
      <c r="V23" s="55" t="n"/>
    </row>
    <row r="24">
      <c r="A24" s="44">
        <f>IF(ISBLANK(B24),"",COUNTA($B$18:B24))</f>
        <v/>
      </c>
      <c r="B24" s="45" t="n"/>
      <c r="C24" s="46" t="n"/>
      <c r="D24" s="46" t="n"/>
      <c r="E24" s="44" t="n"/>
      <c r="F24" s="47" t="n"/>
      <c r="G24" s="47" t="n"/>
      <c r="H24" s="47" t="n"/>
      <c r="I24" s="47" t="n"/>
      <c r="J24" s="47" t="n"/>
      <c r="K24" s="47" t="n"/>
      <c r="L24" s="48" t="n"/>
      <c r="M24" s="47" t="n"/>
      <c r="N24" s="46" t="n"/>
      <c r="O24" s="49">
        <f>IFERROR(IF(OR(ISBLANK(G24),ISBLANK(I24)),"",ABS(G24-I24)/VLOOKUP(C24,設定!$B$9:$D$23,2,FALSE)),"")</f>
        <v/>
      </c>
      <c r="P24" s="48">
        <f>IFERROR(IF(OR(ISBLANK(F24),ISBLANK(H24),ISBLANK(J24)),"",ABS(J24-F24)/ABS(F24-H24)),"")</f>
        <v/>
      </c>
      <c r="Q24" s="50">
        <f>IFERROR(IF(OR(ISBLANK(M24),ISBLANK(D24),ISBLANK(G24)),"",IF(D24="Long",(M24-G24),(G24-M24))/VLOOKUP(C24,設定!$B$9:$D$23,2,FALSE)),"")</f>
        <v/>
      </c>
      <c r="R24" s="51">
        <f>IFERROR(IF(OR(ISBLANK(Q24),O24=0),"",Q24/O24),"")</f>
        <v/>
      </c>
      <c r="S24" s="51">
        <f>IFERROR(IF(ISBLANK(R24),S23,IF(ISNUMBER(S23),S23,0)+R24),"")</f>
        <v/>
      </c>
      <c r="T24" s="52">
        <f>IFERROR(IF(OR(ISBLANK(Q24),ISBLANK(L24)),"",Q24*L24*VLOOKUP(C24,設定!$B$9:$D$23,3,FALSE)),"")</f>
        <v/>
      </c>
      <c r="U24" s="46" t="n"/>
      <c r="V24" s="46" t="n"/>
    </row>
    <row r="25">
      <c r="A25" s="53">
        <f>IF(ISBLANK(B25),"",COUNTA($B$18:B25))</f>
        <v/>
      </c>
      <c r="B25" s="54" t="n"/>
      <c r="C25" s="55" t="n"/>
      <c r="D25" s="55" t="n"/>
      <c r="E25" s="53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5" t="n"/>
      <c r="O25" s="58">
        <f>IFERROR(IF(OR(ISBLANK(G25),ISBLANK(I25)),"",ABS(G25-I25)/VLOOKUP(C25,設定!$B$9:$D$23,2,FALSE)),"")</f>
        <v/>
      </c>
      <c r="P25" s="57">
        <f>IFERROR(IF(OR(ISBLANK(F25),ISBLANK(H25),ISBLANK(J25)),"",ABS(J25-F25)/ABS(F25-H25)),"")</f>
        <v/>
      </c>
      <c r="Q25" s="59">
        <f>IFERROR(IF(OR(ISBLANK(M25),ISBLANK(D25),ISBLANK(G25)),"",IF(D25="Long",(M25-G25),(G25-M25))/VLOOKUP(C25,設定!$B$9:$D$23,2,FALSE)),"")</f>
        <v/>
      </c>
      <c r="R25" s="60">
        <f>IFERROR(IF(OR(ISBLANK(Q25),O25=0),"",Q25/O25),"")</f>
        <v/>
      </c>
      <c r="S25" s="60">
        <f>IFERROR(IF(ISBLANK(R25),S24,IF(ISNUMBER(S24),S24,0)+R25),"")</f>
        <v/>
      </c>
      <c r="T25" s="61">
        <f>IFERROR(IF(OR(ISBLANK(Q25),ISBLANK(L25)),"",Q25*L25*VLOOKUP(C25,設定!$B$9:$D$23,3,FALSE)),"")</f>
        <v/>
      </c>
      <c r="U25" s="55" t="n"/>
      <c r="V25" s="55" t="n"/>
    </row>
    <row r="26">
      <c r="A26" s="44">
        <f>IF(ISBLANK(B26),"",COUNTA($B$18:B26))</f>
        <v/>
      </c>
      <c r="B26" s="45" t="n"/>
      <c r="C26" s="46" t="n"/>
      <c r="D26" s="46" t="n"/>
      <c r="E26" s="44" t="n"/>
      <c r="F26" s="47" t="n"/>
      <c r="G26" s="47" t="n"/>
      <c r="H26" s="47" t="n"/>
      <c r="I26" s="47" t="n"/>
      <c r="J26" s="47" t="n"/>
      <c r="K26" s="47" t="n"/>
      <c r="L26" s="48" t="n"/>
      <c r="M26" s="47" t="n"/>
      <c r="N26" s="46" t="n"/>
      <c r="O26" s="49">
        <f>IFERROR(IF(OR(ISBLANK(G26),ISBLANK(I26)),"",ABS(G26-I26)/VLOOKUP(C26,設定!$B$9:$D$23,2,FALSE)),"")</f>
        <v/>
      </c>
      <c r="P26" s="48">
        <f>IFERROR(IF(OR(ISBLANK(F26),ISBLANK(H26),ISBLANK(J26)),"",ABS(J26-F26)/ABS(F26-H26)),"")</f>
        <v/>
      </c>
      <c r="Q26" s="50">
        <f>IFERROR(IF(OR(ISBLANK(M26),ISBLANK(D26),ISBLANK(G26)),"",IF(D26="Long",(M26-G26),(G26-M26))/VLOOKUP(C26,設定!$B$9:$D$23,2,FALSE)),"")</f>
        <v/>
      </c>
      <c r="R26" s="51">
        <f>IFERROR(IF(OR(ISBLANK(Q26),O26=0),"",Q26/O26),"")</f>
        <v/>
      </c>
      <c r="S26" s="51">
        <f>IFERROR(IF(ISBLANK(R26),S25,IF(ISNUMBER(S25),S25,0)+R26),"")</f>
        <v/>
      </c>
      <c r="T26" s="52">
        <f>IFERROR(IF(OR(ISBLANK(Q26),ISBLANK(L26)),"",Q26*L26*VLOOKUP(C26,設定!$B$9:$D$23,3,FALSE)),"")</f>
        <v/>
      </c>
      <c r="U26" s="46" t="n"/>
      <c r="V26" s="46" t="n"/>
    </row>
    <row r="27">
      <c r="A27" s="53">
        <f>IF(ISBLANK(B27),"",COUNTA($B$18:B27))</f>
        <v/>
      </c>
      <c r="B27" s="54" t="n"/>
      <c r="C27" s="55" t="n"/>
      <c r="D27" s="55" t="n"/>
      <c r="E27" s="53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5" t="n"/>
      <c r="O27" s="58">
        <f>IFERROR(IF(OR(ISBLANK(G27),ISBLANK(I27)),"",ABS(G27-I27)/VLOOKUP(C27,設定!$B$9:$D$23,2,FALSE)),"")</f>
        <v/>
      </c>
      <c r="P27" s="57">
        <f>IFERROR(IF(OR(ISBLANK(F27),ISBLANK(H27),ISBLANK(J27)),"",ABS(J27-F27)/ABS(F27-H27)),"")</f>
        <v/>
      </c>
      <c r="Q27" s="59">
        <f>IFERROR(IF(OR(ISBLANK(M27),ISBLANK(D27),ISBLANK(G27)),"",IF(D27="Long",(M27-G27),(G27-M27))/VLOOKUP(C27,設定!$B$9:$D$23,2,FALSE)),"")</f>
        <v/>
      </c>
      <c r="R27" s="60">
        <f>IFERROR(IF(OR(ISBLANK(Q27),O27=0),"",Q27/O27),"")</f>
        <v/>
      </c>
      <c r="S27" s="60">
        <f>IFERROR(IF(ISBLANK(R27),S26,IF(ISNUMBER(S26),S26,0)+R27),"")</f>
        <v/>
      </c>
      <c r="T27" s="61">
        <f>IFERROR(IF(OR(ISBLANK(Q27),ISBLANK(L27)),"",Q27*L27*VLOOKUP(C27,設定!$B$9:$D$23,3,FALSE)),"")</f>
        <v/>
      </c>
      <c r="U27" s="55" t="n"/>
      <c r="V27" s="55" t="n"/>
    </row>
    <row r="28">
      <c r="A28" s="44">
        <f>IF(ISBLANK(B28),"",COUNTA($B$18:B28))</f>
        <v/>
      </c>
      <c r="B28" s="45" t="n"/>
      <c r="C28" s="46" t="n"/>
      <c r="D28" s="46" t="n"/>
      <c r="E28" s="44" t="n"/>
      <c r="F28" s="47" t="n"/>
      <c r="G28" s="47" t="n"/>
      <c r="H28" s="47" t="n"/>
      <c r="I28" s="47" t="n"/>
      <c r="J28" s="47" t="n"/>
      <c r="K28" s="47" t="n"/>
      <c r="L28" s="48" t="n"/>
      <c r="M28" s="47" t="n"/>
      <c r="N28" s="46" t="n"/>
      <c r="O28" s="49">
        <f>IFERROR(IF(OR(ISBLANK(G28),ISBLANK(I28)),"",ABS(G28-I28)/VLOOKUP(C28,設定!$B$9:$D$23,2,FALSE)),"")</f>
        <v/>
      </c>
      <c r="P28" s="48">
        <f>IFERROR(IF(OR(ISBLANK(F28),ISBLANK(H28),ISBLANK(J28)),"",ABS(J28-F28)/ABS(F28-H28)),"")</f>
        <v/>
      </c>
      <c r="Q28" s="50">
        <f>IFERROR(IF(OR(ISBLANK(M28),ISBLANK(D28),ISBLANK(G28)),"",IF(D28="Long",(M28-G28),(G28-M28))/VLOOKUP(C28,設定!$B$9:$D$23,2,FALSE)),"")</f>
        <v/>
      </c>
      <c r="R28" s="51">
        <f>IFERROR(IF(OR(ISBLANK(Q28),O28=0),"",Q28/O28),"")</f>
        <v/>
      </c>
      <c r="S28" s="51">
        <f>IFERROR(IF(ISBLANK(R28),S27,IF(ISNUMBER(S27),S27,0)+R28),"")</f>
        <v/>
      </c>
      <c r="T28" s="52">
        <f>IFERROR(IF(OR(ISBLANK(Q28),ISBLANK(L28)),"",Q28*L28*VLOOKUP(C28,設定!$B$9:$D$23,3,FALSE)),"")</f>
        <v/>
      </c>
      <c r="U28" s="46" t="n"/>
      <c r="V28" s="46" t="n"/>
    </row>
    <row r="29">
      <c r="A29" s="53">
        <f>IF(ISBLANK(B29),"",COUNTA($B$18:B29))</f>
        <v/>
      </c>
      <c r="B29" s="54" t="n"/>
      <c r="C29" s="55" t="n"/>
      <c r="D29" s="55" t="n"/>
      <c r="E29" s="53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5" t="n"/>
      <c r="O29" s="58">
        <f>IFERROR(IF(OR(ISBLANK(G29),ISBLANK(I29)),"",ABS(G29-I29)/VLOOKUP(C29,設定!$B$9:$D$23,2,FALSE)),"")</f>
        <v/>
      </c>
      <c r="P29" s="57">
        <f>IFERROR(IF(OR(ISBLANK(F29),ISBLANK(H29),ISBLANK(J29)),"",ABS(J29-F29)/ABS(F29-H29)),"")</f>
        <v/>
      </c>
      <c r="Q29" s="59">
        <f>IFERROR(IF(OR(ISBLANK(M29),ISBLANK(D29),ISBLANK(G29)),"",IF(D29="Long",(M29-G29),(G29-M29))/VLOOKUP(C29,設定!$B$9:$D$23,2,FALSE)),"")</f>
        <v/>
      </c>
      <c r="R29" s="60">
        <f>IFERROR(IF(OR(ISBLANK(Q29),O29=0),"",Q29/O29),"")</f>
        <v/>
      </c>
      <c r="S29" s="60">
        <f>IFERROR(IF(ISBLANK(R29),S28,IF(ISNUMBER(S28),S28,0)+R29),"")</f>
        <v/>
      </c>
      <c r="T29" s="61">
        <f>IFERROR(IF(OR(ISBLANK(Q29),ISBLANK(L29)),"",Q29*L29*VLOOKUP(C29,設定!$B$9:$D$23,3,FALSE)),"")</f>
        <v/>
      </c>
      <c r="U29" s="55" t="n"/>
      <c r="V29" s="55" t="n"/>
    </row>
    <row r="30">
      <c r="A30" s="44">
        <f>IF(ISBLANK(B30),"",COUNTA($B$18:B30))</f>
        <v/>
      </c>
      <c r="B30" s="45" t="n"/>
      <c r="C30" s="46" t="n"/>
      <c r="D30" s="46" t="n"/>
      <c r="E30" s="44" t="n"/>
      <c r="F30" s="47" t="n"/>
      <c r="G30" s="47" t="n"/>
      <c r="H30" s="47" t="n"/>
      <c r="I30" s="47" t="n"/>
      <c r="J30" s="47" t="n"/>
      <c r="K30" s="47" t="n"/>
      <c r="L30" s="48" t="n"/>
      <c r="M30" s="47" t="n"/>
      <c r="N30" s="46" t="n"/>
      <c r="O30" s="49">
        <f>IFERROR(IF(OR(ISBLANK(G30),ISBLANK(I30)),"",ABS(G30-I30)/VLOOKUP(C30,設定!$B$9:$D$23,2,FALSE)),"")</f>
        <v/>
      </c>
      <c r="P30" s="48">
        <f>IFERROR(IF(OR(ISBLANK(F30),ISBLANK(H30),ISBLANK(J30)),"",ABS(J30-F30)/ABS(F30-H30)),"")</f>
        <v/>
      </c>
      <c r="Q30" s="50">
        <f>IFERROR(IF(OR(ISBLANK(M30),ISBLANK(D30),ISBLANK(G30)),"",IF(D30="Long",(M30-G30),(G30-M30))/VLOOKUP(C30,設定!$B$9:$D$23,2,FALSE)),"")</f>
        <v/>
      </c>
      <c r="R30" s="51">
        <f>IFERROR(IF(OR(ISBLANK(Q30),O30=0),"",Q30/O30),"")</f>
        <v/>
      </c>
      <c r="S30" s="51">
        <f>IFERROR(IF(ISBLANK(R30),S29,IF(ISNUMBER(S29),S29,0)+R30),"")</f>
        <v/>
      </c>
      <c r="T30" s="52">
        <f>IFERROR(IF(OR(ISBLANK(Q30),ISBLANK(L30)),"",Q30*L30*VLOOKUP(C30,設定!$B$9:$D$23,3,FALSE)),"")</f>
        <v/>
      </c>
      <c r="U30" s="46" t="n"/>
      <c r="V30" s="46" t="n"/>
    </row>
    <row r="31">
      <c r="A31" s="53">
        <f>IF(ISBLANK(B31),"",COUNTA($B$18:B31))</f>
        <v/>
      </c>
      <c r="B31" s="54" t="n"/>
      <c r="C31" s="55" t="n"/>
      <c r="D31" s="55" t="n"/>
      <c r="E31" s="53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5" t="n"/>
      <c r="O31" s="58">
        <f>IFERROR(IF(OR(ISBLANK(G31),ISBLANK(I31)),"",ABS(G31-I31)/VLOOKUP(C31,設定!$B$9:$D$23,2,FALSE)),"")</f>
        <v/>
      </c>
      <c r="P31" s="57">
        <f>IFERROR(IF(OR(ISBLANK(F31),ISBLANK(H31),ISBLANK(J31)),"",ABS(J31-F31)/ABS(F31-H31)),"")</f>
        <v/>
      </c>
      <c r="Q31" s="59">
        <f>IFERROR(IF(OR(ISBLANK(M31),ISBLANK(D31),ISBLANK(G31)),"",IF(D31="Long",(M31-G31),(G31-M31))/VLOOKUP(C31,設定!$B$9:$D$23,2,FALSE)),"")</f>
        <v/>
      </c>
      <c r="R31" s="60">
        <f>IFERROR(IF(OR(ISBLANK(Q31),O31=0),"",Q31/O31),"")</f>
        <v/>
      </c>
      <c r="S31" s="60">
        <f>IFERROR(IF(ISBLANK(R31),S30,IF(ISNUMBER(S30),S30,0)+R31),"")</f>
        <v/>
      </c>
      <c r="T31" s="61">
        <f>IFERROR(IF(OR(ISBLANK(Q31),ISBLANK(L31)),"",Q31*L31*VLOOKUP(C31,設定!$B$9:$D$23,3,FALSE)),"")</f>
        <v/>
      </c>
      <c r="U31" s="55" t="n"/>
      <c r="V31" s="55" t="n"/>
    </row>
    <row r="32">
      <c r="A32" s="44">
        <f>IF(ISBLANK(B32),"",COUNTA($B$18:B32))</f>
        <v/>
      </c>
      <c r="B32" s="45" t="n"/>
      <c r="C32" s="46" t="n"/>
      <c r="D32" s="46" t="n"/>
      <c r="E32" s="44" t="n"/>
      <c r="F32" s="47" t="n"/>
      <c r="G32" s="47" t="n"/>
      <c r="H32" s="47" t="n"/>
      <c r="I32" s="47" t="n"/>
      <c r="J32" s="47" t="n"/>
      <c r="K32" s="47" t="n"/>
      <c r="L32" s="48" t="n"/>
      <c r="M32" s="47" t="n"/>
      <c r="N32" s="46" t="n"/>
      <c r="O32" s="49">
        <f>IFERROR(IF(OR(ISBLANK(G32),ISBLANK(I32)),"",ABS(G32-I32)/VLOOKUP(C32,設定!$B$9:$D$23,2,FALSE)),"")</f>
        <v/>
      </c>
      <c r="P32" s="48">
        <f>IFERROR(IF(OR(ISBLANK(F32),ISBLANK(H32),ISBLANK(J32)),"",ABS(J32-F32)/ABS(F32-H32)),"")</f>
        <v/>
      </c>
      <c r="Q32" s="50">
        <f>IFERROR(IF(OR(ISBLANK(M32),ISBLANK(D32),ISBLANK(G32)),"",IF(D32="Long",(M32-G32),(G32-M32))/VLOOKUP(C32,設定!$B$9:$D$23,2,FALSE)),"")</f>
        <v/>
      </c>
      <c r="R32" s="51">
        <f>IFERROR(IF(OR(ISBLANK(Q32),O32=0),"",Q32/O32),"")</f>
        <v/>
      </c>
      <c r="S32" s="51">
        <f>IFERROR(IF(ISBLANK(R32),S31,IF(ISNUMBER(S31),S31,0)+R32),"")</f>
        <v/>
      </c>
      <c r="T32" s="52">
        <f>IFERROR(IF(OR(ISBLANK(Q32),ISBLANK(L32)),"",Q32*L32*VLOOKUP(C32,設定!$B$9:$D$23,3,FALSE)),"")</f>
        <v/>
      </c>
      <c r="U32" s="46" t="n"/>
      <c r="V32" s="46" t="n"/>
    </row>
    <row r="33">
      <c r="A33" s="53">
        <f>IF(ISBLANK(B33),"",COUNTA($B$18:B33))</f>
        <v/>
      </c>
      <c r="B33" s="54" t="n"/>
      <c r="C33" s="55" t="n"/>
      <c r="D33" s="55" t="n"/>
      <c r="E33" s="53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5" t="n"/>
      <c r="O33" s="58">
        <f>IFERROR(IF(OR(ISBLANK(G33),ISBLANK(I33)),"",ABS(G33-I33)/VLOOKUP(C33,設定!$B$9:$D$23,2,FALSE)),"")</f>
        <v/>
      </c>
      <c r="P33" s="57">
        <f>IFERROR(IF(OR(ISBLANK(F33),ISBLANK(H33),ISBLANK(J33)),"",ABS(J33-F33)/ABS(F33-H33)),"")</f>
        <v/>
      </c>
      <c r="Q33" s="59">
        <f>IFERROR(IF(OR(ISBLANK(M33),ISBLANK(D33),ISBLANK(G33)),"",IF(D33="Long",(M33-G33),(G33-M33))/VLOOKUP(C33,設定!$B$9:$D$23,2,FALSE)),"")</f>
        <v/>
      </c>
      <c r="R33" s="60">
        <f>IFERROR(IF(OR(ISBLANK(Q33),O33=0),"",Q33/O33),"")</f>
        <v/>
      </c>
      <c r="S33" s="60">
        <f>IFERROR(IF(ISBLANK(R33),S32,IF(ISNUMBER(S32),S32,0)+R33),"")</f>
        <v/>
      </c>
      <c r="T33" s="61">
        <f>IFERROR(IF(OR(ISBLANK(Q33),ISBLANK(L33)),"",Q33*L33*VLOOKUP(C33,設定!$B$9:$D$23,3,FALSE)),"")</f>
        <v/>
      </c>
      <c r="U33" s="55" t="n"/>
      <c r="V33" s="55" t="n"/>
    </row>
    <row r="34">
      <c r="A34" s="44">
        <f>IF(ISBLANK(B34),"",COUNTA($B$18:B34))</f>
        <v/>
      </c>
      <c r="B34" s="45" t="n"/>
      <c r="C34" s="46" t="n"/>
      <c r="D34" s="46" t="n"/>
      <c r="E34" s="44" t="n"/>
      <c r="F34" s="47" t="n"/>
      <c r="G34" s="47" t="n"/>
      <c r="H34" s="47" t="n"/>
      <c r="I34" s="47" t="n"/>
      <c r="J34" s="47" t="n"/>
      <c r="K34" s="47" t="n"/>
      <c r="L34" s="48" t="n"/>
      <c r="M34" s="47" t="n"/>
      <c r="N34" s="46" t="n"/>
      <c r="O34" s="49">
        <f>IFERROR(IF(OR(ISBLANK(G34),ISBLANK(I34)),"",ABS(G34-I34)/VLOOKUP(C34,設定!$B$9:$D$23,2,FALSE)),"")</f>
        <v/>
      </c>
      <c r="P34" s="48">
        <f>IFERROR(IF(OR(ISBLANK(F34),ISBLANK(H34),ISBLANK(J34)),"",ABS(J34-F34)/ABS(F34-H34)),"")</f>
        <v/>
      </c>
      <c r="Q34" s="50">
        <f>IFERROR(IF(OR(ISBLANK(M34),ISBLANK(D34),ISBLANK(G34)),"",IF(D34="Long",(M34-G34),(G34-M34))/VLOOKUP(C34,設定!$B$9:$D$23,2,FALSE)),"")</f>
        <v/>
      </c>
      <c r="R34" s="51">
        <f>IFERROR(IF(OR(ISBLANK(Q34),O34=0),"",Q34/O34),"")</f>
        <v/>
      </c>
      <c r="S34" s="51">
        <f>IFERROR(IF(ISBLANK(R34),S33,IF(ISNUMBER(S33),S33,0)+R34),"")</f>
        <v/>
      </c>
      <c r="T34" s="52">
        <f>IFERROR(IF(OR(ISBLANK(Q34),ISBLANK(L34)),"",Q34*L34*VLOOKUP(C34,設定!$B$9:$D$23,3,FALSE)),"")</f>
        <v/>
      </c>
      <c r="U34" s="46" t="n"/>
      <c r="V34" s="46" t="n"/>
    </row>
    <row r="35">
      <c r="A35" s="53">
        <f>IF(ISBLANK(B35),"",COUNTA($B$18:B35))</f>
        <v/>
      </c>
      <c r="B35" s="54" t="n"/>
      <c r="C35" s="55" t="n"/>
      <c r="D35" s="55" t="n"/>
      <c r="E35" s="53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5" t="n"/>
      <c r="O35" s="58">
        <f>IFERROR(IF(OR(ISBLANK(G35),ISBLANK(I35)),"",ABS(G35-I35)/VLOOKUP(C35,設定!$B$9:$D$23,2,FALSE)),"")</f>
        <v/>
      </c>
      <c r="P35" s="57">
        <f>IFERROR(IF(OR(ISBLANK(F35),ISBLANK(H35),ISBLANK(J35)),"",ABS(J35-F35)/ABS(F35-H35)),"")</f>
        <v/>
      </c>
      <c r="Q35" s="59">
        <f>IFERROR(IF(OR(ISBLANK(M35),ISBLANK(D35),ISBLANK(G35)),"",IF(D35="Long",(M35-G35),(G35-M35))/VLOOKUP(C35,設定!$B$9:$D$23,2,FALSE)),"")</f>
        <v/>
      </c>
      <c r="R35" s="60">
        <f>IFERROR(IF(OR(ISBLANK(Q35),O35=0),"",Q35/O35),"")</f>
        <v/>
      </c>
      <c r="S35" s="60">
        <f>IFERROR(IF(ISBLANK(R35),S34,IF(ISNUMBER(S34),S34,0)+R35),"")</f>
        <v/>
      </c>
      <c r="T35" s="61">
        <f>IFERROR(IF(OR(ISBLANK(Q35),ISBLANK(L35)),"",Q35*L35*VLOOKUP(C35,設定!$B$9:$D$23,3,FALSE)),"")</f>
        <v/>
      </c>
      <c r="U35" s="55" t="n"/>
      <c r="V35" s="55" t="n"/>
    </row>
    <row r="36">
      <c r="A36" s="44">
        <f>IF(ISBLANK(B36),"",COUNTA($B$18:B36))</f>
        <v/>
      </c>
      <c r="B36" s="45" t="n"/>
      <c r="C36" s="46" t="n"/>
      <c r="D36" s="46" t="n"/>
      <c r="E36" s="44" t="n"/>
      <c r="F36" s="47" t="n"/>
      <c r="G36" s="47" t="n"/>
      <c r="H36" s="47" t="n"/>
      <c r="I36" s="47" t="n"/>
      <c r="J36" s="47" t="n"/>
      <c r="K36" s="47" t="n"/>
      <c r="L36" s="48" t="n"/>
      <c r="M36" s="47" t="n"/>
      <c r="N36" s="46" t="n"/>
      <c r="O36" s="49">
        <f>IFERROR(IF(OR(ISBLANK(G36),ISBLANK(I36)),"",ABS(G36-I36)/VLOOKUP(C36,設定!$B$9:$D$23,2,FALSE)),"")</f>
        <v/>
      </c>
      <c r="P36" s="48">
        <f>IFERROR(IF(OR(ISBLANK(F36),ISBLANK(H36),ISBLANK(J36)),"",ABS(J36-F36)/ABS(F36-H36)),"")</f>
        <v/>
      </c>
      <c r="Q36" s="50">
        <f>IFERROR(IF(OR(ISBLANK(M36),ISBLANK(D36),ISBLANK(G36)),"",IF(D36="Long",(M36-G36),(G36-M36))/VLOOKUP(C36,設定!$B$9:$D$23,2,FALSE)),"")</f>
        <v/>
      </c>
      <c r="R36" s="51">
        <f>IFERROR(IF(OR(ISBLANK(Q36),O36=0),"",Q36/O36),"")</f>
        <v/>
      </c>
      <c r="S36" s="51">
        <f>IFERROR(IF(ISBLANK(R36),S35,IF(ISNUMBER(S35),S35,0)+R36),"")</f>
        <v/>
      </c>
      <c r="T36" s="52">
        <f>IFERROR(IF(OR(ISBLANK(Q36),ISBLANK(L36)),"",Q36*L36*VLOOKUP(C36,設定!$B$9:$D$23,3,FALSE)),"")</f>
        <v/>
      </c>
      <c r="U36" s="46" t="n"/>
      <c r="V36" s="46" t="n"/>
    </row>
    <row r="37">
      <c r="A37" s="53">
        <f>IF(ISBLANK(B37),"",COUNTA($B$18:B37))</f>
        <v/>
      </c>
      <c r="B37" s="54" t="n"/>
      <c r="C37" s="55" t="n"/>
      <c r="D37" s="55" t="n"/>
      <c r="E37" s="53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5" t="n"/>
      <c r="O37" s="58">
        <f>IFERROR(IF(OR(ISBLANK(G37),ISBLANK(I37)),"",ABS(G37-I37)/VLOOKUP(C37,設定!$B$9:$D$23,2,FALSE)),"")</f>
        <v/>
      </c>
      <c r="P37" s="57">
        <f>IFERROR(IF(OR(ISBLANK(F37),ISBLANK(H37),ISBLANK(J37)),"",ABS(J37-F37)/ABS(F37-H37)),"")</f>
        <v/>
      </c>
      <c r="Q37" s="59">
        <f>IFERROR(IF(OR(ISBLANK(M37),ISBLANK(D37),ISBLANK(G37)),"",IF(D37="Long",(M37-G37),(G37-M37))/VLOOKUP(C37,設定!$B$9:$D$23,2,FALSE)),"")</f>
        <v/>
      </c>
      <c r="R37" s="60">
        <f>IFERROR(IF(OR(ISBLANK(Q37),O37=0),"",Q37/O37),"")</f>
        <v/>
      </c>
      <c r="S37" s="60">
        <f>IFERROR(IF(ISBLANK(R37),S36,IF(ISNUMBER(S36),S36,0)+R37),"")</f>
        <v/>
      </c>
      <c r="T37" s="61">
        <f>IFERROR(IF(OR(ISBLANK(Q37),ISBLANK(L37)),"",Q37*L37*VLOOKUP(C37,設定!$B$9:$D$23,3,FALSE)),"")</f>
        <v/>
      </c>
      <c r="U37" s="55" t="n"/>
      <c r="V37" s="55" t="n"/>
    </row>
    <row r="38">
      <c r="A38" s="44">
        <f>IF(ISBLANK(B38),"",COUNTA($B$18:B38))</f>
        <v/>
      </c>
      <c r="B38" s="45" t="n"/>
      <c r="C38" s="46" t="n"/>
      <c r="D38" s="46" t="n"/>
      <c r="E38" s="44" t="n"/>
      <c r="F38" s="47" t="n"/>
      <c r="G38" s="47" t="n"/>
      <c r="H38" s="47" t="n"/>
      <c r="I38" s="47" t="n"/>
      <c r="J38" s="47" t="n"/>
      <c r="K38" s="47" t="n"/>
      <c r="L38" s="48" t="n"/>
      <c r="M38" s="47" t="n"/>
      <c r="N38" s="46" t="n"/>
      <c r="O38" s="49">
        <f>IFERROR(IF(OR(ISBLANK(G38),ISBLANK(I38)),"",ABS(G38-I38)/VLOOKUP(C38,設定!$B$9:$D$23,2,FALSE)),"")</f>
        <v/>
      </c>
      <c r="P38" s="48">
        <f>IFERROR(IF(OR(ISBLANK(F38),ISBLANK(H38),ISBLANK(J38)),"",ABS(J38-F38)/ABS(F38-H38)),"")</f>
        <v/>
      </c>
      <c r="Q38" s="50">
        <f>IFERROR(IF(OR(ISBLANK(M38),ISBLANK(D38),ISBLANK(G38)),"",IF(D38="Long",(M38-G38),(G38-M38))/VLOOKUP(C38,設定!$B$9:$D$23,2,FALSE)),"")</f>
        <v/>
      </c>
      <c r="R38" s="51">
        <f>IFERROR(IF(OR(ISBLANK(Q38),O38=0),"",Q38/O38),"")</f>
        <v/>
      </c>
      <c r="S38" s="51">
        <f>IFERROR(IF(ISBLANK(R38),S37,IF(ISNUMBER(S37),S37,0)+R38),"")</f>
        <v/>
      </c>
      <c r="T38" s="52">
        <f>IFERROR(IF(OR(ISBLANK(Q38),ISBLANK(L38)),"",Q38*L38*VLOOKUP(C38,設定!$B$9:$D$23,3,FALSE)),"")</f>
        <v/>
      </c>
      <c r="U38" s="46" t="n"/>
      <c r="V38" s="46" t="n"/>
    </row>
    <row r="39">
      <c r="A39" s="53">
        <f>IF(ISBLANK(B39),"",COUNTA($B$18:B39))</f>
        <v/>
      </c>
      <c r="B39" s="54" t="n"/>
      <c r="C39" s="55" t="n"/>
      <c r="D39" s="55" t="n"/>
      <c r="E39" s="53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5" t="n"/>
      <c r="O39" s="58">
        <f>IFERROR(IF(OR(ISBLANK(G39),ISBLANK(I39)),"",ABS(G39-I39)/VLOOKUP(C39,設定!$B$9:$D$23,2,FALSE)),"")</f>
        <v/>
      </c>
      <c r="P39" s="57">
        <f>IFERROR(IF(OR(ISBLANK(F39),ISBLANK(H39),ISBLANK(J39)),"",ABS(J39-F39)/ABS(F39-H39)),"")</f>
        <v/>
      </c>
      <c r="Q39" s="59">
        <f>IFERROR(IF(OR(ISBLANK(M39),ISBLANK(D39),ISBLANK(G39)),"",IF(D39="Long",(M39-G39),(G39-M39))/VLOOKUP(C39,設定!$B$9:$D$23,2,FALSE)),"")</f>
        <v/>
      </c>
      <c r="R39" s="60">
        <f>IFERROR(IF(OR(ISBLANK(Q39),O39=0),"",Q39/O39),"")</f>
        <v/>
      </c>
      <c r="S39" s="60">
        <f>IFERROR(IF(ISBLANK(R39),S38,IF(ISNUMBER(S38),S38,0)+R39),"")</f>
        <v/>
      </c>
      <c r="T39" s="61">
        <f>IFERROR(IF(OR(ISBLANK(Q39),ISBLANK(L39)),"",Q39*L39*VLOOKUP(C39,設定!$B$9:$D$23,3,FALSE)),"")</f>
        <v/>
      </c>
      <c r="U39" s="55" t="n"/>
      <c r="V39" s="55" t="n"/>
    </row>
    <row r="40">
      <c r="A40" s="44">
        <f>IF(ISBLANK(B40),"",COUNTA($B$18:B40))</f>
        <v/>
      </c>
      <c r="B40" s="45" t="n"/>
      <c r="C40" s="46" t="n"/>
      <c r="D40" s="46" t="n"/>
      <c r="E40" s="44" t="n"/>
      <c r="F40" s="47" t="n"/>
      <c r="G40" s="47" t="n"/>
      <c r="H40" s="47" t="n"/>
      <c r="I40" s="47" t="n"/>
      <c r="J40" s="47" t="n"/>
      <c r="K40" s="47" t="n"/>
      <c r="L40" s="48" t="n"/>
      <c r="M40" s="47" t="n"/>
      <c r="N40" s="46" t="n"/>
      <c r="O40" s="49">
        <f>IFERROR(IF(OR(ISBLANK(G40),ISBLANK(I40)),"",ABS(G40-I40)/VLOOKUP(C40,設定!$B$9:$D$23,2,FALSE)),"")</f>
        <v/>
      </c>
      <c r="P40" s="48">
        <f>IFERROR(IF(OR(ISBLANK(F40),ISBLANK(H40),ISBLANK(J40)),"",ABS(J40-F40)/ABS(F40-H40)),"")</f>
        <v/>
      </c>
      <c r="Q40" s="50">
        <f>IFERROR(IF(OR(ISBLANK(M40),ISBLANK(D40),ISBLANK(G40)),"",IF(D40="Long",(M40-G40),(G40-M40))/VLOOKUP(C40,設定!$B$9:$D$23,2,FALSE)),"")</f>
        <v/>
      </c>
      <c r="R40" s="51">
        <f>IFERROR(IF(OR(ISBLANK(Q40),O40=0),"",Q40/O40),"")</f>
        <v/>
      </c>
      <c r="S40" s="51">
        <f>IFERROR(IF(ISBLANK(R40),S39,IF(ISNUMBER(S39),S39,0)+R40),"")</f>
        <v/>
      </c>
      <c r="T40" s="52">
        <f>IFERROR(IF(OR(ISBLANK(Q40),ISBLANK(L40)),"",Q40*L40*VLOOKUP(C40,設定!$B$9:$D$23,3,FALSE)),"")</f>
        <v/>
      </c>
      <c r="U40" s="46" t="n"/>
      <c r="V40" s="46" t="n"/>
    </row>
    <row r="41">
      <c r="A41" s="53">
        <f>IF(ISBLANK(B41),"",COUNTA($B$18:B41))</f>
        <v/>
      </c>
      <c r="B41" s="54" t="n"/>
      <c r="C41" s="55" t="n"/>
      <c r="D41" s="55" t="n"/>
      <c r="E41" s="53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5" t="n"/>
      <c r="O41" s="58">
        <f>IFERROR(IF(OR(ISBLANK(G41),ISBLANK(I41)),"",ABS(G41-I41)/VLOOKUP(C41,設定!$B$9:$D$23,2,FALSE)),"")</f>
        <v/>
      </c>
      <c r="P41" s="57">
        <f>IFERROR(IF(OR(ISBLANK(F41),ISBLANK(H41),ISBLANK(J41)),"",ABS(J41-F41)/ABS(F41-H41)),"")</f>
        <v/>
      </c>
      <c r="Q41" s="59">
        <f>IFERROR(IF(OR(ISBLANK(M41),ISBLANK(D41),ISBLANK(G41)),"",IF(D41="Long",(M41-G41),(G41-M41))/VLOOKUP(C41,設定!$B$9:$D$23,2,FALSE)),"")</f>
        <v/>
      </c>
      <c r="R41" s="60">
        <f>IFERROR(IF(OR(ISBLANK(Q41),O41=0),"",Q41/O41),"")</f>
        <v/>
      </c>
      <c r="S41" s="60">
        <f>IFERROR(IF(ISBLANK(R41),S40,IF(ISNUMBER(S40),S40,0)+R41),"")</f>
        <v/>
      </c>
      <c r="T41" s="61">
        <f>IFERROR(IF(OR(ISBLANK(Q41),ISBLANK(L41)),"",Q41*L41*VLOOKUP(C41,設定!$B$9:$D$23,3,FALSE)),"")</f>
        <v/>
      </c>
      <c r="U41" s="55" t="n"/>
      <c r="V41" s="55" t="n"/>
    </row>
    <row r="42">
      <c r="A42" s="44">
        <f>IF(ISBLANK(B42),"",COUNTA($B$18:B42))</f>
        <v/>
      </c>
      <c r="B42" s="45" t="n"/>
      <c r="C42" s="46" t="n"/>
      <c r="D42" s="46" t="n"/>
      <c r="E42" s="44" t="n"/>
      <c r="F42" s="47" t="n"/>
      <c r="G42" s="47" t="n"/>
      <c r="H42" s="47" t="n"/>
      <c r="I42" s="47" t="n"/>
      <c r="J42" s="47" t="n"/>
      <c r="K42" s="47" t="n"/>
      <c r="L42" s="48" t="n"/>
      <c r="M42" s="47" t="n"/>
      <c r="N42" s="46" t="n"/>
      <c r="O42" s="49">
        <f>IFERROR(IF(OR(ISBLANK(G42),ISBLANK(I42)),"",ABS(G42-I42)/VLOOKUP(C42,設定!$B$9:$D$23,2,FALSE)),"")</f>
        <v/>
      </c>
      <c r="P42" s="48">
        <f>IFERROR(IF(OR(ISBLANK(F42),ISBLANK(H42),ISBLANK(J42)),"",ABS(J42-F42)/ABS(F42-H42)),"")</f>
        <v/>
      </c>
      <c r="Q42" s="50">
        <f>IFERROR(IF(OR(ISBLANK(M42),ISBLANK(D42),ISBLANK(G42)),"",IF(D42="Long",(M42-G42),(G42-M42))/VLOOKUP(C42,設定!$B$9:$D$23,2,FALSE)),"")</f>
        <v/>
      </c>
      <c r="R42" s="51">
        <f>IFERROR(IF(OR(ISBLANK(Q42),O42=0),"",Q42/O42),"")</f>
        <v/>
      </c>
      <c r="S42" s="51">
        <f>IFERROR(IF(ISBLANK(R42),S41,IF(ISNUMBER(S41),S41,0)+R42),"")</f>
        <v/>
      </c>
      <c r="T42" s="52">
        <f>IFERROR(IF(OR(ISBLANK(Q42),ISBLANK(L42)),"",Q42*L42*VLOOKUP(C42,設定!$B$9:$D$23,3,FALSE)),"")</f>
        <v/>
      </c>
      <c r="U42" s="46" t="n"/>
      <c r="V42" s="46" t="n"/>
    </row>
    <row r="43">
      <c r="A43" s="53">
        <f>IF(ISBLANK(B43),"",COUNTA($B$18:B43))</f>
        <v/>
      </c>
      <c r="B43" s="54" t="n"/>
      <c r="C43" s="55" t="n"/>
      <c r="D43" s="55" t="n"/>
      <c r="E43" s="53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5" t="n"/>
      <c r="O43" s="58">
        <f>IFERROR(IF(OR(ISBLANK(G43),ISBLANK(I43)),"",ABS(G43-I43)/VLOOKUP(C43,設定!$B$9:$D$23,2,FALSE)),"")</f>
        <v/>
      </c>
      <c r="P43" s="57">
        <f>IFERROR(IF(OR(ISBLANK(F43),ISBLANK(H43),ISBLANK(J43)),"",ABS(J43-F43)/ABS(F43-H43)),"")</f>
        <v/>
      </c>
      <c r="Q43" s="59">
        <f>IFERROR(IF(OR(ISBLANK(M43),ISBLANK(D43),ISBLANK(G43)),"",IF(D43="Long",(M43-G43),(G43-M43))/VLOOKUP(C43,設定!$B$9:$D$23,2,FALSE)),"")</f>
        <v/>
      </c>
      <c r="R43" s="60">
        <f>IFERROR(IF(OR(ISBLANK(Q43),O43=0),"",Q43/O43),"")</f>
        <v/>
      </c>
      <c r="S43" s="60">
        <f>IFERROR(IF(ISBLANK(R43),S42,IF(ISNUMBER(S42),S42,0)+R43),"")</f>
        <v/>
      </c>
      <c r="T43" s="61">
        <f>IFERROR(IF(OR(ISBLANK(Q43),ISBLANK(L43)),"",Q43*L43*VLOOKUP(C43,設定!$B$9:$D$23,3,FALSE)),"")</f>
        <v/>
      </c>
      <c r="U43" s="55" t="n"/>
      <c r="V43" s="55" t="n"/>
    </row>
    <row r="44">
      <c r="A44" s="44">
        <f>IF(ISBLANK(B44),"",COUNTA($B$18:B44))</f>
        <v/>
      </c>
      <c r="B44" s="45" t="n"/>
      <c r="C44" s="46" t="n"/>
      <c r="D44" s="46" t="n"/>
      <c r="E44" s="44" t="n"/>
      <c r="F44" s="47" t="n"/>
      <c r="G44" s="47" t="n"/>
      <c r="H44" s="47" t="n"/>
      <c r="I44" s="47" t="n"/>
      <c r="J44" s="47" t="n"/>
      <c r="K44" s="47" t="n"/>
      <c r="L44" s="48" t="n"/>
      <c r="M44" s="47" t="n"/>
      <c r="N44" s="46" t="n"/>
      <c r="O44" s="49">
        <f>IFERROR(IF(OR(ISBLANK(G44),ISBLANK(I44)),"",ABS(G44-I44)/VLOOKUP(C44,設定!$B$9:$D$23,2,FALSE)),"")</f>
        <v/>
      </c>
      <c r="P44" s="48">
        <f>IFERROR(IF(OR(ISBLANK(F44),ISBLANK(H44),ISBLANK(J44)),"",ABS(J44-F44)/ABS(F44-H44)),"")</f>
        <v/>
      </c>
      <c r="Q44" s="50">
        <f>IFERROR(IF(OR(ISBLANK(M44),ISBLANK(D44),ISBLANK(G44)),"",IF(D44="Long",(M44-G44),(G44-M44))/VLOOKUP(C44,設定!$B$9:$D$23,2,FALSE)),"")</f>
        <v/>
      </c>
      <c r="R44" s="51">
        <f>IFERROR(IF(OR(ISBLANK(Q44),O44=0),"",Q44/O44),"")</f>
        <v/>
      </c>
      <c r="S44" s="51">
        <f>IFERROR(IF(ISBLANK(R44),S43,IF(ISNUMBER(S43),S43,0)+R44),"")</f>
        <v/>
      </c>
      <c r="T44" s="52">
        <f>IFERROR(IF(OR(ISBLANK(Q44),ISBLANK(L44)),"",Q44*L44*VLOOKUP(C44,設定!$B$9:$D$23,3,FALSE)),"")</f>
        <v/>
      </c>
      <c r="U44" s="46" t="n"/>
      <c r="V44" s="46" t="n"/>
    </row>
    <row r="45">
      <c r="A45" s="53">
        <f>IF(ISBLANK(B45),"",COUNTA($B$18:B45))</f>
        <v/>
      </c>
      <c r="B45" s="54" t="n"/>
      <c r="C45" s="55" t="n"/>
      <c r="D45" s="55" t="n"/>
      <c r="E45" s="53" t="n"/>
      <c r="F45" s="56" t="n"/>
      <c r="G45" s="56" t="n"/>
      <c r="H45" s="56" t="n"/>
      <c r="I45" s="56" t="n"/>
      <c r="J45" s="56" t="n"/>
      <c r="K45" s="56" t="n"/>
      <c r="L45" s="57" t="n"/>
      <c r="M45" s="56" t="n"/>
      <c r="N45" s="55" t="n"/>
      <c r="O45" s="58">
        <f>IFERROR(IF(OR(ISBLANK(G45),ISBLANK(I45)),"",ABS(G45-I45)/VLOOKUP(C45,設定!$B$9:$D$23,2,FALSE)),"")</f>
        <v/>
      </c>
      <c r="P45" s="57">
        <f>IFERROR(IF(OR(ISBLANK(F45),ISBLANK(H45),ISBLANK(J45)),"",ABS(J45-F45)/ABS(F45-H45)),"")</f>
        <v/>
      </c>
      <c r="Q45" s="59">
        <f>IFERROR(IF(OR(ISBLANK(M45),ISBLANK(D45),ISBLANK(G45)),"",IF(D45="Long",(M45-G45),(G45-M45))/VLOOKUP(C45,設定!$B$9:$D$23,2,FALSE)),"")</f>
        <v/>
      </c>
      <c r="R45" s="60">
        <f>IFERROR(IF(OR(ISBLANK(Q45),O45=0),"",Q45/O45),"")</f>
        <v/>
      </c>
      <c r="S45" s="60">
        <f>IFERROR(IF(ISBLANK(R45),S44,IF(ISNUMBER(S44),S44,0)+R45),"")</f>
        <v/>
      </c>
      <c r="T45" s="61">
        <f>IFERROR(IF(OR(ISBLANK(Q45),ISBLANK(L45)),"",Q45*L45*VLOOKUP(C45,設定!$B$9:$D$23,3,FALSE)),"")</f>
        <v/>
      </c>
      <c r="U45" s="55" t="n"/>
      <c r="V45" s="55" t="n"/>
    </row>
    <row r="46">
      <c r="A46" s="44">
        <f>IF(ISBLANK(B46),"",COUNTA($B$18:B46))</f>
        <v/>
      </c>
      <c r="B46" s="45" t="n"/>
      <c r="C46" s="46" t="n"/>
      <c r="D46" s="46" t="n"/>
      <c r="E46" s="44" t="n"/>
      <c r="F46" s="47" t="n"/>
      <c r="G46" s="47" t="n"/>
      <c r="H46" s="47" t="n"/>
      <c r="I46" s="47" t="n"/>
      <c r="J46" s="47" t="n"/>
      <c r="K46" s="47" t="n"/>
      <c r="L46" s="48" t="n"/>
      <c r="M46" s="47" t="n"/>
      <c r="N46" s="46" t="n"/>
      <c r="O46" s="49">
        <f>IFERROR(IF(OR(ISBLANK(G46),ISBLANK(I46)),"",ABS(G46-I46)/VLOOKUP(C46,設定!$B$9:$D$23,2,FALSE)),"")</f>
        <v/>
      </c>
      <c r="P46" s="48">
        <f>IFERROR(IF(OR(ISBLANK(F46),ISBLANK(H46),ISBLANK(J46)),"",ABS(J46-F46)/ABS(F46-H46)),"")</f>
        <v/>
      </c>
      <c r="Q46" s="50">
        <f>IFERROR(IF(OR(ISBLANK(M46),ISBLANK(D46),ISBLANK(G46)),"",IF(D46="Long",(M46-G46),(G46-M46))/VLOOKUP(C46,設定!$B$9:$D$23,2,FALSE)),"")</f>
        <v/>
      </c>
      <c r="R46" s="51">
        <f>IFERROR(IF(OR(ISBLANK(Q46),O46=0),"",Q46/O46),"")</f>
        <v/>
      </c>
      <c r="S46" s="51">
        <f>IFERROR(IF(ISBLANK(R46),S45,IF(ISNUMBER(S45),S45,0)+R46),"")</f>
        <v/>
      </c>
      <c r="T46" s="52">
        <f>IFERROR(IF(OR(ISBLANK(Q46),ISBLANK(L46)),"",Q46*L46*VLOOKUP(C46,設定!$B$9:$D$23,3,FALSE)),"")</f>
        <v/>
      </c>
      <c r="U46" s="46" t="n"/>
      <c r="V46" s="46" t="n"/>
    </row>
    <row r="47">
      <c r="A47" s="53">
        <f>IF(ISBLANK(B47),"",COUNTA($B$18:B47))</f>
        <v/>
      </c>
      <c r="B47" s="54" t="n"/>
      <c r="C47" s="55" t="n"/>
      <c r="D47" s="55" t="n"/>
      <c r="E47" s="53" t="n"/>
      <c r="F47" s="56" t="n"/>
      <c r="G47" s="56" t="n"/>
      <c r="H47" s="56" t="n"/>
      <c r="I47" s="56" t="n"/>
      <c r="J47" s="56" t="n"/>
      <c r="K47" s="56" t="n"/>
      <c r="L47" s="57" t="n"/>
      <c r="M47" s="56" t="n"/>
      <c r="N47" s="55" t="n"/>
      <c r="O47" s="58">
        <f>IFERROR(IF(OR(ISBLANK(G47),ISBLANK(I47)),"",ABS(G47-I47)/VLOOKUP(C47,設定!$B$9:$D$23,2,FALSE)),"")</f>
        <v/>
      </c>
      <c r="P47" s="57">
        <f>IFERROR(IF(OR(ISBLANK(F47),ISBLANK(H47),ISBLANK(J47)),"",ABS(J47-F47)/ABS(F47-H47)),"")</f>
        <v/>
      </c>
      <c r="Q47" s="59">
        <f>IFERROR(IF(OR(ISBLANK(M47),ISBLANK(D47),ISBLANK(G47)),"",IF(D47="Long",(M47-G47),(G47-M47))/VLOOKUP(C47,設定!$B$9:$D$23,2,FALSE)),"")</f>
        <v/>
      </c>
      <c r="R47" s="60">
        <f>IFERROR(IF(OR(ISBLANK(Q47),O47=0),"",Q47/O47),"")</f>
        <v/>
      </c>
      <c r="S47" s="60">
        <f>IFERROR(IF(ISBLANK(R47),S46,IF(ISNUMBER(S46),S46,0)+R47),"")</f>
        <v/>
      </c>
      <c r="T47" s="61">
        <f>IFERROR(IF(OR(ISBLANK(Q47),ISBLANK(L47)),"",Q47*L47*VLOOKUP(C47,設定!$B$9:$D$23,3,FALSE)),"")</f>
        <v/>
      </c>
      <c r="U47" s="55" t="n"/>
      <c r="V47" s="55" t="n"/>
    </row>
    <row r="48">
      <c r="A48" s="44">
        <f>IF(ISBLANK(B48),"",COUNTA($B$18:B48))</f>
        <v/>
      </c>
      <c r="B48" s="45" t="n"/>
      <c r="C48" s="46" t="n"/>
      <c r="D48" s="46" t="n"/>
      <c r="E48" s="44" t="n"/>
      <c r="F48" s="47" t="n"/>
      <c r="G48" s="47" t="n"/>
      <c r="H48" s="47" t="n"/>
      <c r="I48" s="47" t="n"/>
      <c r="J48" s="47" t="n"/>
      <c r="K48" s="47" t="n"/>
      <c r="L48" s="48" t="n"/>
      <c r="M48" s="47" t="n"/>
      <c r="N48" s="46" t="n"/>
      <c r="O48" s="49">
        <f>IFERROR(IF(OR(ISBLANK(G48),ISBLANK(I48)),"",ABS(G48-I48)/VLOOKUP(C48,設定!$B$9:$D$23,2,FALSE)),"")</f>
        <v/>
      </c>
      <c r="P48" s="48">
        <f>IFERROR(IF(OR(ISBLANK(F48),ISBLANK(H48),ISBLANK(J48)),"",ABS(J48-F48)/ABS(F48-H48)),"")</f>
        <v/>
      </c>
      <c r="Q48" s="50">
        <f>IFERROR(IF(OR(ISBLANK(M48),ISBLANK(D48),ISBLANK(G48)),"",IF(D48="Long",(M48-G48),(G48-M48))/VLOOKUP(C48,設定!$B$9:$D$23,2,FALSE)),"")</f>
        <v/>
      </c>
      <c r="R48" s="51">
        <f>IFERROR(IF(OR(ISBLANK(Q48),O48=0),"",Q48/O48),"")</f>
        <v/>
      </c>
      <c r="S48" s="51">
        <f>IFERROR(IF(ISBLANK(R48),S47,IF(ISNUMBER(S47),S47,0)+R48),"")</f>
        <v/>
      </c>
      <c r="T48" s="52">
        <f>IFERROR(IF(OR(ISBLANK(Q48),ISBLANK(L48)),"",Q48*L48*VLOOKUP(C48,設定!$B$9:$D$23,3,FALSE)),"")</f>
        <v/>
      </c>
      <c r="U48" s="46" t="n"/>
      <c r="V48" s="46" t="n"/>
    </row>
    <row r="49">
      <c r="A49" s="53">
        <f>IF(ISBLANK(B49),"",COUNTA($B$18:B49))</f>
        <v/>
      </c>
      <c r="B49" s="54" t="n"/>
      <c r="C49" s="55" t="n"/>
      <c r="D49" s="55" t="n"/>
      <c r="E49" s="53" t="n"/>
      <c r="F49" s="56" t="n"/>
      <c r="G49" s="56" t="n"/>
      <c r="H49" s="56" t="n"/>
      <c r="I49" s="56" t="n"/>
      <c r="J49" s="56" t="n"/>
      <c r="K49" s="56" t="n"/>
      <c r="L49" s="57" t="n"/>
      <c r="M49" s="56" t="n"/>
      <c r="N49" s="55" t="n"/>
      <c r="O49" s="58">
        <f>IFERROR(IF(OR(ISBLANK(G49),ISBLANK(I49)),"",ABS(G49-I49)/VLOOKUP(C49,設定!$B$9:$D$23,2,FALSE)),"")</f>
        <v/>
      </c>
      <c r="P49" s="57">
        <f>IFERROR(IF(OR(ISBLANK(F49),ISBLANK(H49),ISBLANK(J49)),"",ABS(J49-F49)/ABS(F49-H49)),"")</f>
        <v/>
      </c>
      <c r="Q49" s="59">
        <f>IFERROR(IF(OR(ISBLANK(M49),ISBLANK(D49),ISBLANK(G49)),"",IF(D49="Long",(M49-G49),(G49-M49))/VLOOKUP(C49,設定!$B$9:$D$23,2,FALSE)),"")</f>
        <v/>
      </c>
      <c r="R49" s="60">
        <f>IFERROR(IF(OR(ISBLANK(Q49),O49=0),"",Q49/O49),"")</f>
        <v/>
      </c>
      <c r="S49" s="60">
        <f>IFERROR(IF(ISBLANK(R49),S48,IF(ISNUMBER(S48),S48,0)+R49),"")</f>
        <v/>
      </c>
      <c r="T49" s="61">
        <f>IFERROR(IF(OR(ISBLANK(Q49),ISBLANK(L49)),"",Q49*L49*VLOOKUP(C49,設定!$B$9:$D$23,3,FALSE)),"")</f>
        <v/>
      </c>
      <c r="U49" s="55" t="n"/>
      <c r="V49" s="55" t="n"/>
    </row>
    <row r="50">
      <c r="A50" s="44">
        <f>IF(ISBLANK(B50),"",COUNTA($B$18:B50))</f>
        <v/>
      </c>
      <c r="B50" s="45" t="n"/>
      <c r="C50" s="46" t="n"/>
      <c r="D50" s="46" t="n"/>
      <c r="E50" s="44" t="n"/>
      <c r="F50" s="47" t="n"/>
      <c r="G50" s="47" t="n"/>
      <c r="H50" s="47" t="n"/>
      <c r="I50" s="47" t="n"/>
      <c r="J50" s="47" t="n"/>
      <c r="K50" s="47" t="n"/>
      <c r="L50" s="48" t="n"/>
      <c r="M50" s="47" t="n"/>
      <c r="N50" s="46" t="n"/>
      <c r="O50" s="49">
        <f>IFERROR(IF(OR(ISBLANK(G50),ISBLANK(I50)),"",ABS(G50-I50)/VLOOKUP(C50,設定!$B$9:$D$23,2,FALSE)),"")</f>
        <v/>
      </c>
      <c r="P50" s="48">
        <f>IFERROR(IF(OR(ISBLANK(F50),ISBLANK(H50),ISBLANK(J50)),"",ABS(J50-F50)/ABS(F50-H50)),"")</f>
        <v/>
      </c>
      <c r="Q50" s="50">
        <f>IFERROR(IF(OR(ISBLANK(M50),ISBLANK(D50),ISBLANK(G50)),"",IF(D50="Long",(M50-G50),(G50-M50))/VLOOKUP(C50,設定!$B$9:$D$23,2,FALSE)),"")</f>
        <v/>
      </c>
      <c r="R50" s="51">
        <f>IFERROR(IF(OR(ISBLANK(Q50),O50=0),"",Q50/O50),"")</f>
        <v/>
      </c>
      <c r="S50" s="51">
        <f>IFERROR(IF(ISBLANK(R50),S49,IF(ISNUMBER(S49),S49,0)+R50),"")</f>
        <v/>
      </c>
      <c r="T50" s="52">
        <f>IFERROR(IF(OR(ISBLANK(Q50),ISBLANK(L50)),"",Q50*L50*VLOOKUP(C50,設定!$B$9:$D$23,3,FALSE)),"")</f>
        <v/>
      </c>
      <c r="U50" s="46" t="n"/>
      <c r="V50" s="46" t="n"/>
    </row>
    <row r="51">
      <c r="A51" s="53">
        <f>IF(ISBLANK(B51),"",COUNTA($B$18:B51))</f>
        <v/>
      </c>
      <c r="B51" s="54" t="n"/>
      <c r="C51" s="55" t="n"/>
      <c r="D51" s="55" t="n"/>
      <c r="E51" s="53" t="n"/>
      <c r="F51" s="56" t="n"/>
      <c r="G51" s="56" t="n"/>
      <c r="H51" s="56" t="n"/>
      <c r="I51" s="56" t="n"/>
      <c r="J51" s="56" t="n"/>
      <c r="K51" s="56" t="n"/>
      <c r="L51" s="57" t="n"/>
      <c r="M51" s="56" t="n"/>
      <c r="N51" s="55" t="n"/>
      <c r="O51" s="58">
        <f>IFERROR(IF(OR(ISBLANK(G51),ISBLANK(I51)),"",ABS(G51-I51)/VLOOKUP(C51,設定!$B$9:$D$23,2,FALSE)),"")</f>
        <v/>
      </c>
      <c r="P51" s="57">
        <f>IFERROR(IF(OR(ISBLANK(F51),ISBLANK(H51),ISBLANK(J51)),"",ABS(J51-F51)/ABS(F51-H51)),"")</f>
        <v/>
      </c>
      <c r="Q51" s="59">
        <f>IFERROR(IF(OR(ISBLANK(M51),ISBLANK(D51),ISBLANK(G51)),"",IF(D51="Long",(M51-G51),(G51-M51))/VLOOKUP(C51,設定!$B$9:$D$23,2,FALSE)),"")</f>
        <v/>
      </c>
      <c r="R51" s="60">
        <f>IFERROR(IF(OR(ISBLANK(Q51),O51=0),"",Q51/O51),"")</f>
        <v/>
      </c>
      <c r="S51" s="60">
        <f>IFERROR(IF(ISBLANK(R51),S50,IF(ISNUMBER(S50),S50,0)+R51),"")</f>
        <v/>
      </c>
      <c r="T51" s="61">
        <f>IFERROR(IF(OR(ISBLANK(Q51),ISBLANK(L51)),"",Q51*L51*VLOOKUP(C51,設定!$B$9:$D$23,3,FALSE)),"")</f>
        <v/>
      </c>
      <c r="U51" s="55" t="n"/>
      <c r="V51" s="55" t="n"/>
    </row>
    <row r="52">
      <c r="A52" s="44">
        <f>IF(ISBLANK(B52),"",COUNTA($B$18:B52))</f>
        <v/>
      </c>
      <c r="B52" s="45" t="n"/>
      <c r="C52" s="46" t="n"/>
      <c r="D52" s="46" t="n"/>
      <c r="E52" s="44" t="n"/>
      <c r="F52" s="47" t="n"/>
      <c r="G52" s="47" t="n"/>
      <c r="H52" s="47" t="n"/>
      <c r="I52" s="47" t="n"/>
      <c r="J52" s="47" t="n"/>
      <c r="K52" s="47" t="n"/>
      <c r="L52" s="48" t="n"/>
      <c r="M52" s="47" t="n"/>
      <c r="N52" s="46" t="n"/>
      <c r="O52" s="49">
        <f>IFERROR(IF(OR(ISBLANK(G52),ISBLANK(I52)),"",ABS(G52-I52)/VLOOKUP(C52,設定!$B$9:$D$23,2,FALSE)),"")</f>
        <v/>
      </c>
      <c r="P52" s="48">
        <f>IFERROR(IF(OR(ISBLANK(F52),ISBLANK(H52),ISBLANK(J52)),"",ABS(J52-F52)/ABS(F52-H52)),"")</f>
        <v/>
      </c>
      <c r="Q52" s="50">
        <f>IFERROR(IF(OR(ISBLANK(M52),ISBLANK(D52),ISBLANK(G52)),"",IF(D52="Long",(M52-G52),(G52-M52))/VLOOKUP(C52,設定!$B$9:$D$23,2,FALSE)),"")</f>
        <v/>
      </c>
      <c r="R52" s="51">
        <f>IFERROR(IF(OR(ISBLANK(Q52),O52=0),"",Q52/O52),"")</f>
        <v/>
      </c>
      <c r="S52" s="51">
        <f>IFERROR(IF(ISBLANK(R52),S51,IF(ISNUMBER(S51),S51,0)+R52),"")</f>
        <v/>
      </c>
      <c r="T52" s="52">
        <f>IFERROR(IF(OR(ISBLANK(Q52),ISBLANK(L52)),"",Q52*L52*VLOOKUP(C52,設定!$B$9:$D$23,3,FALSE)),"")</f>
        <v/>
      </c>
      <c r="U52" s="46" t="n"/>
      <c r="V52" s="46" t="n"/>
    </row>
    <row r="53">
      <c r="A53" s="53">
        <f>IF(ISBLANK(B53),"",COUNTA($B$18:B53))</f>
        <v/>
      </c>
      <c r="B53" s="54" t="n"/>
      <c r="C53" s="55" t="n"/>
      <c r="D53" s="55" t="n"/>
      <c r="E53" s="53" t="n"/>
      <c r="F53" s="56" t="n"/>
      <c r="G53" s="56" t="n"/>
      <c r="H53" s="56" t="n"/>
      <c r="I53" s="56" t="n"/>
      <c r="J53" s="56" t="n"/>
      <c r="K53" s="56" t="n"/>
      <c r="L53" s="57" t="n"/>
      <c r="M53" s="56" t="n"/>
      <c r="N53" s="55" t="n"/>
      <c r="O53" s="58">
        <f>IFERROR(IF(OR(ISBLANK(G53),ISBLANK(I53)),"",ABS(G53-I53)/VLOOKUP(C53,設定!$B$9:$D$23,2,FALSE)),"")</f>
        <v/>
      </c>
      <c r="P53" s="57">
        <f>IFERROR(IF(OR(ISBLANK(F53),ISBLANK(H53),ISBLANK(J53)),"",ABS(J53-F53)/ABS(F53-H53)),"")</f>
        <v/>
      </c>
      <c r="Q53" s="59">
        <f>IFERROR(IF(OR(ISBLANK(M53),ISBLANK(D53),ISBLANK(G53)),"",IF(D53="Long",(M53-G53),(G53-M53))/VLOOKUP(C53,設定!$B$9:$D$23,2,FALSE)),"")</f>
        <v/>
      </c>
      <c r="R53" s="60">
        <f>IFERROR(IF(OR(ISBLANK(Q53),O53=0),"",Q53/O53),"")</f>
        <v/>
      </c>
      <c r="S53" s="60">
        <f>IFERROR(IF(ISBLANK(R53),S52,IF(ISNUMBER(S52),S52,0)+R53),"")</f>
        <v/>
      </c>
      <c r="T53" s="61">
        <f>IFERROR(IF(OR(ISBLANK(Q53),ISBLANK(L53)),"",Q53*L53*VLOOKUP(C53,設定!$B$9:$D$23,3,FALSE)),"")</f>
        <v/>
      </c>
      <c r="U53" s="55" t="n"/>
      <c r="V53" s="55" t="n"/>
    </row>
    <row r="54">
      <c r="A54" s="44">
        <f>IF(ISBLANK(B54),"",COUNTA($B$18:B54))</f>
        <v/>
      </c>
      <c r="B54" s="45" t="n"/>
      <c r="C54" s="46" t="n"/>
      <c r="D54" s="46" t="n"/>
      <c r="E54" s="44" t="n"/>
      <c r="F54" s="47" t="n"/>
      <c r="G54" s="47" t="n"/>
      <c r="H54" s="47" t="n"/>
      <c r="I54" s="47" t="n"/>
      <c r="J54" s="47" t="n"/>
      <c r="K54" s="47" t="n"/>
      <c r="L54" s="48" t="n"/>
      <c r="M54" s="47" t="n"/>
      <c r="N54" s="46" t="n"/>
      <c r="O54" s="49">
        <f>IFERROR(IF(OR(ISBLANK(G54),ISBLANK(I54)),"",ABS(G54-I54)/VLOOKUP(C54,設定!$B$9:$D$23,2,FALSE)),"")</f>
        <v/>
      </c>
      <c r="P54" s="48">
        <f>IFERROR(IF(OR(ISBLANK(F54),ISBLANK(H54),ISBLANK(J54)),"",ABS(J54-F54)/ABS(F54-H54)),"")</f>
        <v/>
      </c>
      <c r="Q54" s="50">
        <f>IFERROR(IF(OR(ISBLANK(M54),ISBLANK(D54),ISBLANK(G54)),"",IF(D54="Long",(M54-G54),(G54-M54))/VLOOKUP(C54,設定!$B$9:$D$23,2,FALSE)),"")</f>
        <v/>
      </c>
      <c r="R54" s="51">
        <f>IFERROR(IF(OR(ISBLANK(Q54),O54=0),"",Q54/O54),"")</f>
        <v/>
      </c>
      <c r="S54" s="51">
        <f>IFERROR(IF(ISBLANK(R54),S53,IF(ISNUMBER(S53),S53,0)+R54),"")</f>
        <v/>
      </c>
      <c r="T54" s="52">
        <f>IFERROR(IF(OR(ISBLANK(Q54),ISBLANK(L54)),"",Q54*L54*VLOOKUP(C54,設定!$B$9:$D$23,3,FALSE)),"")</f>
        <v/>
      </c>
      <c r="U54" s="46" t="n"/>
      <c r="V54" s="46" t="n"/>
    </row>
    <row r="55">
      <c r="A55" s="53">
        <f>IF(ISBLANK(B55),"",COUNTA($B$18:B55))</f>
        <v/>
      </c>
      <c r="B55" s="54" t="n"/>
      <c r="C55" s="55" t="n"/>
      <c r="D55" s="55" t="n"/>
      <c r="E55" s="53" t="n"/>
      <c r="F55" s="56" t="n"/>
      <c r="G55" s="56" t="n"/>
      <c r="H55" s="56" t="n"/>
      <c r="I55" s="56" t="n"/>
      <c r="J55" s="56" t="n"/>
      <c r="K55" s="56" t="n"/>
      <c r="L55" s="57" t="n"/>
      <c r="M55" s="56" t="n"/>
      <c r="N55" s="55" t="n"/>
      <c r="O55" s="58">
        <f>IFERROR(IF(OR(ISBLANK(G55),ISBLANK(I55)),"",ABS(G55-I55)/VLOOKUP(C55,設定!$B$9:$D$23,2,FALSE)),"")</f>
        <v/>
      </c>
      <c r="P55" s="57">
        <f>IFERROR(IF(OR(ISBLANK(F55),ISBLANK(H55),ISBLANK(J55)),"",ABS(J55-F55)/ABS(F55-H55)),"")</f>
        <v/>
      </c>
      <c r="Q55" s="59">
        <f>IFERROR(IF(OR(ISBLANK(M55),ISBLANK(D55),ISBLANK(G55)),"",IF(D55="Long",(M55-G55),(G55-M55))/VLOOKUP(C55,設定!$B$9:$D$23,2,FALSE)),"")</f>
        <v/>
      </c>
      <c r="R55" s="60">
        <f>IFERROR(IF(OR(ISBLANK(Q55),O55=0),"",Q55/O55),"")</f>
        <v/>
      </c>
      <c r="S55" s="60">
        <f>IFERROR(IF(ISBLANK(R55),S54,IF(ISNUMBER(S54),S54,0)+R55),"")</f>
        <v/>
      </c>
      <c r="T55" s="61">
        <f>IFERROR(IF(OR(ISBLANK(Q55),ISBLANK(L55)),"",Q55*L55*VLOOKUP(C55,設定!$B$9:$D$23,3,FALSE)),"")</f>
        <v/>
      </c>
      <c r="U55" s="55" t="n"/>
      <c r="V55" s="55" t="n"/>
    </row>
    <row r="56">
      <c r="A56" s="44">
        <f>IF(ISBLANK(B56),"",COUNTA($B$18:B56))</f>
        <v/>
      </c>
      <c r="B56" s="45" t="n"/>
      <c r="C56" s="46" t="n"/>
      <c r="D56" s="46" t="n"/>
      <c r="E56" s="44" t="n"/>
      <c r="F56" s="47" t="n"/>
      <c r="G56" s="47" t="n"/>
      <c r="H56" s="47" t="n"/>
      <c r="I56" s="47" t="n"/>
      <c r="J56" s="47" t="n"/>
      <c r="K56" s="47" t="n"/>
      <c r="L56" s="48" t="n"/>
      <c r="M56" s="47" t="n"/>
      <c r="N56" s="46" t="n"/>
      <c r="O56" s="49">
        <f>IFERROR(IF(OR(ISBLANK(G56),ISBLANK(I56)),"",ABS(G56-I56)/VLOOKUP(C56,設定!$B$9:$D$23,2,FALSE)),"")</f>
        <v/>
      </c>
      <c r="P56" s="48">
        <f>IFERROR(IF(OR(ISBLANK(F56),ISBLANK(H56),ISBLANK(J56)),"",ABS(J56-F56)/ABS(F56-H56)),"")</f>
        <v/>
      </c>
      <c r="Q56" s="50">
        <f>IFERROR(IF(OR(ISBLANK(M56),ISBLANK(D56),ISBLANK(G56)),"",IF(D56="Long",(M56-G56),(G56-M56))/VLOOKUP(C56,設定!$B$9:$D$23,2,FALSE)),"")</f>
        <v/>
      </c>
      <c r="R56" s="51">
        <f>IFERROR(IF(OR(ISBLANK(Q56),O56=0),"",Q56/O56),"")</f>
        <v/>
      </c>
      <c r="S56" s="51">
        <f>IFERROR(IF(ISBLANK(R56),S55,IF(ISNUMBER(S55),S55,0)+R56),"")</f>
        <v/>
      </c>
      <c r="T56" s="52">
        <f>IFERROR(IF(OR(ISBLANK(Q56),ISBLANK(L56)),"",Q56*L56*VLOOKUP(C56,設定!$B$9:$D$23,3,FALSE)),"")</f>
        <v/>
      </c>
      <c r="U56" s="46" t="n"/>
      <c r="V56" s="46" t="n"/>
    </row>
    <row r="57">
      <c r="A57" s="53">
        <f>IF(ISBLANK(B57),"",COUNTA($B$18:B57))</f>
        <v/>
      </c>
      <c r="B57" s="54" t="n"/>
      <c r="C57" s="55" t="n"/>
      <c r="D57" s="55" t="n"/>
      <c r="E57" s="53" t="n"/>
      <c r="F57" s="56" t="n"/>
      <c r="G57" s="56" t="n"/>
      <c r="H57" s="56" t="n"/>
      <c r="I57" s="56" t="n"/>
      <c r="J57" s="56" t="n"/>
      <c r="K57" s="56" t="n"/>
      <c r="L57" s="57" t="n"/>
      <c r="M57" s="56" t="n"/>
      <c r="N57" s="55" t="n"/>
      <c r="O57" s="58">
        <f>IFERROR(IF(OR(ISBLANK(G57),ISBLANK(I57)),"",ABS(G57-I57)/VLOOKUP(C57,設定!$B$9:$D$23,2,FALSE)),"")</f>
        <v/>
      </c>
      <c r="P57" s="57">
        <f>IFERROR(IF(OR(ISBLANK(F57),ISBLANK(H57),ISBLANK(J57)),"",ABS(J57-F57)/ABS(F57-H57)),"")</f>
        <v/>
      </c>
      <c r="Q57" s="59">
        <f>IFERROR(IF(OR(ISBLANK(M57),ISBLANK(D57),ISBLANK(G57)),"",IF(D57="Long",(M57-G57),(G57-M57))/VLOOKUP(C57,設定!$B$9:$D$23,2,FALSE)),"")</f>
        <v/>
      </c>
      <c r="R57" s="60">
        <f>IFERROR(IF(OR(ISBLANK(Q57),O57=0),"",Q57/O57),"")</f>
        <v/>
      </c>
      <c r="S57" s="60">
        <f>IFERROR(IF(ISBLANK(R57),S56,IF(ISNUMBER(S56),S56,0)+R57),"")</f>
        <v/>
      </c>
      <c r="T57" s="61">
        <f>IFERROR(IF(OR(ISBLANK(Q57),ISBLANK(L57)),"",Q57*L57*VLOOKUP(C57,設定!$B$9:$D$23,3,FALSE)),"")</f>
        <v/>
      </c>
      <c r="U57" s="55" t="n"/>
      <c r="V57" s="55" t="n"/>
    </row>
    <row r="58">
      <c r="A58" s="44">
        <f>IF(ISBLANK(B58),"",COUNTA($B$18:B58))</f>
        <v/>
      </c>
      <c r="B58" s="45" t="n"/>
      <c r="C58" s="46" t="n"/>
      <c r="D58" s="46" t="n"/>
      <c r="E58" s="44" t="n"/>
      <c r="F58" s="47" t="n"/>
      <c r="G58" s="47" t="n"/>
      <c r="H58" s="47" t="n"/>
      <c r="I58" s="47" t="n"/>
      <c r="J58" s="47" t="n"/>
      <c r="K58" s="47" t="n"/>
      <c r="L58" s="48" t="n"/>
      <c r="M58" s="47" t="n"/>
      <c r="N58" s="46" t="n"/>
      <c r="O58" s="49">
        <f>IFERROR(IF(OR(ISBLANK(G58),ISBLANK(I58)),"",ABS(G58-I58)/VLOOKUP(C58,設定!$B$9:$D$23,2,FALSE)),"")</f>
        <v/>
      </c>
      <c r="P58" s="48">
        <f>IFERROR(IF(OR(ISBLANK(F58),ISBLANK(H58),ISBLANK(J58)),"",ABS(J58-F58)/ABS(F58-H58)),"")</f>
        <v/>
      </c>
      <c r="Q58" s="50">
        <f>IFERROR(IF(OR(ISBLANK(M58),ISBLANK(D58),ISBLANK(G58)),"",IF(D58="Long",(M58-G58),(G58-M58))/VLOOKUP(C58,設定!$B$9:$D$23,2,FALSE)),"")</f>
        <v/>
      </c>
      <c r="R58" s="51">
        <f>IFERROR(IF(OR(ISBLANK(Q58),O58=0),"",Q58/O58),"")</f>
        <v/>
      </c>
      <c r="S58" s="51">
        <f>IFERROR(IF(ISBLANK(R58),S57,IF(ISNUMBER(S57),S57,0)+R58),"")</f>
        <v/>
      </c>
      <c r="T58" s="52">
        <f>IFERROR(IF(OR(ISBLANK(Q58),ISBLANK(L58)),"",Q58*L58*VLOOKUP(C58,設定!$B$9:$D$23,3,FALSE)),"")</f>
        <v/>
      </c>
      <c r="U58" s="46" t="n"/>
      <c r="V58" s="46" t="n"/>
    </row>
    <row r="59">
      <c r="A59" s="53">
        <f>IF(ISBLANK(B59),"",COUNTA($B$18:B59))</f>
        <v/>
      </c>
      <c r="B59" s="54" t="n"/>
      <c r="C59" s="55" t="n"/>
      <c r="D59" s="55" t="n"/>
      <c r="E59" s="53" t="n"/>
      <c r="F59" s="56" t="n"/>
      <c r="G59" s="56" t="n"/>
      <c r="H59" s="56" t="n"/>
      <c r="I59" s="56" t="n"/>
      <c r="J59" s="56" t="n"/>
      <c r="K59" s="56" t="n"/>
      <c r="L59" s="57" t="n"/>
      <c r="M59" s="56" t="n"/>
      <c r="N59" s="55" t="n"/>
      <c r="O59" s="58">
        <f>IFERROR(IF(OR(ISBLANK(G59),ISBLANK(I59)),"",ABS(G59-I59)/VLOOKUP(C59,設定!$B$9:$D$23,2,FALSE)),"")</f>
        <v/>
      </c>
      <c r="P59" s="57">
        <f>IFERROR(IF(OR(ISBLANK(F59),ISBLANK(H59),ISBLANK(J59)),"",ABS(J59-F59)/ABS(F59-H59)),"")</f>
        <v/>
      </c>
      <c r="Q59" s="59">
        <f>IFERROR(IF(OR(ISBLANK(M59),ISBLANK(D59),ISBLANK(G59)),"",IF(D59="Long",(M59-G59),(G59-M59))/VLOOKUP(C59,設定!$B$9:$D$23,2,FALSE)),"")</f>
        <v/>
      </c>
      <c r="R59" s="60">
        <f>IFERROR(IF(OR(ISBLANK(Q59),O59=0),"",Q59/O59),"")</f>
        <v/>
      </c>
      <c r="S59" s="60">
        <f>IFERROR(IF(ISBLANK(R59),S58,IF(ISNUMBER(S58),S58,0)+R59),"")</f>
        <v/>
      </c>
      <c r="T59" s="61">
        <f>IFERROR(IF(OR(ISBLANK(Q59),ISBLANK(L59)),"",Q59*L59*VLOOKUP(C59,設定!$B$9:$D$23,3,FALSE)),"")</f>
        <v/>
      </c>
      <c r="U59" s="55" t="n"/>
      <c r="V59" s="55" t="n"/>
    </row>
    <row r="60">
      <c r="A60" s="44">
        <f>IF(ISBLANK(B60),"",COUNTA($B$18:B60))</f>
        <v/>
      </c>
      <c r="B60" s="45" t="n"/>
      <c r="C60" s="46" t="n"/>
      <c r="D60" s="46" t="n"/>
      <c r="E60" s="44" t="n"/>
      <c r="F60" s="47" t="n"/>
      <c r="G60" s="47" t="n"/>
      <c r="H60" s="47" t="n"/>
      <c r="I60" s="47" t="n"/>
      <c r="J60" s="47" t="n"/>
      <c r="K60" s="47" t="n"/>
      <c r="L60" s="48" t="n"/>
      <c r="M60" s="47" t="n"/>
      <c r="N60" s="46" t="n"/>
      <c r="O60" s="49">
        <f>IFERROR(IF(OR(ISBLANK(G60),ISBLANK(I60)),"",ABS(G60-I60)/VLOOKUP(C60,設定!$B$9:$D$23,2,FALSE)),"")</f>
        <v/>
      </c>
      <c r="P60" s="48">
        <f>IFERROR(IF(OR(ISBLANK(F60),ISBLANK(H60),ISBLANK(J60)),"",ABS(J60-F60)/ABS(F60-H60)),"")</f>
        <v/>
      </c>
      <c r="Q60" s="50">
        <f>IFERROR(IF(OR(ISBLANK(M60),ISBLANK(D60),ISBLANK(G60)),"",IF(D60="Long",(M60-G60),(G60-M60))/VLOOKUP(C60,設定!$B$9:$D$23,2,FALSE)),"")</f>
        <v/>
      </c>
      <c r="R60" s="51">
        <f>IFERROR(IF(OR(ISBLANK(Q60),O60=0),"",Q60/O60),"")</f>
        <v/>
      </c>
      <c r="S60" s="51">
        <f>IFERROR(IF(ISBLANK(R60),S59,IF(ISNUMBER(S59),S59,0)+R60),"")</f>
        <v/>
      </c>
      <c r="T60" s="52">
        <f>IFERROR(IF(OR(ISBLANK(Q60),ISBLANK(L60)),"",Q60*L60*VLOOKUP(C60,設定!$B$9:$D$23,3,FALSE)),"")</f>
        <v/>
      </c>
      <c r="U60" s="46" t="n"/>
      <c r="V60" s="46" t="n"/>
    </row>
    <row r="61">
      <c r="A61" s="53">
        <f>IF(ISBLANK(B61),"",COUNTA($B$18:B61))</f>
        <v/>
      </c>
      <c r="B61" s="54" t="n"/>
      <c r="C61" s="55" t="n"/>
      <c r="D61" s="55" t="n"/>
      <c r="E61" s="53" t="n"/>
      <c r="F61" s="56" t="n"/>
      <c r="G61" s="56" t="n"/>
      <c r="H61" s="56" t="n"/>
      <c r="I61" s="56" t="n"/>
      <c r="J61" s="56" t="n"/>
      <c r="K61" s="56" t="n"/>
      <c r="L61" s="57" t="n"/>
      <c r="M61" s="56" t="n"/>
      <c r="N61" s="55" t="n"/>
      <c r="O61" s="58">
        <f>IFERROR(IF(OR(ISBLANK(G61),ISBLANK(I61)),"",ABS(G61-I61)/VLOOKUP(C61,設定!$B$9:$D$23,2,FALSE)),"")</f>
        <v/>
      </c>
      <c r="P61" s="57">
        <f>IFERROR(IF(OR(ISBLANK(F61),ISBLANK(H61),ISBLANK(J61)),"",ABS(J61-F61)/ABS(F61-H61)),"")</f>
        <v/>
      </c>
      <c r="Q61" s="59">
        <f>IFERROR(IF(OR(ISBLANK(M61),ISBLANK(D61),ISBLANK(G61)),"",IF(D61="Long",(M61-G61),(G61-M61))/VLOOKUP(C61,設定!$B$9:$D$23,2,FALSE)),"")</f>
        <v/>
      </c>
      <c r="R61" s="60">
        <f>IFERROR(IF(OR(ISBLANK(Q61),O61=0),"",Q61/O61),"")</f>
        <v/>
      </c>
      <c r="S61" s="60">
        <f>IFERROR(IF(ISBLANK(R61),S60,IF(ISNUMBER(S60),S60,0)+R61),"")</f>
        <v/>
      </c>
      <c r="T61" s="61">
        <f>IFERROR(IF(OR(ISBLANK(Q61),ISBLANK(L61)),"",Q61*L61*VLOOKUP(C61,設定!$B$9:$D$23,3,FALSE)),"")</f>
        <v/>
      </c>
      <c r="U61" s="55" t="n"/>
      <c r="V61" s="55" t="n"/>
    </row>
    <row r="62">
      <c r="A62" s="44">
        <f>IF(ISBLANK(B62),"",COUNTA($B$18:B62))</f>
        <v/>
      </c>
      <c r="B62" s="45" t="n"/>
      <c r="C62" s="46" t="n"/>
      <c r="D62" s="46" t="n"/>
      <c r="E62" s="44" t="n"/>
      <c r="F62" s="47" t="n"/>
      <c r="G62" s="47" t="n"/>
      <c r="H62" s="47" t="n"/>
      <c r="I62" s="47" t="n"/>
      <c r="J62" s="47" t="n"/>
      <c r="K62" s="47" t="n"/>
      <c r="L62" s="48" t="n"/>
      <c r="M62" s="47" t="n"/>
      <c r="N62" s="46" t="n"/>
      <c r="O62" s="49">
        <f>IFERROR(IF(OR(ISBLANK(G62),ISBLANK(I62)),"",ABS(G62-I62)/VLOOKUP(C62,設定!$B$9:$D$23,2,FALSE)),"")</f>
        <v/>
      </c>
      <c r="P62" s="48">
        <f>IFERROR(IF(OR(ISBLANK(F62),ISBLANK(H62),ISBLANK(J62)),"",ABS(J62-F62)/ABS(F62-H62)),"")</f>
        <v/>
      </c>
      <c r="Q62" s="50">
        <f>IFERROR(IF(OR(ISBLANK(M62),ISBLANK(D62),ISBLANK(G62)),"",IF(D62="Long",(M62-G62),(G62-M62))/VLOOKUP(C62,設定!$B$9:$D$23,2,FALSE)),"")</f>
        <v/>
      </c>
      <c r="R62" s="51">
        <f>IFERROR(IF(OR(ISBLANK(Q62),O62=0),"",Q62/O62),"")</f>
        <v/>
      </c>
      <c r="S62" s="51">
        <f>IFERROR(IF(ISBLANK(R62),S61,IF(ISNUMBER(S61),S61,0)+R62),"")</f>
        <v/>
      </c>
      <c r="T62" s="52">
        <f>IFERROR(IF(OR(ISBLANK(Q62),ISBLANK(L62)),"",Q62*L62*VLOOKUP(C62,設定!$B$9:$D$23,3,FALSE)),"")</f>
        <v/>
      </c>
      <c r="U62" s="46" t="n"/>
      <c r="V62" s="46" t="n"/>
    </row>
    <row r="63">
      <c r="A63" s="53">
        <f>IF(ISBLANK(B63),"",COUNTA($B$18:B63))</f>
        <v/>
      </c>
      <c r="B63" s="54" t="n"/>
      <c r="C63" s="55" t="n"/>
      <c r="D63" s="55" t="n"/>
      <c r="E63" s="53" t="n"/>
      <c r="F63" s="56" t="n"/>
      <c r="G63" s="56" t="n"/>
      <c r="H63" s="56" t="n"/>
      <c r="I63" s="56" t="n"/>
      <c r="J63" s="56" t="n"/>
      <c r="K63" s="56" t="n"/>
      <c r="L63" s="57" t="n"/>
      <c r="M63" s="56" t="n"/>
      <c r="N63" s="55" t="n"/>
      <c r="O63" s="58">
        <f>IFERROR(IF(OR(ISBLANK(G63),ISBLANK(I63)),"",ABS(G63-I63)/VLOOKUP(C63,設定!$B$9:$D$23,2,FALSE)),"")</f>
        <v/>
      </c>
      <c r="P63" s="57">
        <f>IFERROR(IF(OR(ISBLANK(F63),ISBLANK(H63),ISBLANK(J63)),"",ABS(J63-F63)/ABS(F63-H63)),"")</f>
        <v/>
      </c>
      <c r="Q63" s="59">
        <f>IFERROR(IF(OR(ISBLANK(M63),ISBLANK(D63),ISBLANK(G63)),"",IF(D63="Long",(M63-G63),(G63-M63))/VLOOKUP(C63,設定!$B$9:$D$23,2,FALSE)),"")</f>
        <v/>
      </c>
      <c r="R63" s="60">
        <f>IFERROR(IF(OR(ISBLANK(Q63),O63=0),"",Q63/O63),"")</f>
        <v/>
      </c>
      <c r="S63" s="60">
        <f>IFERROR(IF(ISBLANK(R63),S62,IF(ISNUMBER(S62),S62,0)+R63),"")</f>
        <v/>
      </c>
      <c r="T63" s="61">
        <f>IFERROR(IF(OR(ISBLANK(Q63),ISBLANK(L63)),"",Q63*L63*VLOOKUP(C63,設定!$B$9:$D$23,3,FALSE)),"")</f>
        <v/>
      </c>
      <c r="U63" s="55" t="n"/>
      <c r="V63" s="55" t="n"/>
    </row>
    <row r="64">
      <c r="A64" s="44">
        <f>IF(ISBLANK(B64),"",COUNTA($B$18:B64))</f>
        <v/>
      </c>
      <c r="B64" s="45" t="n"/>
      <c r="C64" s="46" t="n"/>
      <c r="D64" s="46" t="n"/>
      <c r="E64" s="44" t="n"/>
      <c r="F64" s="47" t="n"/>
      <c r="G64" s="47" t="n"/>
      <c r="H64" s="47" t="n"/>
      <c r="I64" s="47" t="n"/>
      <c r="J64" s="47" t="n"/>
      <c r="K64" s="47" t="n"/>
      <c r="L64" s="48" t="n"/>
      <c r="M64" s="47" t="n"/>
      <c r="N64" s="46" t="n"/>
      <c r="O64" s="49">
        <f>IFERROR(IF(OR(ISBLANK(G64),ISBLANK(I64)),"",ABS(G64-I64)/VLOOKUP(C64,設定!$B$9:$D$23,2,FALSE)),"")</f>
        <v/>
      </c>
      <c r="P64" s="48">
        <f>IFERROR(IF(OR(ISBLANK(F64),ISBLANK(H64),ISBLANK(J64)),"",ABS(J64-F64)/ABS(F64-H64)),"")</f>
        <v/>
      </c>
      <c r="Q64" s="50">
        <f>IFERROR(IF(OR(ISBLANK(M64),ISBLANK(D64),ISBLANK(G64)),"",IF(D64="Long",(M64-G64),(G64-M64))/VLOOKUP(C64,設定!$B$9:$D$23,2,FALSE)),"")</f>
        <v/>
      </c>
      <c r="R64" s="51">
        <f>IFERROR(IF(OR(ISBLANK(Q64),O64=0),"",Q64/O64),"")</f>
        <v/>
      </c>
      <c r="S64" s="51">
        <f>IFERROR(IF(ISBLANK(R64),S63,IF(ISNUMBER(S63),S63,0)+R64),"")</f>
        <v/>
      </c>
      <c r="T64" s="52">
        <f>IFERROR(IF(OR(ISBLANK(Q64),ISBLANK(L64)),"",Q64*L64*VLOOKUP(C64,設定!$B$9:$D$23,3,FALSE)),"")</f>
        <v/>
      </c>
      <c r="U64" s="46" t="n"/>
      <c r="V64" s="46" t="n"/>
    </row>
    <row r="65">
      <c r="A65" s="53">
        <f>IF(ISBLANK(B65),"",COUNTA($B$18:B65))</f>
        <v/>
      </c>
      <c r="B65" s="54" t="n"/>
      <c r="C65" s="55" t="n"/>
      <c r="D65" s="55" t="n"/>
      <c r="E65" s="53" t="n"/>
      <c r="F65" s="56" t="n"/>
      <c r="G65" s="56" t="n"/>
      <c r="H65" s="56" t="n"/>
      <c r="I65" s="56" t="n"/>
      <c r="J65" s="56" t="n"/>
      <c r="K65" s="56" t="n"/>
      <c r="L65" s="57" t="n"/>
      <c r="M65" s="56" t="n"/>
      <c r="N65" s="55" t="n"/>
      <c r="O65" s="58">
        <f>IFERROR(IF(OR(ISBLANK(G65),ISBLANK(I65)),"",ABS(G65-I65)/VLOOKUP(C65,設定!$B$9:$D$23,2,FALSE)),"")</f>
        <v/>
      </c>
      <c r="P65" s="57">
        <f>IFERROR(IF(OR(ISBLANK(F65),ISBLANK(H65),ISBLANK(J65)),"",ABS(J65-F65)/ABS(F65-H65)),"")</f>
        <v/>
      </c>
      <c r="Q65" s="59">
        <f>IFERROR(IF(OR(ISBLANK(M65),ISBLANK(D65),ISBLANK(G65)),"",IF(D65="Long",(M65-G65),(G65-M65))/VLOOKUP(C65,設定!$B$9:$D$23,2,FALSE)),"")</f>
        <v/>
      </c>
      <c r="R65" s="60">
        <f>IFERROR(IF(OR(ISBLANK(Q65),O65=0),"",Q65/O65),"")</f>
        <v/>
      </c>
      <c r="S65" s="60">
        <f>IFERROR(IF(ISBLANK(R65),S64,IF(ISNUMBER(S64),S64,0)+R65),"")</f>
        <v/>
      </c>
      <c r="T65" s="61">
        <f>IFERROR(IF(OR(ISBLANK(Q65),ISBLANK(L65)),"",Q65*L65*VLOOKUP(C65,設定!$B$9:$D$23,3,FALSE)),"")</f>
        <v/>
      </c>
      <c r="U65" s="55" t="n"/>
      <c r="V65" s="55" t="n"/>
    </row>
    <row r="66">
      <c r="A66" s="44">
        <f>IF(ISBLANK(B66),"",COUNTA($B$18:B66))</f>
        <v/>
      </c>
      <c r="B66" s="45" t="n"/>
      <c r="C66" s="46" t="n"/>
      <c r="D66" s="46" t="n"/>
      <c r="E66" s="44" t="n"/>
      <c r="F66" s="47" t="n"/>
      <c r="G66" s="47" t="n"/>
      <c r="H66" s="47" t="n"/>
      <c r="I66" s="47" t="n"/>
      <c r="J66" s="47" t="n"/>
      <c r="K66" s="47" t="n"/>
      <c r="L66" s="48" t="n"/>
      <c r="M66" s="47" t="n"/>
      <c r="N66" s="46" t="n"/>
      <c r="O66" s="49">
        <f>IFERROR(IF(OR(ISBLANK(G66),ISBLANK(I66)),"",ABS(G66-I66)/VLOOKUP(C66,設定!$B$9:$D$23,2,FALSE)),"")</f>
        <v/>
      </c>
      <c r="P66" s="48">
        <f>IFERROR(IF(OR(ISBLANK(F66),ISBLANK(H66),ISBLANK(J66)),"",ABS(J66-F66)/ABS(F66-H66)),"")</f>
        <v/>
      </c>
      <c r="Q66" s="50">
        <f>IFERROR(IF(OR(ISBLANK(M66),ISBLANK(D66),ISBLANK(G66)),"",IF(D66="Long",(M66-G66),(G66-M66))/VLOOKUP(C66,設定!$B$9:$D$23,2,FALSE)),"")</f>
        <v/>
      </c>
      <c r="R66" s="51">
        <f>IFERROR(IF(OR(ISBLANK(Q66),O66=0),"",Q66/O66),"")</f>
        <v/>
      </c>
      <c r="S66" s="51">
        <f>IFERROR(IF(ISBLANK(R66),S65,IF(ISNUMBER(S65),S65,0)+R66),"")</f>
        <v/>
      </c>
      <c r="T66" s="52">
        <f>IFERROR(IF(OR(ISBLANK(Q66),ISBLANK(L66)),"",Q66*L66*VLOOKUP(C66,設定!$B$9:$D$23,3,FALSE)),"")</f>
        <v/>
      </c>
      <c r="U66" s="46" t="n"/>
      <c r="V66" s="46" t="n"/>
    </row>
    <row r="67">
      <c r="A67" s="53">
        <f>IF(ISBLANK(B67),"",COUNTA($B$18:B67))</f>
        <v/>
      </c>
      <c r="B67" s="54" t="n"/>
      <c r="C67" s="55" t="n"/>
      <c r="D67" s="55" t="n"/>
      <c r="E67" s="53" t="n"/>
      <c r="F67" s="56" t="n"/>
      <c r="G67" s="56" t="n"/>
      <c r="H67" s="56" t="n"/>
      <c r="I67" s="56" t="n"/>
      <c r="J67" s="56" t="n"/>
      <c r="K67" s="56" t="n"/>
      <c r="L67" s="57" t="n"/>
      <c r="M67" s="56" t="n"/>
      <c r="N67" s="55" t="n"/>
      <c r="O67" s="58">
        <f>IFERROR(IF(OR(ISBLANK(G67),ISBLANK(I67)),"",ABS(G67-I67)/VLOOKUP(C67,設定!$B$9:$D$23,2,FALSE)),"")</f>
        <v/>
      </c>
      <c r="P67" s="57">
        <f>IFERROR(IF(OR(ISBLANK(F67),ISBLANK(H67),ISBLANK(J67)),"",ABS(J67-F67)/ABS(F67-H67)),"")</f>
        <v/>
      </c>
      <c r="Q67" s="59">
        <f>IFERROR(IF(OR(ISBLANK(M67),ISBLANK(D67),ISBLANK(G67)),"",IF(D67="Long",(M67-G67),(G67-M67))/VLOOKUP(C67,設定!$B$9:$D$23,2,FALSE)),"")</f>
        <v/>
      </c>
      <c r="R67" s="60">
        <f>IFERROR(IF(OR(ISBLANK(Q67),O67=0),"",Q67/O67),"")</f>
        <v/>
      </c>
      <c r="S67" s="60">
        <f>IFERROR(IF(ISBLANK(R67),S66,IF(ISNUMBER(S66),S66,0)+R67),"")</f>
        <v/>
      </c>
      <c r="T67" s="61">
        <f>IFERROR(IF(OR(ISBLANK(Q67),ISBLANK(L67)),"",Q67*L67*VLOOKUP(C67,設定!$B$9:$D$23,3,FALSE)),"")</f>
        <v/>
      </c>
      <c r="U67" s="55" t="n"/>
      <c r="V67" s="55" t="n"/>
    </row>
    <row r="68">
      <c r="A68" s="44">
        <f>IF(ISBLANK(B68),"",COUNTA($B$18:B68))</f>
        <v/>
      </c>
      <c r="B68" s="45" t="n"/>
      <c r="C68" s="46" t="n"/>
      <c r="D68" s="46" t="n"/>
      <c r="E68" s="44" t="n"/>
      <c r="F68" s="47" t="n"/>
      <c r="G68" s="47" t="n"/>
      <c r="H68" s="47" t="n"/>
      <c r="I68" s="47" t="n"/>
      <c r="J68" s="47" t="n"/>
      <c r="K68" s="47" t="n"/>
      <c r="L68" s="48" t="n"/>
      <c r="M68" s="47" t="n"/>
      <c r="N68" s="46" t="n"/>
      <c r="O68" s="49">
        <f>IFERROR(IF(OR(ISBLANK(G68),ISBLANK(I68)),"",ABS(G68-I68)/VLOOKUP(C68,設定!$B$9:$D$23,2,FALSE)),"")</f>
        <v/>
      </c>
      <c r="P68" s="48">
        <f>IFERROR(IF(OR(ISBLANK(F68),ISBLANK(H68),ISBLANK(J68)),"",ABS(J68-F68)/ABS(F68-H68)),"")</f>
        <v/>
      </c>
      <c r="Q68" s="50">
        <f>IFERROR(IF(OR(ISBLANK(M68),ISBLANK(D68),ISBLANK(G68)),"",IF(D68="Long",(M68-G68),(G68-M68))/VLOOKUP(C68,設定!$B$9:$D$23,2,FALSE)),"")</f>
        <v/>
      </c>
      <c r="R68" s="51">
        <f>IFERROR(IF(OR(ISBLANK(Q68),O68=0),"",Q68/O68),"")</f>
        <v/>
      </c>
      <c r="S68" s="51">
        <f>IFERROR(IF(ISBLANK(R68),S67,IF(ISNUMBER(S67),S67,0)+R68),"")</f>
        <v/>
      </c>
      <c r="T68" s="52">
        <f>IFERROR(IF(OR(ISBLANK(Q68),ISBLANK(L68)),"",Q68*L68*VLOOKUP(C68,設定!$B$9:$D$23,3,FALSE)),"")</f>
        <v/>
      </c>
      <c r="U68" s="46" t="n"/>
      <c r="V68" s="46" t="n"/>
    </row>
    <row r="69">
      <c r="A69" s="53">
        <f>IF(ISBLANK(B69),"",COUNTA($B$18:B69))</f>
        <v/>
      </c>
      <c r="B69" s="54" t="n"/>
      <c r="C69" s="55" t="n"/>
      <c r="D69" s="55" t="n"/>
      <c r="E69" s="53" t="n"/>
      <c r="F69" s="56" t="n"/>
      <c r="G69" s="56" t="n"/>
      <c r="H69" s="56" t="n"/>
      <c r="I69" s="56" t="n"/>
      <c r="J69" s="56" t="n"/>
      <c r="K69" s="56" t="n"/>
      <c r="L69" s="57" t="n"/>
      <c r="M69" s="56" t="n"/>
      <c r="N69" s="55" t="n"/>
      <c r="O69" s="58">
        <f>IFERROR(IF(OR(ISBLANK(G69),ISBLANK(I69)),"",ABS(G69-I69)/VLOOKUP(C69,設定!$B$9:$D$23,2,FALSE)),"")</f>
        <v/>
      </c>
      <c r="P69" s="57">
        <f>IFERROR(IF(OR(ISBLANK(F69),ISBLANK(H69),ISBLANK(J69)),"",ABS(J69-F69)/ABS(F69-H69)),"")</f>
        <v/>
      </c>
      <c r="Q69" s="59">
        <f>IFERROR(IF(OR(ISBLANK(M69),ISBLANK(D69),ISBLANK(G69)),"",IF(D69="Long",(M69-G69),(G69-M69))/VLOOKUP(C69,設定!$B$9:$D$23,2,FALSE)),"")</f>
        <v/>
      </c>
      <c r="R69" s="60">
        <f>IFERROR(IF(OR(ISBLANK(Q69),O69=0),"",Q69/O69),"")</f>
        <v/>
      </c>
      <c r="S69" s="60">
        <f>IFERROR(IF(ISBLANK(R69),S68,IF(ISNUMBER(S68),S68,0)+R69),"")</f>
        <v/>
      </c>
      <c r="T69" s="61">
        <f>IFERROR(IF(OR(ISBLANK(Q69),ISBLANK(L69)),"",Q69*L69*VLOOKUP(C69,設定!$B$9:$D$23,3,FALSE)),"")</f>
        <v/>
      </c>
      <c r="U69" s="55" t="n"/>
      <c r="V69" s="55" t="n"/>
    </row>
    <row r="70">
      <c r="A70" s="44">
        <f>IF(ISBLANK(B70),"",COUNTA($B$18:B70))</f>
        <v/>
      </c>
      <c r="B70" s="45" t="n"/>
      <c r="C70" s="46" t="n"/>
      <c r="D70" s="46" t="n"/>
      <c r="E70" s="44" t="n"/>
      <c r="F70" s="47" t="n"/>
      <c r="G70" s="47" t="n"/>
      <c r="H70" s="47" t="n"/>
      <c r="I70" s="47" t="n"/>
      <c r="J70" s="47" t="n"/>
      <c r="K70" s="47" t="n"/>
      <c r="L70" s="48" t="n"/>
      <c r="M70" s="47" t="n"/>
      <c r="N70" s="46" t="n"/>
      <c r="O70" s="49">
        <f>IFERROR(IF(OR(ISBLANK(G70),ISBLANK(I70)),"",ABS(G70-I70)/VLOOKUP(C70,設定!$B$9:$D$23,2,FALSE)),"")</f>
        <v/>
      </c>
      <c r="P70" s="48">
        <f>IFERROR(IF(OR(ISBLANK(F70),ISBLANK(H70),ISBLANK(J70)),"",ABS(J70-F70)/ABS(F70-H70)),"")</f>
        <v/>
      </c>
      <c r="Q70" s="50">
        <f>IFERROR(IF(OR(ISBLANK(M70),ISBLANK(D70),ISBLANK(G70)),"",IF(D70="Long",(M70-G70),(G70-M70))/VLOOKUP(C70,設定!$B$9:$D$23,2,FALSE)),"")</f>
        <v/>
      </c>
      <c r="R70" s="51">
        <f>IFERROR(IF(OR(ISBLANK(Q70),O70=0),"",Q70/O70),"")</f>
        <v/>
      </c>
      <c r="S70" s="51">
        <f>IFERROR(IF(ISBLANK(R70),S69,IF(ISNUMBER(S69),S69,0)+R70),"")</f>
        <v/>
      </c>
      <c r="T70" s="52">
        <f>IFERROR(IF(OR(ISBLANK(Q70),ISBLANK(L70)),"",Q70*L70*VLOOKUP(C70,設定!$B$9:$D$23,3,FALSE)),"")</f>
        <v/>
      </c>
      <c r="U70" s="46" t="n"/>
      <c r="V70" s="46" t="n"/>
    </row>
    <row r="71">
      <c r="A71" s="53">
        <f>IF(ISBLANK(B71),"",COUNTA($B$18:B71))</f>
        <v/>
      </c>
      <c r="B71" s="54" t="n"/>
      <c r="C71" s="55" t="n"/>
      <c r="D71" s="55" t="n"/>
      <c r="E71" s="53" t="n"/>
      <c r="F71" s="56" t="n"/>
      <c r="G71" s="56" t="n"/>
      <c r="H71" s="56" t="n"/>
      <c r="I71" s="56" t="n"/>
      <c r="J71" s="56" t="n"/>
      <c r="K71" s="56" t="n"/>
      <c r="L71" s="57" t="n"/>
      <c r="M71" s="56" t="n"/>
      <c r="N71" s="55" t="n"/>
      <c r="O71" s="58">
        <f>IFERROR(IF(OR(ISBLANK(G71),ISBLANK(I71)),"",ABS(G71-I71)/VLOOKUP(C71,設定!$B$9:$D$23,2,FALSE)),"")</f>
        <v/>
      </c>
      <c r="P71" s="57">
        <f>IFERROR(IF(OR(ISBLANK(F71),ISBLANK(H71),ISBLANK(J71)),"",ABS(J71-F71)/ABS(F71-H71)),"")</f>
        <v/>
      </c>
      <c r="Q71" s="59">
        <f>IFERROR(IF(OR(ISBLANK(M71),ISBLANK(D71),ISBLANK(G71)),"",IF(D71="Long",(M71-G71),(G71-M71))/VLOOKUP(C71,設定!$B$9:$D$23,2,FALSE)),"")</f>
        <v/>
      </c>
      <c r="R71" s="60">
        <f>IFERROR(IF(OR(ISBLANK(Q71),O71=0),"",Q71/O71),"")</f>
        <v/>
      </c>
      <c r="S71" s="60">
        <f>IFERROR(IF(ISBLANK(R71),S70,IF(ISNUMBER(S70),S70,0)+R71),"")</f>
        <v/>
      </c>
      <c r="T71" s="61">
        <f>IFERROR(IF(OR(ISBLANK(Q71),ISBLANK(L71)),"",Q71*L71*VLOOKUP(C71,設定!$B$9:$D$23,3,FALSE)),"")</f>
        <v/>
      </c>
      <c r="U71" s="55" t="n"/>
      <c r="V71" s="55" t="n"/>
    </row>
    <row r="72">
      <c r="A72" s="44">
        <f>IF(ISBLANK(B72),"",COUNTA($B$18:B72))</f>
        <v/>
      </c>
      <c r="B72" s="45" t="n"/>
      <c r="C72" s="46" t="n"/>
      <c r="D72" s="46" t="n"/>
      <c r="E72" s="44" t="n"/>
      <c r="F72" s="47" t="n"/>
      <c r="G72" s="47" t="n"/>
      <c r="H72" s="47" t="n"/>
      <c r="I72" s="47" t="n"/>
      <c r="J72" s="47" t="n"/>
      <c r="K72" s="47" t="n"/>
      <c r="L72" s="48" t="n"/>
      <c r="M72" s="47" t="n"/>
      <c r="N72" s="46" t="n"/>
      <c r="O72" s="49">
        <f>IFERROR(IF(OR(ISBLANK(G72),ISBLANK(I72)),"",ABS(G72-I72)/VLOOKUP(C72,設定!$B$9:$D$23,2,FALSE)),"")</f>
        <v/>
      </c>
      <c r="P72" s="48">
        <f>IFERROR(IF(OR(ISBLANK(F72),ISBLANK(H72),ISBLANK(J72)),"",ABS(J72-F72)/ABS(F72-H72)),"")</f>
        <v/>
      </c>
      <c r="Q72" s="50">
        <f>IFERROR(IF(OR(ISBLANK(M72),ISBLANK(D72),ISBLANK(G72)),"",IF(D72="Long",(M72-G72),(G72-M72))/VLOOKUP(C72,設定!$B$9:$D$23,2,FALSE)),"")</f>
        <v/>
      </c>
      <c r="R72" s="51">
        <f>IFERROR(IF(OR(ISBLANK(Q72),O72=0),"",Q72/O72),"")</f>
        <v/>
      </c>
      <c r="S72" s="51">
        <f>IFERROR(IF(ISBLANK(R72),S71,IF(ISNUMBER(S71),S71,0)+R72),"")</f>
        <v/>
      </c>
      <c r="T72" s="52">
        <f>IFERROR(IF(OR(ISBLANK(Q72),ISBLANK(L72)),"",Q72*L72*VLOOKUP(C72,設定!$B$9:$D$23,3,FALSE)),"")</f>
        <v/>
      </c>
      <c r="U72" s="46" t="n"/>
      <c r="V72" s="46" t="n"/>
    </row>
    <row r="73">
      <c r="A73" s="53">
        <f>IF(ISBLANK(B73),"",COUNTA($B$18:B73))</f>
        <v/>
      </c>
      <c r="B73" s="54" t="n"/>
      <c r="C73" s="55" t="n"/>
      <c r="D73" s="55" t="n"/>
      <c r="E73" s="53" t="n"/>
      <c r="F73" s="56" t="n"/>
      <c r="G73" s="56" t="n"/>
      <c r="H73" s="56" t="n"/>
      <c r="I73" s="56" t="n"/>
      <c r="J73" s="56" t="n"/>
      <c r="K73" s="56" t="n"/>
      <c r="L73" s="57" t="n"/>
      <c r="M73" s="56" t="n"/>
      <c r="N73" s="55" t="n"/>
      <c r="O73" s="58">
        <f>IFERROR(IF(OR(ISBLANK(G73),ISBLANK(I73)),"",ABS(G73-I73)/VLOOKUP(C73,設定!$B$9:$D$23,2,FALSE)),"")</f>
        <v/>
      </c>
      <c r="P73" s="57">
        <f>IFERROR(IF(OR(ISBLANK(F73),ISBLANK(H73),ISBLANK(J73)),"",ABS(J73-F73)/ABS(F73-H73)),"")</f>
        <v/>
      </c>
      <c r="Q73" s="59">
        <f>IFERROR(IF(OR(ISBLANK(M73),ISBLANK(D73),ISBLANK(G73)),"",IF(D73="Long",(M73-G73),(G73-M73))/VLOOKUP(C73,設定!$B$9:$D$23,2,FALSE)),"")</f>
        <v/>
      </c>
      <c r="R73" s="60">
        <f>IFERROR(IF(OR(ISBLANK(Q73),O73=0),"",Q73/O73),"")</f>
        <v/>
      </c>
      <c r="S73" s="60">
        <f>IFERROR(IF(ISBLANK(R73),S72,IF(ISNUMBER(S72),S72,0)+R73),"")</f>
        <v/>
      </c>
      <c r="T73" s="61">
        <f>IFERROR(IF(OR(ISBLANK(Q73),ISBLANK(L73)),"",Q73*L73*VLOOKUP(C73,設定!$B$9:$D$23,3,FALSE)),"")</f>
        <v/>
      </c>
      <c r="U73" s="55" t="n"/>
      <c r="V73" s="55" t="n"/>
    </row>
    <row r="74">
      <c r="A74" s="44">
        <f>IF(ISBLANK(B74),"",COUNTA($B$18:B74))</f>
        <v/>
      </c>
      <c r="B74" s="45" t="n"/>
      <c r="C74" s="46" t="n"/>
      <c r="D74" s="46" t="n"/>
      <c r="E74" s="44" t="n"/>
      <c r="F74" s="47" t="n"/>
      <c r="G74" s="47" t="n"/>
      <c r="H74" s="47" t="n"/>
      <c r="I74" s="47" t="n"/>
      <c r="J74" s="47" t="n"/>
      <c r="K74" s="47" t="n"/>
      <c r="L74" s="48" t="n"/>
      <c r="M74" s="47" t="n"/>
      <c r="N74" s="46" t="n"/>
      <c r="O74" s="49">
        <f>IFERROR(IF(OR(ISBLANK(G74),ISBLANK(I74)),"",ABS(G74-I74)/VLOOKUP(C74,設定!$B$9:$D$23,2,FALSE)),"")</f>
        <v/>
      </c>
      <c r="P74" s="48">
        <f>IFERROR(IF(OR(ISBLANK(F74),ISBLANK(H74),ISBLANK(J74)),"",ABS(J74-F74)/ABS(F74-H74)),"")</f>
        <v/>
      </c>
      <c r="Q74" s="50">
        <f>IFERROR(IF(OR(ISBLANK(M74),ISBLANK(D74),ISBLANK(G74)),"",IF(D74="Long",(M74-G74),(G74-M74))/VLOOKUP(C74,設定!$B$9:$D$23,2,FALSE)),"")</f>
        <v/>
      </c>
      <c r="R74" s="51">
        <f>IFERROR(IF(OR(ISBLANK(Q74),O74=0),"",Q74/O74),"")</f>
        <v/>
      </c>
      <c r="S74" s="51">
        <f>IFERROR(IF(ISBLANK(R74),S73,IF(ISNUMBER(S73),S73,0)+R74),"")</f>
        <v/>
      </c>
      <c r="T74" s="52">
        <f>IFERROR(IF(OR(ISBLANK(Q74),ISBLANK(L74)),"",Q74*L74*VLOOKUP(C74,設定!$B$9:$D$23,3,FALSE)),"")</f>
        <v/>
      </c>
      <c r="U74" s="46" t="n"/>
      <c r="V74" s="46" t="n"/>
    </row>
    <row r="75">
      <c r="A75" s="53">
        <f>IF(ISBLANK(B75),"",COUNTA($B$18:B75))</f>
        <v/>
      </c>
      <c r="B75" s="54" t="n"/>
      <c r="C75" s="55" t="n"/>
      <c r="D75" s="55" t="n"/>
      <c r="E75" s="53" t="n"/>
      <c r="F75" s="56" t="n"/>
      <c r="G75" s="56" t="n"/>
      <c r="H75" s="56" t="n"/>
      <c r="I75" s="56" t="n"/>
      <c r="J75" s="56" t="n"/>
      <c r="K75" s="56" t="n"/>
      <c r="L75" s="57" t="n"/>
      <c r="M75" s="56" t="n"/>
      <c r="N75" s="55" t="n"/>
      <c r="O75" s="58">
        <f>IFERROR(IF(OR(ISBLANK(G75),ISBLANK(I75)),"",ABS(G75-I75)/VLOOKUP(C75,設定!$B$9:$D$23,2,FALSE)),"")</f>
        <v/>
      </c>
      <c r="P75" s="57">
        <f>IFERROR(IF(OR(ISBLANK(F75),ISBLANK(H75),ISBLANK(J75)),"",ABS(J75-F75)/ABS(F75-H75)),"")</f>
        <v/>
      </c>
      <c r="Q75" s="59">
        <f>IFERROR(IF(OR(ISBLANK(M75),ISBLANK(D75),ISBLANK(G75)),"",IF(D75="Long",(M75-G75),(G75-M75))/VLOOKUP(C75,設定!$B$9:$D$23,2,FALSE)),"")</f>
        <v/>
      </c>
      <c r="R75" s="60">
        <f>IFERROR(IF(OR(ISBLANK(Q75),O75=0),"",Q75/O75),"")</f>
        <v/>
      </c>
      <c r="S75" s="60">
        <f>IFERROR(IF(ISBLANK(R75),S74,IF(ISNUMBER(S74),S74,0)+R75),"")</f>
        <v/>
      </c>
      <c r="T75" s="61">
        <f>IFERROR(IF(OR(ISBLANK(Q75),ISBLANK(L75)),"",Q75*L75*VLOOKUP(C75,設定!$B$9:$D$23,3,FALSE)),"")</f>
        <v/>
      </c>
      <c r="U75" s="55" t="n"/>
      <c r="V75" s="55" t="n"/>
    </row>
    <row r="76">
      <c r="A76" s="44">
        <f>IF(ISBLANK(B76),"",COUNTA($B$18:B76))</f>
        <v/>
      </c>
      <c r="B76" s="45" t="n"/>
      <c r="C76" s="46" t="n"/>
      <c r="D76" s="46" t="n"/>
      <c r="E76" s="44" t="n"/>
      <c r="F76" s="47" t="n"/>
      <c r="G76" s="47" t="n"/>
      <c r="H76" s="47" t="n"/>
      <c r="I76" s="47" t="n"/>
      <c r="J76" s="47" t="n"/>
      <c r="K76" s="47" t="n"/>
      <c r="L76" s="48" t="n"/>
      <c r="M76" s="47" t="n"/>
      <c r="N76" s="46" t="n"/>
      <c r="O76" s="49">
        <f>IFERROR(IF(OR(ISBLANK(G76),ISBLANK(I76)),"",ABS(G76-I76)/VLOOKUP(C76,設定!$B$9:$D$23,2,FALSE)),"")</f>
        <v/>
      </c>
      <c r="P76" s="48">
        <f>IFERROR(IF(OR(ISBLANK(F76),ISBLANK(H76),ISBLANK(J76)),"",ABS(J76-F76)/ABS(F76-H76)),"")</f>
        <v/>
      </c>
      <c r="Q76" s="50">
        <f>IFERROR(IF(OR(ISBLANK(M76),ISBLANK(D76),ISBLANK(G76)),"",IF(D76="Long",(M76-G76),(G76-M76))/VLOOKUP(C76,設定!$B$9:$D$23,2,FALSE)),"")</f>
        <v/>
      </c>
      <c r="R76" s="51">
        <f>IFERROR(IF(OR(ISBLANK(Q76),O76=0),"",Q76/O76),"")</f>
        <v/>
      </c>
      <c r="S76" s="51">
        <f>IFERROR(IF(ISBLANK(R76),S75,IF(ISNUMBER(S75),S75,0)+R76),"")</f>
        <v/>
      </c>
      <c r="T76" s="52">
        <f>IFERROR(IF(OR(ISBLANK(Q76),ISBLANK(L76)),"",Q76*L76*VLOOKUP(C76,設定!$B$9:$D$23,3,FALSE)),"")</f>
        <v/>
      </c>
      <c r="U76" s="46" t="n"/>
      <c r="V76" s="46" t="n"/>
    </row>
    <row r="77">
      <c r="A77" s="53">
        <f>IF(ISBLANK(B77),"",COUNTA($B$18:B77))</f>
        <v/>
      </c>
      <c r="B77" s="54" t="n"/>
      <c r="C77" s="55" t="n"/>
      <c r="D77" s="55" t="n"/>
      <c r="E77" s="53" t="n"/>
      <c r="F77" s="56" t="n"/>
      <c r="G77" s="56" t="n"/>
      <c r="H77" s="56" t="n"/>
      <c r="I77" s="56" t="n"/>
      <c r="J77" s="56" t="n"/>
      <c r="K77" s="56" t="n"/>
      <c r="L77" s="57" t="n"/>
      <c r="M77" s="56" t="n"/>
      <c r="N77" s="55" t="n"/>
      <c r="O77" s="58">
        <f>IFERROR(IF(OR(ISBLANK(G77),ISBLANK(I77)),"",ABS(G77-I77)/VLOOKUP(C77,設定!$B$9:$D$23,2,FALSE)),"")</f>
        <v/>
      </c>
      <c r="P77" s="57">
        <f>IFERROR(IF(OR(ISBLANK(F77),ISBLANK(H77),ISBLANK(J77)),"",ABS(J77-F77)/ABS(F77-H77)),"")</f>
        <v/>
      </c>
      <c r="Q77" s="59">
        <f>IFERROR(IF(OR(ISBLANK(M77),ISBLANK(D77),ISBLANK(G77)),"",IF(D77="Long",(M77-G77),(G77-M77))/VLOOKUP(C77,設定!$B$9:$D$23,2,FALSE)),"")</f>
        <v/>
      </c>
      <c r="R77" s="60">
        <f>IFERROR(IF(OR(ISBLANK(Q77),O77=0),"",Q77/O77),"")</f>
        <v/>
      </c>
      <c r="S77" s="60">
        <f>IFERROR(IF(ISBLANK(R77),S76,IF(ISNUMBER(S76),S76,0)+R77),"")</f>
        <v/>
      </c>
      <c r="T77" s="61">
        <f>IFERROR(IF(OR(ISBLANK(Q77),ISBLANK(L77)),"",Q77*L77*VLOOKUP(C77,設定!$B$9:$D$23,3,FALSE)),"")</f>
        <v/>
      </c>
      <c r="U77" s="55" t="n"/>
      <c r="V77" s="55" t="n"/>
    </row>
    <row r="78">
      <c r="A78" s="44">
        <f>IF(ISBLANK(B78),"",COUNTA($B$18:B78))</f>
        <v/>
      </c>
      <c r="B78" s="45" t="n"/>
      <c r="C78" s="46" t="n"/>
      <c r="D78" s="46" t="n"/>
      <c r="E78" s="44" t="n"/>
      <c r="F78" s="47" t="n"/>
      <c r="G78" s="47" t="n"/>
      <c r="H78" s="47" t="n"/>
      <c r="I78" s="47" t="n"/>
      <c r="J78" s="47" t="n"/>
      <c r="K78" s="47" t="n"/>
      <c r="L78" s="48" t="n"/>
      <c r="M78" s="47" t="n"/>
      <c r="N78" s="46" t="n"/>
      <c r="O78" s="49">
        <f>IFERROR(IF(OR(ISBLANK(G78),ISBLANK(I78)),"",ABS(G78-I78)/VLOOKUP(C78,設定!$B$9:$D$23,2,FALSE)),"")</f>
        <v/>
      </c>
      <c r="P78" s="48">
        <f>IFERROR(IF(OR(ISBLANK(F78),ISBLANK(H78),ISBLANK(J78)),"",ABS(J78-F78)/ABS(F78-H78)),"")</f>
        <v/>
      </c>
      <c r="Q78" s="50">
        <f>IFERROR(IF(OR(ISBLANK(M78),ISBLANK(D78),ISBLANK(G78)),"",IF(D78="Long",(M78-G78),(G78-M78))/VLOOKUP(C78,設定!$B$9:$D$23,2,FALSE)),"")</f>
        <v/>
      </c>
      <c r="R78" s="51">
        <f>IFERROR(IF(OR(ISBLANK(Q78),O78=0),"",Q78/O78),"")</f>
        <v/>
      </c>
      <c r="S78" s="51">
        <f>IFERROR(IF(ISBLANK(R78),S77,IF(ISNUMBER(S77),S77,0)+R78),"")</f>
        <v/>
      </c>
      <c r="T78" s="52">
        <f>IFERROR(IF(OR(ISBLANK(Q78),ISBLANK(L78)),"",Q78*L78*VLOOKUP(C78,設定!$B$9:$D$23,3,FALSE)),"")</f>
        <v/>
      </c>
      <c r="U78" s="46" t="n"/>
      <c r="V78" s="46" t="n"/>
    </row>
    <row r="79">
      <c r="A79" s="53">
        <f>IF(ISBLANK(B79),"",COUNTA($B$18:B79))</f>
        <v/>
      </c>
      <c r="B79" s="54" t="n"/>
      <c r="C79" s="55" t="n"/>
      <c r="D79" s="55" t="n"/>
      <c r="E79" s="53" t="n"/>
      <c r="F79" s="56" t="n"/>
      <c r="G79" s="56" t="n"/>
      <c r="H79" s="56" t="n"/>
      <c r="I79" s="56" t="n"/>
      <c r="J79" s="56" t="n"/>
      <c r="K79" s="56" t="n"/>
      <c r="L79" s="57" t="n"/>
      <c r="M79" s="56" t="n"/>
      <c r="N79" s="55" t="n"/>
      <c r="O79" s="58">
        <f>IFERROR(IF(OR(ISBLANK(G79),ISBLANK(I79)),"",ABS(G79-I79)/VLOOKUP(C79,設定!$B$9:$D$23,2,FALSE)),"")</f>
        <v/>
      </c>
      <c r="P79" s="57">
        <f>IFERROR(IF(OR(ISBLANK(F79),ISBLANK(H79),ISBLANK(J79)),"",ABS(J79-F79)/ABS(F79-H79)),"")</f>
        <v/>
      </c>
      <c r="Q79" s="59">
        <f>IFERROR(IF(OR(ISBLANK(M79),ISBLANK(D79),ISBLANK(G79)),"",IF(D79="Long",(M79-G79),(G79-M79))/VLOOKUP(C79,設定!$B$9:$D$23,2,FALSE)),"")</f>
        <v/>
      </c>
      <c r="R79" s="60">
        <f>IFERROR(IF(OR(ISBLANK(Q79),O79=0),"",Q79/O79),"")</f>
        <v/>
      </c>
      <c r="S79" s="60">
        <f>IFERROR(IF(ISBLANK(R79),S78,IF(ISNUMBER(S78),S78,0)+R79),"")</f>
        <v/>
      </c>
      <c r="T79" s="61">
        <f>IFERROR(IF(OR(ISBLANK(Q79),ISBLANK(L79)),"",Q79*L79*VLOOKUP(C79,設定!$B$9:$D$23,3,FALSE)),"")</f>
        <v/>
      </c>
      <c r="U79" s="55" t="n"/>
      <c r="V79" s="55" t="n"/>
    </row>
    <row r="80">
      <c r="A80" s="44">
        <f>IF(ISBLANK(B80),"",COUNTA($B$18:B80))</f>
        <v/>
      </c>
      <c r="B80" s="45" t="n"/>
      <c r="C80" s="46" t="n"/>
      <c r="D80" s="46" t="n"/>
      <c r="E80" s="44" t="n"/>
      <c r="F80" s="47" t="n"/>
      <c r="G80" s="47" t="n"/>
      <c r="H80" s="47" t="n"/>
      <c r="I80" s="47" t="n"/>
      <c r="J80" s="47" t="n"/>
      <c r="K80" s="47" t="n"/>
      <c r="L80" s="48" t="n"/>
      <c r="M80" s="47" t="n"/>
      <c r="N80" s="46" t="n"/>
      <c r="O80" s="49">
        <f>IFERROR(IF(OR(ISBLANK(G80),ISBLANK(I80)),"",ABS(G80-I80)/VLOOKUP(C80,設定!$B$9:$D$23,2,FALSE)),"")</f>
        <v/>
      </c>
      <c r="P80" s="48">
        <f>IFERROR(IF(OR(ISBLANK(F80),ISBLANK(H80),ISBLANK(J80)),"",ABS(J80-F80)/ABS(F80-H80)),"")</f>
        <v/>
      </c>
      <c r="Q80" s="50">
        <f>IFERROR(IF(OR(ISBLANK(M80),ISBLANK(D80),ISBLANK(G80)),"",IF(D80="Long",(M80-G80),(G80-M80))/VLOOKUP(C80,設定!$B$9:$D$23,2,FALSE)),"")</f>
        <v/>
      </c>
      <c r="R80" s="51">
        <f>IFERROR(IF(OR(ISBLANK(Q80),O80=0),"",Q80/O80),"")</f>
        <v/>
      </c>
      <c r="S80" s="51">
        <f>IFERROR(IF(ISBLANK(R80),S79,IF(ISNUMBER(S79),S79,0)+R80),"")</f>
        <v/>
      </c>
      <c r="T80" s="52">
        <f>IFERROR(IF(OR(ISBLANK(Q80),ISBLANK(L80)),"",Q80*L80*VLOOKUP(C80,設定!$B$9:$D$23,3,FALSE)),"")</f>
        <v/>
      </c>
      <c r="U80" s="46" t="n"/>
      <c r="V80" s="46" t="n"/>
    </row>
    <row r="81">
      <c r="A81" s="53">
        <f>IF(ISBLANK(B81),"",COUNTA($B$18:B81))</f>
        <v/>
      </c>
      <c r="B81" s="54" t="n"/>
      <c r="C81" s="55" t="n"/>
      <c r="D81" s="55" t="n"/>
      <c r="E81" s="53" t="n"/>
      <c r="F81" s="56" t="n"/>
      <c r="G81" s="56" t="n"/>
      <c r="H81" s="56" t="n"/>
      <c r="I81" s="56" t="n"/>
      <c r="J81" s="56" t="n"/>
      <c r="K81" s="56" t="n"/>
      <c r="L81" s="57" t="n"/>
      <c r="M81" s="56" t="n"/>
      <c r="N81" s="55" t="n"/>
      <c r="O81" s="58">
        <f>IFERROR(IF(OR(ISBLANK(G81),ISBLANK(I81)),"",ABS(G81-I81)/VLOOKUP(C81,設定!$B$9:$D$23,2,FALSE)),"")</f>
        <v/>
      </c>
      <c r="P81" s="57">
        <f>IFERROR(IF(OR(ISBLANK(F81),ISBLANK(H81),ISBLANK(J81)),"",ABS(J81-F81)/ABS(F81-H81)),"")</f>
        <v/>
      </c>
      <c r="Q81" s="59">
        <f>IFERROR(IF(OR(ISBLANK(M81),ISBLANK(D81),ISBLANK(G81)),"",IF(D81="Long",(M81-G81),(G81-M81))/VLOOKUP(C81,設定!$B$9:$D$23,2,FALSE)),"")</f>
        <v/>
      </c>
      <c r="R81" s="60">
        <f>IFERROR(IF(OR(ISBLANK(Q81),O81=0),"",Q81/O81),"")</f>
        <v/>
      </c>
      <c r="S81" s="60">
        <f>IFERROR(IF(ISBLANK(R81),S80,IF(ISNUMBER(S80),S80,0)+R81),"")</f>
        <v/>
      </c>
      <c r="T81" s="61">
        <f>IFERROR(IF(OR(ISBLANK(Q81),ISBLANK(L81)),"",Q81*L81*VLOOKUP(C81,設定!$B$9:$D$23,3,FALSE)),"")</f>
        <v/>
      </c>
      <c r="U81" s="55" t="n"/>
      <c r="V81" s="55" t="n"/>
    </row>
    <row r="82">
      <c r="A82" s="44">
        <f>IF(ISBLANK(B82),"",COUNTA($B$18:B82))</f>
        <v/>
      </c>
      <c r="B82" s="45" t="n"/>
      <c r="C82" s="46" t="n"/>
      <c r="D82" s="46" t="n"/>
      <c r="E82" s="44" t="n"/>
      <c r="F82" s="47" t="n"/>
      <c r="G82" s="47" t="n"/>
      <c r="H82" s="47" t="n"/>
      <c r="I82" s="47" t="n"/>
      <c r="J82" s="47" t="n"/>
      <c r="K82" s="47" t="n"/>
      <c r="L82" s="48" t="n"/>
      <c r="M82" s="47" t="n"/>
      <c r="N82" s="46" t="n"/>
      <c r="O82" s="49">
        <f>IFERROR(IF(OR(ISBLANK(G82),ISBLANK(I82)),"",ABS(G82-I82)/VLOOKUP(C82,設定!$B$9:$D$23,2,FALSE)),"")</f>
        <v/>
      </c>
      <c r="P82" s="48">
        <f>IFERROR(IF(OR(ISBLANK(F82),ISBLANK(H82),ISBLANK(J82)),"",ABS(J82-F82)/ABS(F82-H82)),"")</f>
        <v/>
      </c>
      <c r="Q82" s="50">
        <f>IFERROR(IF(OR(ISBLANK(M82),ISBLANK(D82),ISBLANK(G82)),"",IF(D82="Long",(M82-G82),(G82-M82))/VLOOKUP(C82,設定!$B$9:$D$23,2,FALSE)),"")</f>
        <v/>
      </c>
      <c r="R82" s="51">
        <f>IFERROR(IF(OR(ISBLANK(Q82),O82=0),"",Q82/O82),"")</f>
        <v/>
      </c>
      <c r="S82" s="51">
        <f>IFERROR(IF(ISBLANK(R82),S81,IF(ISNUMBER(S81),S81,0)+R82),"")</f>
        <v/>
      </c>
      <c r="T82" s="52">
        <f>IFERROR(IF(OR(ISBLANK(Q82),ISBLANK(L82)),"",Q82*L82*VLOOKUP(C82,設定!$B$9:$D$23,3,FALSE)),"")</f>
        <v/>
      </c>
      <c r="U82" s="46" t="n"/>
      <c r="V82" s="46" t="n"/>
    </row>
    <row r="83">
      <c r="A83" s="53">
        <f>IF(ISBLANK(B83),"",COUNTA($B$18:B83))</f>
        <v/>
      </c>
      <c r="B83" s="54" t="n"/>
      <c r="C83" s="55" t="n"/>
      <c r="D83" s="55" t="n"/>
      <c r="E83" s="53" t="n"/>
      <c r="F83" s="56" t="n"/>
      <c r="G83" s="56" t="n"/>
      <c r="H83" s="56" t="n"/>
      <c r="I83" s="56" t="n"/>
      <c r="J83" s="56" t="n"/>
      <c r="K83" s="56" t="n"/>
      <c r="L83" s="57" t="n"/>
      <c r="M83" s="56" t="n"/>
      <c r="N83" s="55" t="n"/>
      <c r="O83" s="58">
        <f>IFERROR(IF(OR(ISBLANK(G83),ISBLANK(I83)),"",ABS(G83-I83)/VLOOKUP(C83,設定!$B$9:$D$23,2,FALSE)),"")</f>
        <v/>
      </c>
      <c r="P83" s="57">
        <f>IFERROR(IF(OR(ISBLANK(F83),ISBLANK(H83),ISBLANK(J83)),"",ABS(J83-F83)/ABS(F83-H83)),"")</f>
        <v/>
      </c>
      <c r="Q83" s="59">
        <f>IFERROR(IF(OR(ISBLANK(M83),ISBLANK(D83),ISBLANK(G83)),"",IF(D83="Long",(M83-G83),(G83-M83))/VLOOKUP(C83,設定!$B$9:$D$23,2,FALSE)),"")</f>
        <v/>
      </c>
      <c r="R83" s="60">
        <f>IFERROR(IF(OR(ISBLANK(Q83),O83=0),"",Q83/O83),"")</f>
        <v/>
      </c>
      <c r="S83" s="60">
        <f>IFERROR(IF(ISBLANK(R83),S82,IF(ISNUMBER(S82),S82,0)+R83),"")</f>
        <v/>
      </c>
      <c r="T83" s="61">
        <f>IFERROR(IF(OR(ISBLANK(Q83),ISBLANK(L83)),"",Q83*L83*VLOOKUP(C83,設定!$B$9:$D$23,3,FALSE)),"")</f>
        <v/>
      </c>
      <c r="U83" s="55" t="n"/>
      <c r="V83" s="55" t="n"/>
    </row>
    <row r="84">
      <c r="A84" s="44">
        <f>IF(ISBLANK(B84),"",COUNTA($B$18:B84))</f>
        <v/>
      </c>
      <c r="B84" s="45" t="n"/>
      <c r="C84" s="46" t="n"/>
      <c r="D84" s="46" t="n"/>
      <c r="E84" s="44" t="n"/>
      <c r="F84" s="47" t="n"/>
      <c r="G84" s="47" t="n"/>
      <c r="H84" s="47" t="n"/>
      <c r="I84" s="47" t="n"/>
      <c r="J84" s="47" t="n"/>
      <c r="K84" s="47" t="n"/>
      <c r="L84" s="48" t="n"/>
      <c r="M84" s="47" t="n"/>
      <c r="N84" s="46" t="n"/>
      <c r="O84" s="49">
        <f>IFERROR(IF(OR(ISBLANK(G84),ISBLANK(I84)),"",ABS(G84-I84)/VLOOKUP(C84,設定!$B$9:$D$23,2,FALSE)),"")</f>
        <v/>
      </c>
      <c r="P84" s="48">
        <f>IFERROR(IF(OR(ISBLANK(F84),ISBLANK(H84),ISBLANK(J84)),"",ABS(J84-F84)/ABS(F84-H84)),"")</f>
        <v/>
      </c>
      <c r="Q84" s="50">
        <f>IFERROR(IF(OR(ISBLANK(M84),ISBLANK(D84),ISBLANK(G84)),"",IF(D84="Long",(M84-G84),(G84-M84))/VLOOKUP(C84,設定!$B$9:$D$23,2,FALSE)),"")</f>
        <v/>
      </c>
      <c r="R84" s="51">
        <f>IFERROR(IF(OR(ISBLANK(Q84),O84=0),"",Q84/O84),"")</f>
        <v/>
      </c>
      <c r="S84" s="51">
        <f>IFERROR(IF(ISBLANK(R84),S83,IF(ISNUMBER(S83),S83,0)+R84),"")</f>
        <v/>
      </c>
      <c r="T84" s="52">
        <f>IFERROR(IF(OR(ISBLANK(Q84),ISBLANK(L84)),"",Q84*L84*VLOOKUP(C84,設定!$B$9:$D$23,3,FALSE)),"")</f>
        <v/>
      </c>
      <c r="U84" s="46" t="n"/>
      <c r="V84" s="46" t="n"/>
    </row>
    <row r="85">
      <c r="A85" s="53">
        <f>IF(ISBLANK(B85),"",COUNTA($B$18:B85))</f>
        <v/>
      </c>
      <c r="B85" s="54" t="n"/>
      <c r="C85" s="55" t="n"/>
      <c r="D85" s="55" t="n"/>
      <c r="E85" s="53" t="n"/>
      <c r="F85" s="56" t="n"/>
      <c r="G85" s="56" t="n"/>
      <c r="H85" s="56" t="n"/>
      <c r="I85" s="56" t="n"/>
      <c r="J85" s="56" t="n"/>
      <c r="K85" s="56" t="n"/>
      <c r="L85" s="57" t="n"/>
      <c r="M85" s="56" t="n"/>
      <c r="N85" s="55" t="n"/>
      <c r="O85" s="58">
        <f>IFERROR(IF(OR(ISBLANK(G85),ISBLANK(I85)),"",ABS(G85-I85)/VLOOKUP(C85,設定!$B$9:$D$23,2,FALSE)),"")</f>
        <v/>
      </c>
      <c r="P85" s="57">
        <f>IFERROR(IF(OR(ISBLANK(F85),ISBLANK(H85),ISBLANK(J85)),"",ABS(J85-F85)/ABS(F85-H85)),"")</f>
        <v/>
      </c>
      <c r="Q85" s="59">
        <f>IFERROR(IF(OR(ISBLANK(M85),ISBLANK(D85),ISBLANK(G85)),"",IF(D85="Long",(M85-G85),(G85-M85))/VLOOKUP(C85,設定!$B$9:$D$23,2,FALSE)),"")</f>
        <v/>
      </c>
      <c r="R85" s="60">
        <f>IFERROR(IF(OR(ISBLANK(Q85),O85=0),"",Q85/O85),"")</f>
        <v/>
      </c>
      <c r="S85" s="60">
        <f>IFERROR(IF(ISBLANK(R85),S84,IF(ISNUMBER(S84),S84,0)+R85),"")</f>
        <v/>
      </c>
      <c r="T85" s="61">
        <f>IFERROR(IF(OR(ISBLANK(Q85),ISBLANK(L85)),"",Q85*L85*VLOOKUP(C85,設定!$B$9:$D$23,3,FALSE)),"")</f>
        <v/>
      </c>
      <c r="U85" s="55" t="n"/>
      <c r="V85" s="55" t="n"/>
    </row>
    <row r="86">
      <c r="A86" s="44">
        <f>IF(ISBLANK(B86),"",COUNTA($B$18:B86))</f>
        <v/>
      </c>
      <c r="B86" s="45" t="n"/>
      <c r="C86" s="46" t="n"/>
      <c r="D86" s="46" t="n"/>
      <c r="E86" s="44" t="n"/>
      <c r="F86" s="47" t="n"/>
      <c r="G86" s="47" t="n"/>
      <c r="H86" s="47" t="n"/>
      <c r="I86" s="47" t="n"/>
      <c r="J86" s="47" t="n"/>
      <c r="K86" s="47" t="n"/>
      <c r="L86" s="48" t="n"/>
      <c r="M86" s="47" t="n"/>
      <c r="N86" s="46" t="n"/>
      <c r="O86" s="49">
        <f>IFERROR(IF(OR(ISBLANK(G86),ISBLANK(I86)),"",ABS(G86-I86)/VLOOKUP(C86,設定!$B$9:$D$23,2,FALSE)),"")</f>
        <v/>
      </c>
      <c r="P86" s="48">
        <f>IFERROR(IF(OR(ISBLANK(F86),ISBLANK(H86),ISBLANK(J86)),"",ABS(J86-F86)/ABS(F86-H86)),"")</f>
        <v/>
      </c>
      <c r="Q86" s="50">
        <f>IFERROR(IF(OR(ISBLANK(M86),ISBLANK(D86),ISBLANK(G86)),"",IF(D86="Long",(M86-G86),(G86-M86))/VLOOKUP(C86,設定!$B$9:$D$23,2,FALSE)),"")</f>
        <v/>
      </c>
      <c r="R86" s="51">
        <f>IFERROR(IF(OR(ISBLANK(Q86),O86=0),"",Q86/O86),"")</f>
        <v/>
      </c>
      <c r="S86" s="51">
        <f>IFERROR(IF(ISBLANK(R86),S85,IF(ISNUMBER(S85),S85,0)+R86),"")</f>
        <v/>
      </c>
      <c r="T86" s="52">
        <f>IFERROR(IF(OR(ISBLANK(Q86),ISBLANK(L86)),"",Q86*L86*VLOOKUP(C86,設定!$B$9:$D$23,3,FALSE)),"")</f>
        <v/>
      </c>
      <c r="U86" s="46" t="n"/>
      <c r="V86" s="46" t="n"/>
    </row>
    <row r="87">
      <c r="A87" s="53">
        <f>IF(ISBLANK(B87),"",COUNTA($B$18:B87))</f>
        <v/>
      </c>
      <c r="B87" s="54" t="n"/>
      <c r="C87" s="55" t="n"/>
      <c r="D87" s="55" t="n"/>
      <c r="E87" s="53" t="n"/>
      <c r="F87" s="56" t="n"/>
      <c r="G87" s="56" t="n"/>
      <c r="H87" s="56" t="n"/>
      <c r="I87" s="56" t="n"/>
      <c r="J87" s="56" t="n"/>
      <c r="K87" s="56" t="n"/>
      <c r="L87" s="57" t="n"/>
      <c r="M87" s="56" t="n"/>
      <c r="N87" s="55" t="n"/>
      <c r="O87" s="58">
        <f>IFERROR(IF(OR(ISBLANK(G87),ISBLANK(I87)),"",ABS(G87-I87)/VLOOKUP(C87,設定!$B$9:$D$23,2,FALSE)),"")</f>
        <v/>
      </c>
      <c r="P87" s="57">
        <f>IFERROR(IF(OR(ISBLANK(F87),ISBLANK(H87),ISBLANK(J87)),"",ABS(J87-F87)/ABS(F87-H87)),"")</f>
        <v/>
      </c>
      <c r="Q87" s="59">
        <f>IFERROR(IF(OR(ISBLANK(M87),ISBLANK(D87),ISBLANK(G87)),"",IF(D87="Long",(M87-G87),(G87-M87))/VLOOKUP(C87,設定!$B$9:$D$23,2,FALSE)),"")</f>
        <v/>
      </c>
      <c r="R87" s="60">
        <f>IFERROR(IF(OR(ISBLANK(Q87),O87=0),"",Q87/O87),"")</f>
        <v/>
      </c>
      <c r="S87" s="60">
        <f>IFERROR(IF(ISBLANK(R87),S86,IF(ISNUMBER(S86),S86,0)+R87),"")</f>
        <v/>
      </c>
      <c r="T87" s="61">
        <f>IFERROR(IF(OR(ISBLANK(Q87),ISBLANK(L87)),"",Q87*L87*VLOOKUP(C87,設定!$B$9:$D$23,3,FALSE)),"")</f>
        <v/>
      </c>
      <c r="U87" s="55" t="n"/>
      <c r="V87" s="55" t="n"/>
    </row>
    <row r="88">
      <c r="A88" s="44">
        <f>IF(ISBLANK(B88),"",COUNTA($B$18:B88))</f>
        <v/>
      </c>
      <c r="B88" s="45" t="n"/>
      <c r="C88" s="46" t="n"/>
      <c r="D88" s="46" t="n"/>
      <c r="E88" s="44" t="n"/>
      <c r="F88" s="47" t="n"/>
      <c r="G88" s="47" t="n"/>
      <c r="H88" s="47" t="n"/>
      <c r="I88" s="47" t="n"/>
      <c r="J88" s="47" t="n"/>
      <c r="K88" s="47" t="n"/>
      <c r="L88" s="48" t="n"/>
      <c r="M88" s="47" t="n"/>
      <c r="N88" s="46" t="n"/>
      <c r="O88" s="49">
        <f>IFERROR(IF(OR(ISBLANK(G88),ISBLANK(I88)),"",ABS(G88-I88)/VLOOKUP(C88,設定!$B$9:$D$23,2,FALSE)),"")</f>
        <v/>
      </c>
      <c r="P88" s="48">
        <f>IFERROR(IF(OR(ISBLANK(F88),ISBLANK(H88),ISBLANK(J88)),"",ABS(J88-F88)/ABS(F88-H88)),"")</f>
        <v/>
      </c>
      <c r="Q88" s="50">
        <f>IFERROR(IF(OR(ISBLANK(M88),ISBLANK(D88),ISBLANK(G88)),"",IF(D88="Long",(M88-G88),(G88-M88))/VLOOKUP(C88,設定!$B$9:$D$23,2,FALSE)),"")</f>
        <v/>
      </c>
      <c r="R88" s="51">
        <f>IFERROR(IF(OR(ISBLANK(Q88),O88=0),"",Q88/O88),"")</f>
        <v/>
      </c>
      <c r="S88" s="51">
        <f>IFERROR(IF(ISBLANK(R88),S87,IF(ISNUMBER(S87),S87,0)+R88),"")</f>
        <v/>
      </c>
      <c r="T88" s="52">
        <f>IFERROR(IF(OR(ISBLANK(Q88),ISBLANK(L88)),"",Q88*L88*VLOOKUP(C88,設定!$B$9:$D$23,3,FALSE)),"")</f>
        <v/>
      </c>
      <c r="U88" s="46" t="n"/>
      <c r="V88" s="46" t="n"/>
    </row>
    <row r="89">
      <c r="A89" s="53">
        <f>IF(ISBLANK(B89),"",COUNTA($B$18:B89))</f>
        <v/>
      </c>
      <c r="B89" s="54" t="n"/>
      <c r="C89" s="55" t="n"/>
      <c r="D89" s="55" t="n"/>
      <c r="E89" s="53" t="n"/>
      <c r="F89" s="56" t="n"/>
      <c r="G89" s="56" t="n"/>
      <c r="H89" s="56" t="n"/>
      <c r="I89" s="56" t="n"/>
      <c r="J89" s="56" t="n"/>
      <c r="K89" s="56" t="n"/>
      <c r="L89" s="57" t="n"/>
      <c r="M89" s="56" t="n"/>
      <c r="N89" s="55" t="n"/>
      <c r="O89" s="58">
        <f>IFERROR(IF(OR(ISBLANK(G89),ISBLANK(I89)),"",ABS(G89-I89)/VLOOKUP(C89,設定!$B$9:$D$23,2,FALSE)),"")</f>
        <v/>
      </c>
      <c r="P89" s="57">
        <f>IFERROR(IF(OR(ISBLANK(F89),ISBLANK(H89),ISBLANK(J89)),"",ABS(J89-F89)/ABS(F89-H89)),"")</f>
        <v/>
      </c>
      <c r="Q89" s="59">
        <f>IFERROR(IF(OR(ISBLANK(M89),ISBLANK(D89),ISBLANK(G89)),"",IF(D89="Long",(M89-G89),(G89-M89))/VLOOKUP(C89,設定!$B$9:$D$23,2,FALSE)),"")</f>
        <v/>
      </c>
      <c r="R89" s="60">
        <f>IFERROR(IF(OR(ISBLANK(Q89),O89=0),"",Q89/O89),"")</f>
        <v/>
      </c>
      <c r="S89" s="60">
        <f>IFERROR(IF(ISBLANK(R89),S88,IF(ISNUMBER(S88),S88,0)+R89),"")</f>
        <v/>
      </c>
      <c r="T89" s="61">
        <f>IFERROR(IF(OR(ISBLANK(Q89),ISBLANK(L89)),"",Q89*L89*VLOOKUP(C89,設定!$B$9:$D$23,3,FALSE)),"")</f>
        <v/>
      </c>
      <c r="U89" s="55" t="n"/>
      <c r="V89" s="55" t="n"/>
    </row>
    <row r="90">
      <c r="A90" s="44">
        <f>IF(ISBLANK(B90),"",COUNTA($B$18:B90))</f>
        <v/>
      </c>
      <c r="B90" s="45" t="n"/>
      <c r="C90" s="46" t="n"/>
      <c r="D90" s="46" t="n"/>
      <c r="E90" s="44" t="n"/>
      <c r="F90" s="47" t="n"/>
      <c r="G90" s="47" t="n"/>
      <c r="H90" s="47" t="n"/>
      <c r="I90" s="47" t="n"/>
      <c r="J90" s="47" t="n"/>
      <c r="K90" s="47" t="n"/>
      <c r="L90" s="48" t="n"/>
      <c r="M90" s="47" t="n"/>
      <c r="N90" s="46" t="n"/>
      <c r="O90" s="49">
        <f>IFERROR(IF(OR(ISBLANK(G90),ISBLANK(I90)),"",ABS(G90-I90)/VLOOKUP(C90,設定!$B$9:$D$23,2,FALSE)),"")</f>
        <v/>
      </c>
      <c r="P90" s="48">
        <f>IFERROR(IF(OR(ISBLANK(F90),ISBLANK(H90),ISBLANK(J90)),"",ABS(J90-F90)/ABS(F90-H90)),"")</f>
        <v/>
      </c>
      <c r="Q90" s="50">
        <f>IFERROR(IF(OR(ISBLANK(M90),ISBLANK(D90),ISBLANK(G90)),"",IF(D90="Long",(M90-G90),(G90-M90))/VLOOKUP(C90,設定!$B$9:$D$23,2,FALSE)),"")</f>
        <v/>
      </c>
      <c r="R90" s="51">
        <f>IFERROR(IF(OR(ISBLANK(Q90),O90=0),"",Q90/O90),"")</f>
        <v/>
      </c>
      <c r="S90" s="51">
        <f>IFERROR(IF(ISBLANK(R90),S89,IF(ISNUMBER(S89),S89,0)+R90),"")</f>
        <v/>
      </c>
      <c r="T90" s="52">
        <f>IFERROR(IF(OR(ISBLANK(Q90),ISBLANK(L90)),"",Q90*L90*VLOOKUP(C90,設定!$B$9:$D$23,3,FALSE)),"")</f>
        <v/>
      </c>
      <c r="U90" s="46" t="n"/>
      <c r="V90" s="46" t="n"/>
    </row>
    <row r="91">
      <c r="A91" s="53">
        <f>IF(ISBLANK(B91),"",COUNTA($B$18:B91))</f>
        <v/>
      </c>
      <c r="B91" s="54" t="n"/>
      <c r="C91" s="55" t="n"/>
      <c r="D91" s="55" t="n"/>
      <c r="E91" s="53" t="n"/>
      <c r="F91" s="56" t="n"/>
      <c r="G91" s="56" t="n"/>
      <c r="H91" s="56" t="n"/>
      <c r="I91" s="56" t="n"/>
      <c r="J91" s="56" t="n"/>
      <c r="K91" s="56" t="n"/>
      <c r="L91" s="57" t="n"/>
      <c r="M91" s="56" t="n"/>
      <c r="N91" s="55" t="n"/>
      <c r="O91" s="58">
        <f>IFERROR(IF(OR(ISBLANK(G91),ISBLANK(I91)),"",ABS(G91-I91)/VLOOKUP(C91,設定!$B$9:$D$23,2,FALSE)),"")</f>
        <v/>
      </c>
      <c r="P91" s="57">
        <f>IFERROR(IF(OR(ISBLANK(F91),ISBLANK(H91),ISBLANK(J91)),"",ABS(J91-F91)/ABS(F91-H91)),"")</f>
        <v/>
      </c>
      <c r="Q91" s="59">
        <f>IFERROR(IF(OR(ISBLANK(M91),ISBLANK(D91),ISBLANK(G91)),"",IF(D91="Long",(M91-G91),(G91-M91))/VLOOKUP(C91,設定!$B$9:$D$23,2,FALSE)),"")</f>
        <v/>
      </c>
      <c r="R91" s="60">
        <f>IFERROR(IF(OR(ISBLANK(Q91),O91=0),"",Q91/O91),"")</f>
        <v/>
      </c>
      <c r="S91" s="60">
        <f>IFERROR(IF(ISBLANK(R91),S90,IF(ISNUMBER(S90),S90,0)+R91),"")</f>
        <v/>
      </c>
      <c r="T91" s="61">
        <f>IFERROR(IF(OR(ISBLANK(Q91),ISBLANK(L91)),"",Q91*L91*VLOOKUP(C91,設定!$B$9:$D$23,3,FALSE)),"")</f>
        <v/>
      </c>
      <c r="U91" s="55" t="n"/>
      <c r="V91" s="55" t="n"/>
    </row>
    <row r="92">
      <c r="A92" s="44">
        <f>IF(ISBLANK(B92),"",COUNTA($B$18:B92))</f>
        <v/>
      </c>
      <c r="B92" s="45" t="n"/>
      <c r="C92" s="46" t="n"/>
      <c r="D92" s="46" t="n"/>
      <c r="E92" s="44" t="n"/>
      <c r="F92" s="47" t="n"/>
      <c r="G92" s="47" t="n"/>
      <c r="H92" s="47" t="n"/>
      <c r="I92" s="47" t="n"/>
      <c r="J92" s="47" t="n"/>
      <c r="K92" s="47" t="n"/>
      <c r="L92" s="48" t="n"/>
      <c r="M92" s="47" t="n"/>
      <c r="N92" s="46" t="n"/>
      <c r="O92" s="49">
        <f>IFERROR(IF(OR(ISBLANK(G92),ISBLANK(I92)),"",ABS(G92-I92)/VLOOKUP(C92,設定!$B$9:$D$23,2,FALSE)),"")</f>
        <v/>
      </c>
      <c r="P92" s="48">
        <f>IFERROR(IF(OR(ISBLANK(F92),ISBLANK(H92),ISBLANK(J92)),"",ABS(J92-F92)/ABS(F92-H92)),"")</f>
        <v/>
      </c>
      <c r="Q92" s="50">
        <f>IFERROR(IF(OR(ISBLANK(M92),ISBLANK(D92),ISBLANK(G92)),"",IF(D92="Long",(M92-G92),(G92-M92))/VLOOKUP(C92,設定!$B$9:$D$23,2,FALSE)),"")</f>
        <v/>
      </c>
      <c r="R92" s="51">
        <f>IFERROR(IF(OR(ISBLANK(Q92),O92=0),"",Q92/O92),"")</f>
        <v/>
      </c>
      <c r="S92" s="51">
        <f>IFERROR(IF(ISBLANK(R92),S91,IF(ISNUMBER(S91),S91,0)+R92),"")</f>
        <v/>
      </c>
      <c r="T92" s="52">
        <f>IFERROR(IF(OR(ISBLANK(Q92),ISBLANK(L92)),"",Q92*L92*VLOOKUP(C92,設定!$B$9:$D$23,3,FALSE)),"")</f>
        <v/>
      </c>
      <c r="U92" s="46" t="n"/>
      <c r="V92" s="46" t="n"/>
    </row>
    <row r="93">
      <c r="A93" s="53">
        <f>IF(ISBLANK(B93),"",COUNTA($B$18:B93))</f>
        <v/>
      </c>
      <c r="B93" s="54" t="n"/>
      <c r="C93" s="55" t="n"/>
      <c r="D93" s="55" t="n"/>
      <c r="E93" s="53" t="n"/>
      <c r="F93" s="56" t="n"/>
      <c r="G93" s="56" t="n"/>
      <c r="H93" s="56" t="n"/>
      <c r="I93" s="56" t="n"/>
      <c r="J93" s="56" t="n"/>
      <c r="K93" s="56" t="n"/>
      <c r="L93" s="57" t="n"/>
      <c r="M93" s="56" t="n"/>
      <c r="N93" s="55" t="n"/>
      <c r="O93" s="58">
        <f>IFERROR(IF(OR(ISBLANK(G93),ISBLANK(I93)),"",ABS(G93-I93)/VLOOKUP(C93,設定!$B$9:$D$23,2,FALSE)),"")</f>
        <v/>
      </c>
      <c r="P93" s="57">
        <f>IFERROR(IF(OR(ISBLANK(F93),ISBLANK(H93),ISBLANK(J93)),"",ABS(J93-F93)/ABS(F93-H93)),"")</f>
        <v/>
      </c>
      <c r="Q93" s="59">
        <f>IFERROR(IF(OR(ISBLANK(M93),ISBLANK(D93),ISBLANK(G93)),"",IF(D93="Long",(M93-G93),(G93-M93))/VLOOKUP(C93,設定!$B$9:$D$23,2,FALSE)),"")</f>
        <v/>
      </c>
      <c r="R93" s="60">
        <f>IFERROR(IF(OR(ISBLANK(Q93),O93=0),"",Q93/O93),"")</f>
        <v/>
      </c>
      <c r="S93" s="60">
        <f>IFERROR(IF(ISBLANK(R93),S92,IF(ISNUMBER(S92),S92,0)+R93),"")</f>
        <v/>
      </c>
      <c r="T93" s="61">
        <f>IFERROR(IF(OR(ISBLANK(Q93),ISBLANK(L93)),"",Q93*L93*VLOOKUP(C93,設定!$B$9:$D$23,3,FALSE)),"")</f>
        <v/>
      </c>
      <c r="U93" s="55" t="n"/>
      <c r="V93" s="55" t="n"/>
    </row>
    <row r="94">
      <c r="A94" s="44">
        <f>IF(ISBLANK(B94),"",COUNTA($B$18:B94))</f>
        <v/>
      </c>
      <c r="B94" s="45" t="n"/>
      <c r="C94" s="46" t="n"/>
      <c r="D94" s="46" t="n"/>
      <c r="E94" s="44" t="n"/>
      <c r="F94" s="47" t="n"/>
      <c r="G94" s="47" t="n"/>
      <c r="H94" s="47" t="n"/>
      <c r="I94" s="47" t="n"/>
      <c r="J94" s="47" t="n"/>
      <c r="K94" s="47" t="n"/>
      <c r="L94" s="48" t="n"/>
      <c r="M94" s="47" t="n"/>
      <c r="N94" s="46" t="n"/>
      <c r="O94" s="49">
        <f>IFERROR(IF(OR(ISBLANK(G94),ISBLANK(I94)),"",ABS(G94-I94)/VLOOKUP(C94,設定!$B$9:$D$23,2,FALSE)),"")</f>
        <v/>
      </c>
      <c r="P94" s="48">
        <f>IFERROR(IF(OR(ISBLANK(F94),ISBLANK(H94),ISBLANK(J94)),"",ABS(J94-F94)/ABS(F94-H94)),"")</f>
        <v/>
      </c>
      <c r="Q94" s="50">
        <f>IFERROR(IF(OR(ISBLANK(M94),ISBLANK(D94),ISBLANK(G94)),"",IF(D94="Long",(M94-G94),(G94-M94))/VLOOKUP(C94,設定!$B$9:$D$23,2,FALSE)),"")</f>
        <v/>
      </c>
      <c r="R94" s="51">
        <f>IFERROR(IF(OR(ISBLANK(Q94),O94=0),"",Q94/O94),"")</f>
        <v/>
      </c>
      <c r="S94" s="51">
        <f>IFERROR(IF(ISBLANK(R94),S93,IF(ISNUMBER(S93),S93,0)+R94),"")</f>
        <v/>
      </c>
      <c r="T94" s="52">
        <f>IFERROR(IF(OR(ISBLANK(Q94),ISBLANK(L94)),"",Q94*L94*VLOOKUP(C94,設定!$B$9:$D$23,3,FALSE)),"")</f>
        <v/>
      </c>
      <c r="U94" s="46" t="n"/>
      <c r="V94" s="46" t="n"/>
    </row>
    <row r="95">
      <c r="A95" s="53">
        <f>IF(ISBLANK(B95),"",COUNTA($B$18:B95))</f>
        <v/>
      </c>
      <c r="B95" s="54" t="n"/>
      <c r="C95" s="55" t="n"/>
      <c r="D95" s="55" t="n"/>
      <c r="E95" s="53" t="n"/>
      <c r="F95" s="56" t="n"/>
      <c r="G95" s="56" t="n"/>
      <c r="H95" s="56" t="n"/>
      <c r="I95" s="56" t="n"/>
      <c r="J95" s="56" t="n"/>
      <c r="K95" s="56" t="n"/>
      <c r="L95" s="57" t="n"/>
      <c r="M95" s="56" t="n"/>
      <c r="N95" s="55" t="n"/>
      <c r="O95" s="58">
        <f>IFERROR(IF(OR(ISBLANK(G95),ISBLANK(I95)),"",ABS(G95-I95)/VLOOKUP(C95,設定!$B$9:$D$23,2,FALSE)),"")</f>
        <v/>
      </c>
      <c r="P95" s="57">
        <f>IFERROR(IF(OR(ISBLANK(F95),ISBLANK(H95),ISBLANK(J95)),"",ABS(J95-F95)/ABS(F95-H95)),"")</f>
        <v/>
      </c>
      <c r="Q95" s="59">
        <f>IFERROR(IF(OR(ISBLANK(M95),ISBLANK(D95),ISBLANK(G95)),"",IF(D95="Long",(M95-G95),(G95-M95))/VLOOKUP(C95,設定!$B$9:$D$23,2,FALSE)),"")</f>
        <v/>
      </c>
      <c r="R95" s="60">
        <f>IFERROR(IF(OR(ISBLANK(Q95),O95=0),"",Q95/O95),"")</f>
        <v/>
      </c>
      <c r="S95" s="60">
        <f>IFERROR(IF(ISBLANK(R95),S94,IF(ISNUMBER(S94),S94,0)+R95),"")</f>
        <v/>
      </c>
      <c r="T95" s="61">
        <f>IFERROR(IF(OR(ISBLANK(Q95),ISBLANK(L95)),"",Q95*L95*VLOOKUP(C95,設定!$B$9:$D$23,3,FALSE)),"")</f>
        <v/>
      </c>
      <c r="U95" s="55" t="n"/>
      <c r="V95" s="55" t="n"/>
    </row>
    <row r="96">
      <c r="A96" s="44">
        <f>IF(ISBLANK(B96),"",COUNTA($B$18:B96))</f>
        <v/>
      </c>
      <c r="B96" s="45" t="n"/>
      <c r="C96" s="46" t="n"/>
      <c r="D96" s="46" t="n"/>
      <c r="E96" s="44" t="n"/>
      <c r="F96" s="47" t="n"/>
      <c r="G96" s="47" t="n"/>
      <c r="H96" s="47" t="n"/>
      <c r="I96" s="47" t="n"/>
      <c r="J96" s="47" t="n"/>
      <c r="K96" s="47" t="n"/>
      <c r="L96" s="48" t="n"/>
      <c r="M96" s="47" t="n"/>
      <c r="N96" s="46" t="n"/>
      <c r="O96" s="49">
        <f>IFERROR(IF(OR(ISBLANK(G96),ISBLANK(I96)),"",ABS(G96-I96)/VLOOKUP(C96,設定!$B$9:$D$23,2,FALSE)),"")</f>
        <v/>
      </c>
      <c r="P96" s="48">
        <f>IFERROR(IF(OR(ISBLANK(F96),ISBLANK(H96),ISBLANK(J96)),"",ABS(J96-F96)/ABS(F96-H96)),"")</f>
        <v/>
      </c>
      <c r="Q96" s="50">
        <f>IFERROR(IF(OR(ISBLANK(M96),ISBLANK(D96),ISBLANK(G96)),"",IF(D96="Long",(M96-G96),(G96-M96))/VLOOKUP(C96,設定!$B$9:$D$23,2,FALSE)),"")</f>
        <v/>
      </c>
      <c r="R96" s="51">
        <f>IFERROR(IF(OR(ISBLANK(Q96),O96=0),"",Q96/O96),"")</f>
        <v/>
      </c>
      <c r="S96" s="51">
        <f>IFERROR(IF(ISBLANK(R96),S95,IF(ISNUMBER(S95),S95,0)+R96),"")</f>
        <v/>
      </c>
      <c r="T96" s="52">
        <f>IFERROR(IF(OR(ISBLANK(Q96),ISBLANK(L96)),"",Q96*L96*VLOOKUP(C96,設定!$B$9:$D$23,3,FALSE)),"")</f>
        <v/>
      </c>
      <c r="U96" s="46" t="n"/>
      <c r="V96" s="46" t="n"/>
    </row>
    <row r="97">
      <c r="A97" s="53">
        <f>IF(ISBLANK(B97),"",COUNTA($B$18:B97))</f>
        <v/>
      </c>
      <c r="B97" s="54" t="n"/>
      <c r="C97" s="55" t="n"/>
      <c r="D97" s="55" t="n"/>
      <c r="E97" s="53" t="n"/>
      <c r="F97" s="56" t="n"/>
      <c r="G97" s="56" t="n"/>
      <c r="H97" s="56" t="n"/>
      <c r="I97" s="56" t="n"/>
      <c r="J97" s="56" t="n"/>
      <c r="K97" s="56" t="n"/>
      <c r="L97" s="57" t="n"/>
      <c r="M97" s="56" t="n"/>
      <c r="N97" s="55" t="n"/>
      <c r="O97" s="58">
        <f>IFERROR(IF(OR(ISBLANK(G97),ISBLANK(I97)),"",ABS(G97-I97)/VLOOKUP(C97,設定!$B$9:$D$23,2,FALSE)),"")</f>
        <v/>
      </c>
      <c r="P97" s="57">
        <f>IFERROR(IF(OR(ISBLANK(F97),ISBLANK(H97),ISBLANK(J97)),"",ABS(J97-F97)/ABS(F97-H97)),"")</f>
        <v/>
      </c>
      <c r="Q97" s="59">
        <f>IFERROR(IF(OR(ISBLANK(M97),ISBLANK(D97),ISBLANK(G97)),"",IF(D97="Long",(M97-G97),(G97-M97))/VLOOKUP(C97,設定!$B$9:$D$23,2,FALSE)),"")</f>
        <v/>
      </c>
      <c r="R97" s="60">
        <f>IFERROR(IF(OR(ISBLANK(Q97),O97=0),"",Q97/O97),"")</f>
        <v/>
      </c>
      <c r="S97" s="60">
        <f>IFERROR(IF(ISBLANK(R97),S96,IF(ISNUMBER(S96),S96,0)+R97),"")</f>
        <v/>
      </c>
      <c r="T97" s="61">
        <f>IFERROR(IF(OR(ISBLANK(Q97),ISBLANK(L97)),"",Q97*L97*VLOOKUP(C97,設定!$B$9:$D$23,3,FALSE)),"")</f>
        <v/>
      </c>
      <c r="U97" s="55" t="n"/>
      <c r="V97" s="55" t="n"/>
    </row>
    <row r="98">
      <c r="A98" s="44">
        <f>IF(ISBLANK(B98),"",COUNTA($B$18:B98))</f>
        <v/>
      </c>
      <c r="B98" s="45" t="n"/>
      <c r="C98" s="46" t="n"/>
      <c r="D98" s="46" t="n"/>
      <c r="E98" s="44" t="n"/>
      <c r="F98" s="47" t="n"/>
      <c r="G98" s="47" t="n"/>
      <c r="H98" s="47" t="n"/>
      <c r="I98" s="47" t="n"/>
      <c r="J98" s="47" t="n"/>
      <c r="K98" s="47" t="n"/>
      <c r="L98" s="48" t="n"/>
      <c r="M98" s="47" t="n"/>
      <c r="N98" s="46" t="n"/>
      <c r="O98" s="49">
        <f>IFERROR(IF(OR(ISBLANK(G98),ISBLANK(I98)),"",ABS(G98-I98)/VLOOKUP(C98,設定!$B$9:$D$23,2,FALSE)),"")</f>
        <v/>
      </c>
      <c r="P98" s="48">
        <f>IFERROR(IF(OR(ISBLANK(F98),ISBLANK(H98),ISBLANK(J98)),"",ABS(J98-F98)/ABS(F98-H98)),"")</f>
        <v/>
      </c>
      <c r="Q98" s="50">
        <f>IFERROR(IF(OR(ISBLANK(M98),ISBLANK(D98),ISBLANK(G98)),"",IF(D98="Long",(M98-G98),(G98-M98))/VLOOKUP(C98,設定!$B$9:$D$23,2,FALSE)),"")</f>
        <v/>
      </c>
      <c r="R98" s="51">
        <f>IFERROR(IF(OR(ISBLANK(Q98),O98=0),"",Q98/O98),"")</f>
        <v/>
      </c>
      <c r="S98" s="51">
        <f>IFERROR(IF(ISBLANK(R98),S97,IF(ISNUMBER(S97),S97,0)+R98),"")</f>
        <v/>
      </c>
      <c r="T98" s="52">
        <f>IFERROR(IF(OR(ISBLANK(Q98),ISBLANK(L98)),"",Q98*L98*VLOOKUP(C98,設定!$B$9:$D$23,3,FALSE)),"")</f>
        <v/>
      </c>
      <c r="U98" s="46" t="n"/>
      <c r="V98" s="46" t="n"/>
    </row>
    <row r="99">
      <c r="A99" s="53">
        <f>IF(ISBLANK(B99),"",COUNTA($B$18:B99))</f>
        <v/>
      </c>
      <c r="B99" s="54" t="n"/>
      <c r="C99" s="55" t="n"/>
      <c r="D99" s="55" t="n"/>
      <c r="E99" s="53" t="n"/>
      <c r="F99" s="56" t="n"/>
      <c r="G99" s="56" t="n"/>
      <c r="H99" s="56" t="n"/>
      <c r="I99" s="56" t="n"/>
      <c r="J99" s="56" t="n"/>
      <c r="K99" s="56" t="n"/>
      <c r="L99" s="57" t="n"/>
      <c r="M99" s="56" t="n"/>
      <c r="N99" s="55" t="n"/>
      <c r="O99" s="58">
        <f>IFERROR(IF(OR(ISBLANK(G99),ISBLANK(I99)),"",ABS(G99-I99)/VLOOKUP(C99,設定!$B$9:$D$23,2,FALSE)),"")</f>
        <v/>
      </c>
      <c r="P99" s="57">
        <f>IFERROR(IF(OR(ISBLANK(F99),ISBLANK(H99),ISBLANK(J99)),"",ABS(J99-F99)/ABS(F99-H99)),"")</f>
        <v/>
      </c>
      <c r="Q99" s="59">
        <f>IFERROR(IF(OR(ISBLANK(M99),ISBLANK(D99),ISBLANK(G99)),"",IF(D99="Long",(M99-G99),(G99-M99))/VLOOKUP(C99,設定!$B$9:$D$23,2,FALSE)),"")</f>
        <v/>
      </c>
      <c r="R99" s="60">
        <f>IFERROR(IF(OR(ISBLANK(Q99),O99=0),"",Q99/O99),"")</f>
        <v/>
      </c>
      <c r="S99" s="60">
        <f>IFERROR(IF(ISBLANK(R99),S98,IF(ISNUMBER(S98),S98,0)+R99),"")</f>
        <v/>
      </c>
      <c r="T99" s="61">
        <f>IFERROR(IF(OR(ISBLANK(Q99),ISBLANK(L99)),"",Q99*L99*VLOOKUP(C99,設定!$B$9:$D$23,3,FALSE)),"")</f>
        <v/>
      </c>
      <c r="U99" s="55" t="n"/>
      <c r="V99" s="55" t="n"/>
    </row>
    <row r="100">
      <c r="A100" s="44">
        <f>IF(ISBLANK(B100),"",COUNTA($B$18:B100))</f>
        <v/>
      </c>
      <c r="B100" s="45" t="n"/>
      <c r="C100" s="46" t="n"/>
      <c r="D100" s="46" t="n"/>
      <c r="E100" s="44" t="n"/>
      <c r="F100" s="47" t="n"/>
      <c r="G100" s="47" t="n"/>
      <c r="H100" s="47" t="n"/>
      <c r="I100" s="47" t="n"/>
      <c r="J100" s="47" t="n"/>
      <c r="K100" s="47" t="n"/>
      <c r="L100" s="48" t="n"/>
      <c r="M100" s="47" t="n"/>
      <c r="N100" s="46" t="n"/>
      <c r="O100" s="49">
        <f>IFERROR(IF(OR(ISBLANK(G100),ISBLANK(I100)),"",ABS(G100-I100)/VLOOKUP(C100,設定!$B$9:$D$23,2,FALSE)),"")</f>
        <v/>
      </c>
      <c r="P100" s="48">
        <f>IFERROR(IF(OR(ISBLANK(F100),ISBLANK(H100),ISBLANK(J100)),"",ABS(J100-F100)/ABS(F100-H100)),"")</f>
        <v/>
      </c>
      <c r="Q100" s="50">
        <f>IFERROR(IF(OR(ISBLANK(M100),ISBLANK(D100),ISBLANK(G100)),"",IF(D100="Long",(M100-G100),(G100-M100))/VLOOKUP(C100,設定!$B$9:$D$23,2,FALSE)),"")</f>
        <v/>
      </c>
      <c r="R100" s="51">
        <f>IFERROR(IF(OR(ISBLANK(Q100),O100=0),"",Q100/O100),"")</f>
        <v/>
      </c>
      <c r="S100" s="51">
        <f>IFERROR(IF(ISBLANK(R100),S99,IF(ISNUMBER(S99),S99,0)+R100),"")</f>
        <v/>
      </c>
      <c r="T100" s="52">
        <f>IFERROR(IF(OR(ISBLANK(Q100),ISBLANK(L100)),"",Q100*L100*VLOOKUP(C100,設定!$B$9:$D$23,3,FALSE)),"")</f>
        <v/>
      </c>
      <c r="U100" s="46" t="n"/>
      <c r="V100" s="46" t="n"/>
    </row>
    <row r="101">
      <c r="A101" s="53">
        <f>IF(ISBLANK(B101),"",COUNTA($B$18:B101))</f>
        <v/>
      </c>
      <c r="B101" s="54" t="n"/>
      <c r="C101" s="55" t="n"/>
      <c r="D101" s="55" t="n"/>
      <c r="E101" s="53" t="n"/>
      <c r="F101" s="56" t="n"/>
      <c r="G101" s="56" t="n"/>
      <c r="H101" s="56" t="n"/>
      <c r="I101" s="56" t="n"/>
      <c r="J101" s="56" t="n"/>
      <c r="K101" s="56" t="n"/>
      <c r="L101" s="57" t="n"/>
      <c r="M101" s="56" t="n"/>
      <c r="N101" s="55" t="n"/>
      <c r="O101" s="58">
        <f>IFERROR(IF(OR(ISBLANK(G101),ISBLANK(I101)),"",ABS(G101-I101)/VLOOKUP(C101,設定!$B$9:$D$23,2,FALSE)),"")</f>
        <v/>
      </c>
      <c r="P101" s="57">
        <f>IFERROR(IF(OR(ISBLANK(F101),ISBLANK(H101),ISBLANK(J101)),"",ABS(J101-F101)/ABS(F101-H101)),"")</f>
        <v/>
      </c>
      <c r="Q101" s="59">
        <f>IFERROR(IF(OR(ISBLANK(M101),ISBLANK(D101),ISBLANK(G101)),"",IF(D101="Long",(M101-G101),(G101-M101))/VLOOKUP(C101,設定!$B$9:$D$23,2,FALSE)),"")</f>
        <v/>
      </c>
      <c r="R101" s="60">
        <f>IFERROR(IF(OR(ISBLANK(Q101),O101=0),"",Q101/O101),"")</f>
        <v/>
      </c>
      <c r="S101" s="60">
        <f>IFERROR(IF(ISBLANK(R101),S100,IF(ISNUMBER(S100),S100,0)+R101),"")</f>
        <v/>
      </c>
      <c r="T101" s="61">
        <f>IFERROR(IF(OR(ISBLANK(Q101),ISBLANK(L101)),"",Q101*L101*VLOOKUP(C101,設定!$B$9:$D$23,3,FALSE)),"")</f>
        <v/>
      </c>
      <c r="U101" s="55" t="n"/>
      <c r="V101" s="55" t="n"/>
    </row>
    <row r="102">
      <c r="A102" s="44">
        <f>IF(ISBLANK(B102),"",COUNTA($B$18:B102))</f>
        <v/>
      </c>
      <c r="B102" s="45" t="n"/>
      <c r="C102" s="46" t="n"/>
      <c r="D102" s="46" t="n"/>
      <c r="E102" s="44" t="n"/>
      <c r="F102" s="47" t="n"/>
      <c r="G102" s="47" t="n"/>
      <c r="H102" s="47" t="n"/>
      <c r="I102" s="47" t="n"/>
      <c r="J102" s="47" t="n"/>
      <c r="K102" s="47" t="n"/>
      <c r="L102" s="48" t="n"/>
      <c r="M102" s="47" t="n"/>
      <c r="N102" s="46" t="n"/>
      <c r="O102" s="49">
        <f>IFERROR(IF(OR(ISBLANK(G102),ISBLANK(I102)),"",ABS(G102-I102)/VLOOKUP(C102,設定!$B$9:$D$23,2,FALSE)),"")</f>
        <v/>
      </c>
      <c r="P102" s="48">
        <f>IFERROR(IF(OR(ISBLANK(F102),ISBLANK(H102),ISBLANK(J102)),"",ABS(J102-F102)/ABS(F102-H102)),"")</f>
        <v/>
      </c>
      <c r="Q102" s="50">
        <f>IFERROR(IF(OR(ISBLANK(M102),ISBLANK(D102),ISBLANK(G102)),"",IF(D102="Long",(M102-G102),(G102-M102))/VLOOKUP(C102,設定!$B$9:$D$23,2,FALSE)),"")</f>
        <v/>
      </c>
      <c r="R102" s="51">
        <f>IFERROR(IF(OR(ISBLANK(Q102),O102=0),"",Q102/O102),"")</f>
        <v/>
      </c>
      <c r="S102" s="51">
        <f>IFERROR(IF(ISBLANK(R102),S101,IF(ISNUMBER(S101),S101,0)+R102),"")</f>
        <v/>
      </c>
      <c r="T102" s="52">
        <f>IFERROR(IF(OR(ISBLANK(Q102),ISBLANK(L102)),"",Q102*L102*VLOOKUP(C102,設定!$B$9:$D$23,3,FALSE)),"")</f>
        <v/>
      </c>
      <c r="U102" s="46" t="n"/>
      <c r="V102" s="46" t="n"/>
    </row>
    <row r="103">
      <c r="A103" s="53">
        <f>IF(ISBLANK(B103),"",COUNTA($B$18:B103))</f>
        <v/>
      </c>
      <c r="B103" s="54" t="n"/>
      <c r="C103" s="55" t="n"/>
      <c r="D103" s="55" t="n"/>
      <c r="E103" s="53" t="n"/>
      <c r="F103" s="56" t="n"/>
      <c r="G103" s="56" t="n"/>
      <c r="H103" s="56" t="n"/>
      <c r="I103" s="56" t="n"/>
      <c r="J103" s="56" t="n"/>
      <c r="K103" s="56" t="n"/>
      <c r="L103" s="57" t="n"/>
      <c r="M103" s="56" t="n"/>
      <c r="N103" s="55" t="n"/>
      <c r="O103" s="58">
        <f>IFERROR(IF(OR(ISBLANK(G103),ISBLANK(I103)),"",ABS(G103-I103)/VLOOKUP(C103,設定!$B$9:$D$23,2,FALSE)),"")</f>
        <v/>
      </c>
      <c r="P103" s="57">
        <f>IFERROR(IF(OR(ISBLANK(F103),ISBLANK(H103),ISBLANK(J103)),"",ABS(J103-F103)/ABS(F103-H103)),"")</f>
        <v/>
      </c>
      <c r="Q103" s="59">
        <f>IFERROR(IF(OR(ISBLANK(M103),ISBLANK(D103),ISBLANK(G103)),"",IF(D103="Long",(M103-G103),(G103-M103))/VLOOKUP(C103,設定!$B$9:$D$23,2,FALSE)),"")</f>
        <v/>
      </c>
      <c r="R103" s="60">
        <f>IFERROR(IF(OR(ISBLANK(Q103),O103=0),"",Q103/O103),"")</f>
        <v/>
      </c>
      <c r="S103" s="60">
        <f>IFERROR(IF(ISBLANK(R103),S102,IF(ISNUMBER(S102),S102,0)+R103),"")</f>
        <v/>
      </c>
      <c r="T103" s="61">
        <f>IFERROR(IF(OR(ISBLANK(Q103),ISBLANK(L103)),"",Q103*L103*VLOOKUP(C103,設定!$B$9:$D$23,3,FALSE)),"")</f>
        <v/>
      </c>
      <c r="U103" s="55" t="n"/>
      <c r="V103" s="55" t="n"/>
    </row>
    <row r="104">
      <c r="A104" s="44">
        <f>IF(ISBLANK(B104),"",COUNTA($B$18:B104))</f>
        <v/>
      </c>
      <c r="B104" s="45" t="n"/>
      <c r="C104" s="46" t="n"/>
      <c r="D104" s="46" t="n"/>
      <c r="E104" s="44" t="n"/>
      <c r="F104" s="47" t="n"/>
      <c r="G104" s="47" t="n"/>
      <c r="H104" s="47" t="n"/>
      <c r="I104" s="47" t="n"/>
      <c r="J104" s="47" t="n"/>
      <c r="K104" s="47" t="n"/>
      <c r="L104" s="48" t="n"/>
      <c r="M104" s="47" t="n"/>
      <c r="N104" s="46" t="n"/>
      <c r="O104" s="49">
        <f>IFERROR(IF(OR(ISBLANK(G104),ISBLANK(I104)),"",ABS(G104-I104)/VLOOKUP(C104,設定!$B$9:$D$23,2,FALSE)),"")</f>
        <v/>
      </c>
      <c r="P104" s="48">
        <f>IFERROR(IF(OR(ISBLANK(F104),ISBLANK(H104),ISBLANK(J104)),"",ABS(J104-F104)/ABS(F104-H104)),"")</f>
        <v/>
      </c>
      <c r="Q104" s="50">
        <f>IFERROR(IF(OR(ISBLANK(M104),ISBLANK(D104),ISBLANK(G104)),"",IF(D104="Long",(M104-G104),(G104-M104))/VLOOKUP(C104,設定!$B$9:$D$23,2,FALSE)),"")</f>
        <v/>
      </c>
      <c r="R104" s="51">
        <f>IFERROR(IF(OR(ISBLANK(Q104),O104=0),"",Q104/O104),"")</f>
        <v/>
      </c>
      <c r="S104" s="51">
        <f>IFERROR(IF(ISBLANK(R104),S103,IF(ISNUMBER(S103),S103,0)+R104),"")</f>
        <v/>
      </c>
      <c r="T104" s="52">
        <f>IFERROR(IF(OR(ISBLANK(Q104),ISBLANK(L104)),"",Q104*L104*VLOOKUP(C104,設定!$B$9:$D$23,3,FALSE)),"")</f>
        <v/>
      </c>
      <c r="U104" s="46" t="n"/>
      <c r="V104" s="46" t="n"/>
    </row>
    <row r="105">
      <c r="A105" s="53">
        <f>IF(ISBLANK(B105),"",COUNTA($B$18:B105))</f>
        <v/>
      </c>
      <c r="B105" s="54" t="n"/>
      <c r="C105" s="55" t="n"/>
      <c r="D105" s="55" t="n"/>
      <c r="E105" s="53" t="n"/>
      <c r="F105" s="56" t="n"/>
      <c r="G105" s="56" t="n"/>
      <c r="H105" s="56" t="n"/>
      <c r="I105" s="56" t="n"/>
      <c r="J105" s="56" t="n"/>
      <c r="K105" s="56" t="n"/>
      <c r="L105" s="57" t="n"/>
      <c r="M105" s="56" t="n"/>
      <c r="N105" s="55" t="n"/>
      <c r="O105" s="58">
        <f>IFERROR(IF(OR(ISBLANK(G105),ISBLANK(I105)),"",ABS(G105-I105)/VLOOKUP(C105,設定!$B$9:$D$23,2,FALSE)),"")</f>
        <v/>
      </c>
      <c r="P105" s="57">
        <f>IFERROR(IF(OR(ISBLANK(F105),ISBLANK(H105),ISBLANK(J105)),"",ABS(J105-F105)/ABS(F105-H105)),"")</f>
        <v/>
      </c>
      <c r="Q105" s="59">
        <f>IFERROR(IF(OR(ISBLANK(M105),ISBLANK(D105),ISBLANK(G105)),"",IF(D105="Long",(M105-G105),(G105-M105))/VLOOKUP(C105,設定!$B$9:$D$23,2,FALSE)),"")</f>
        <v/>
      </c>
      <c r="R105" s="60">
        <f>IFERROR(IF(OR(ISBLANK(Q105),O105=0),"",Q105/O105),"")</f>
        <v/>
      </c>
      <c r="S105" s="60">
        <f>IFERROR(IF(ISBLANK(R105),S104,IF(ISNUMBER(S104),S104,0)+R105),"")</f>
        <v/>
      </c>
      <c r="T105" s="61">
        <f>IFERROR(IF(OR(ISBLANK(Q105),ISBLANK(L105)),"",Q105*L105*VLOOKUP(C105,設定!$B$9:$D$23,3,FALSE)),"")</f>
        <v/>
      </c>
      <c r="U105" s="55" t="n"/>
      <c r="V105" s="55" t="n"/>
    </row>
    <row r="106">
      <c r="A106" s="44">
        <f>IF(ISBLANK(B106),"",COUNTA($B$18:B106))</f>
        <v/>
      </c>
      <c r="B106" s="45" t="n"/>
      <c r="C106" s="46" t="n"/>
      <c r="D106" s="46" t="n"/>
      <c r="E106" s="44" t="n"/>
      <c r="F106" s="47" t="n"/>
      <c r="G106" s="47" t="n"/>
      <c r="H106" s="47" t="n"/>
      <c r="I106" s="47" t="n"/>
      <c r="J106" s="47" t="n"/>
      <c r="K106" s="47" t="n"/>
      <c r="L106" s="48" t="n"/>
      <c r="M106" s="47" t="n"/>
      <c r="N106" s="46" t="n"/>
      <c r="O106" s="49">
        <f>IFERROR(IF(OR(ISBLANK(G106),ISBLANK(I106)),"",ABS(G106-I106)/VLOOKUP(C106,設定!$B$9:$D$23,2,FALSE)),"")</f>
        <v/>
      </c>
      <c r="P106" s="48">
        <f>IFERROR(IF(OR(ISBLANK(F106),ISBLANK(H106),ISBLANK(J106)),"",ABS(J106-F106)/ABS(F106-H106)),"")</f>
        <v/>
      </c>
      <c r="Q106" s="50">
        <f>IFERROR(IF(OR(ISBLANK(M106),ISBLANK(D106),ISBLANK(G106)),"",IF(D106="Long",(M106-G106),(G106-M106))/VLOOKUP(C106,設定!$B$9:$D$23,2,FALSE)),"")</f>
        <v/>
      </c>
      <c r="R106" s="51">
        <f>IFERROR(IF(OR(ISBLANK(Q106),O106=0),"",Q106/O106),"")</f>
        <v/>
      </c>
      <c r="S106" s="51">
        <f>IFERROR(IF(ISBLANK(R106),S105,IF(ISNUMBER(S105),S105,0)+R106),"")</f>
        <v/>
      </c>
      <c r="T106" s="52">
        <f>IFERROR(IF(OR(ISBLANK(Q106),ISBLANK(L106)),"",Q106*L106*VLOOKUP(C106,設定!$B$9:$D$23,3,FALSE)),"")</f>
        <v/>
      </c>
      <c r="U106" s="46" t="n"/>
      <c r="V106" s="46" t="n"/>
    </row>
    <row r="107">
      <c r="A107" s="53">
        <f>IF(ISBLANK(B107),"",COUNTA($B$18:B107))</f>
        <v/>
      </c>
      <c r="B107" s="54" t="n"/>
      <c r="C107" s="55" t="n"/>
      <c r="D107" s="55" t="n"/>
      <c r="E107" s="53" t="n"/>
      <c r="F107" s="56" t="n"/>
      <c r="G107" s="56" t="n"/>
      <c r="H107" s="56" t="n"/>
      <c r="I107" s="56" t="n"/>
      <c r="J107" s="56" t="n"/>
      <c r="K107" s="56" t="n"/>
      <c r="L107" s="57" t="n"/>
      <c r="M107" s="56" t="n"/>
      <c r="N107" s="55" t="n"/>
      <c r="O107" s="58">
        <f>IFERROR(IF(OR(ISBLANK(G107),ISBLANK(I107)),"",ABS(G107-I107)/VLOOKUP(C107,設定!$B$9:$D$23,2,FALSE)),"")</f>
        <v/>
      </c>
      <c r="P107" s="57">
        <f>IFERROR(IF(OR(ISBLANK(F107),ISBLANK(H107),ISBLANK(J107)),"",ABS(J107-F107)/ABS(F107-H107)),"")</f>
        <v/>
      </c>
      <c r="Q107" s="59">
        <f>IFERROR(IF(OR(ISBLANK(M107),ISBLANK(D107),ISBLANK(G107)),"",IF(D107="Long",(M107-G107),(G107-M107))/VLOOKUP(C107,設定!$B$9:$D$23,2,FALSE)),"")</f>
        <v/>
      </c>
      <c r="R107" s="60">
        <f>IFERROR(IF(OR(ISBLANK(Q107),O107=0),"",Q107/O107),"")</f>
        <v/>
      </c>
      <c r="S107" s="60">
        <f>IFERROR(IF(ISBLANK(R107),S106,IF(ISNUMBER(S106),S106,0)+R107),"")</f>
        <v/>
      </c>
      <c r="T107" s="61">
        <f>IFERROR(IF(OR(ISBLANK(Q107),ISBLANK(L107)),"",Q107*L107*VLOOKUP(C107,設定!$B$9:$D$23,3,FALSE)),"")</f>
        <v/>
      </c>
      <c r="U107" s="55" t="n"/>
      <c r="V107" s="55" t="n"/>
    </row>
    <row r="108">
      <c r="A108" s="44">
        <f>IF(ISBLANK(B108),"",COUNTA($B$18:B108))</f>
        <v/>
      </c>
      <c r="B108" s="45" t="n"/>
      <c r="C108" s="46" t="n"/>
      <c r="D108" s="46" t="n"/>
      <c r="E108" s="44" t="n"/>
      <c r="F108" s="47" t="n"/>
      <c r="G108" s="47" t="n"/>
      <c r="H108" s="47" t="n"/>
      <c r="I108" s="47" t="n"/>
      <c r="J108" s="47" t="n"/>
      <c r="K108" s="47" t="n"/>
      <c r="L108" s="48" t="n"/>
      <c r="M108" s="47" t="n"/>
      <c r="N108" s="46" t="n"/>
      <c r="O108" s="49">
        <f>IFERROR(IF(OR(ISBLANK(G108),ISBLANK(I108)),"",ABS(G108-I108)/VLOOKUP(C108,設定!$B$9:$D$23,2,FALSE)),"")</f>
        <v/>
      </c>
      <c r="P108" s="48">
        <f>IFERROR(IF(OR(ISBLANK(F108),ISBLANK(H108),ISBLANK(J108)),"",ABS(J108-F108)/ABS(F108-H108)),"")</f>
        <v/>
      </c>
      <c r="Q108" s="50">
        <f>IFERROR(IF(OR(ISBLANK(M108),ISBLANK(D108),ISBLANK(G108)),"",IF(D108="Long",(M108-G108),(G108-M108))/VLOOKUP(C108,設定!$B$9:$D$23,2,FALSE)),"")</f>
        <v/>
      </c>
      <c r="R108" s="51">
        <f>IFERROR(IF(OR(ISBLANK(Q108),O108=0),"",Q108/O108),"")</f>
        <v/>
      </c>
      <c r="S108" s="51">
        <f>IFERROR(IF(ISBLANK(R108),S107,IF(ISNUMBER(S107),S107,0)+R108),"")</f>
        <v/>
      </c>
      <c r="T108" s="52">
        <f>IFERROR(IF(OR(ISBLANK(Q108),ISBLANK(L108)),"",Q108*L108*VLOOKUP(C108,設定!$B$9:$D$23,3,FALSE)),"")</f>
        <v/>
      </c>
      <c r="U108" s="46" t="n"/>
      <c r="V108" s="46" t="n"/>
    </row>
    <row r="109">
      <c r="A109" s="53">
        <f>IF(ISBLANK(B109),"",COUNTA($B$18:B109))</f>
        <v/>
      </c>
      <c r="B109" s="54" t="n"/>
      <c r="C109" s="55" t="n"/>
      <c r="D109" s="55" t="n"/>
      <c r="E109" s="53" t="n"/>
      <c r="F109" s="56" t="n"/>
      <c r="G109" s="56" t="n"/>
      <c r="H109" s="56" t="n"/>
      <c r="I109" s="56" t="n"/>
      <c r="J109" s="56" t="n"/>
      <c r="K109" s="56" t="n"/>
      <c r="L109" s="57" t="n"/>
      <c r="M109" s="56" t="n"/>
      <c r="N109" s="55" t="n"/>
      <c r="O109" s="58">
        <f>IFERROR(IF(OR(ISBLANK(G109),ISBLANK(I109)),"",ABS(G109-I109)/VLOOKUP(C109,設定!$B$9:$D$23,2,FALSE)),"")</f>
        <v/>
      </c>
      <c r="P109" s="57">
        <f>IFERROR(IF(OR(ISBLANK(F109),ISBLANK(H109),ISBLANK(J109)),"",ABS(J109-F109)/ABS(F109-H109)),"")</f>
        <v/>
      </c>
      <c r="Q109" s="59">
        <f>IFERROR(IF(OR(ISBLANK(M109),ISBLANK(D109),ISBLANK(G109)),"",IF(D109="Long",(M109-G109),(G109-M109))/VLOOKUP(C109,設定!$B$9:$D$23,2,FALSE)),"")</f>
        <v/>
      </c>
      <c r="R109" s="60">
        <f>IFERROR(IF(OR(ISBLANK(Q109),O109=0),"",Q109/O109),"")</f>
        <v/>
      </c>
      <c r="S109" s="60">
        <f>IFERROR(IF(ISBLANK(R109),S108,IF(ISNUMBER(S108),S108,0)+R109),"")</f>
        <v/>
      </c>
      <c r="T109" s="61">
        <f>IFERROR(IF(OR(ISBLANK(Q109),ISBLANK(L109)),"",Q109*L109*VLOOKUP(C109,設定!$B$9:$D$23,3,FALSE)),"")</f>
        <v/>
      </c>
      <c r="U109" s="55" t="n"/>
      <c r="V109" s="55" t="n"/>
    </row>
    <row r="110">
      <c r="A110" s="44">
        <f>IF(ISBLANK(B110),"",COUNTA($B$18:B110))</f>
        <v/>
      </c>
      <c r="B110" s="45" t="n"/>
      <c r="C110" s="46" t="n"/>
      <c r="D110" s="46" t="n"/>
      <c r="E110" s="44" t="n"/>
      <c r="F110" s="47" t="n"/>
      <c r="G110" s="47" t="n"/>
      <c r="H110" s="47" t="n"/>
      <c r="I110" s="47" t="n"/>
      <c r="J110" s="47" t="n"/>
      <c r="K110" s="47" t="n"/>
      <c r="L110" s="48" t="n"/>
      <c r="M110" s="47" t="n"/>
      <c r="N110" s="46" t="n"/>
      <c r="O110" s="49">
        <f>IFERROR(IF(OR(ISBLANK(G110),ISBLANK(I110)),"",ABS(G110-I110)/VLOOKUP(C110,設定!$B$9:$D$23,2,FALSE)),"")</f>
        <v/>
      </c>
      <c r="P110" s="48">
        <f>IFERROR(IF(OR(ISBLANK(F110),ISBLANK(H110),ISBLANK(J110)),"",ABS(J110-F110)/ABS(F110-H110)),"")</f>
        <v/>
      </c>
      <c r="Q110" s="50">
        <f>IFERROR(IF(OR(ISBLANK(M110),ISBLANK(D110),ISBLANK(G110)),"",IF(D110="Long",(M110-G110),(G110-M110))/VLOOKUP(C110,設定!$B$9:$D$23,2,FALSE)),"")</f>
        <v/>
      </c>
      <c r="R110" s="51">
        <f>IFERROR(IF(OR(ISBLANK(Q110),O110=0),"",Q110/O110),"")</f>
        <v/>
      </c>
      <c r="S110" s="51">
        <f>IFERROR(IF(ISBLANK(R110),S109,IF(ISNUMBER(S109),S109,0)+R110),"")</f>
        <v/>
      </c>
      <c r="T110" s="52">
        <f>IFERROR(IF(OR(ISBLANK(Q110),ISBLANK(L110)),"",Q110*L110*VLOOKUP(C110,設定!$B$9:$D$23,3,FALSE)),"")</f>
        <v/>
      </c>
      <c r="U110" s="46" t="n"/>
      <c r="V110" s="46" t="n"/>
    </row>
    <row r="111">
      <c r="A111" s="53">
        <f>IF(ISBLANK(B111),"",COUNTA($B$18:B111))</f>
        <v/>
      </c>
      <c r="B111" s="54" t="n"/>
      <c r="C111" s="55" t="n"/>
      <c r="D111" s="55" t="n"/>
      <c r="E111" s="53" t="n"/>
      <c r="F111" s="56" t="n"/>
      <c r="G111" s="56" t="n"/>
      <c r="H111" s="56" t="n"/>
      <c r="I111" s="56" t="n"/>
      <c r="J111" s="56" t="n"/>
      <c r="K111" s="56" t="n"/>
      <c r="L111" s="57" t="n"/>
      <c r="M111" s="56" t="n"/>
      <c r="N111" s="55" t="n"/>
      <c r="O111" s="58">
        <f>IFERROR(IF(OR(ISBLANK(G111),ISBLANK(I111)),"",ABS(G111-I111)/VLOOKUP(C111,設定!$B$9:$D$23,2,FALSE)),"")</f>
        <v/>
      </c>
      <c r="P111" s="57">
        <f>IFERROR(IF(OR(ISBLANK(F111),ISBLANK(H111),ISBLANK(J111)),"",ABS(J111-F111)/ABS(F111-H111)),"")</f>
        <v/>
      </c>
      <c r="Q111" s="59">
        <f>IFERROR(IF(OR(ISBLANK(M111),ISBLANK(D111),ISBLANK(G111)),"",IF(D111="Long",(M111-G111),(G111-M111))/VLOOKUP(C111,設定!$B$9:$D$23,2,FALSE)),"")</f>
        <v/>
      </c>
      <c r="R111" s="60">
        <f>IFERROR(IF(OR(ISBLANK(Q111),O111=0),"",Q111/O111),"")</f>
        <v/>
      </c>
      <c r="S111" s="60">
        <f>IFERROR(IF(ISBLANK(R111),S110,IF(ISNUMBER(S110),S110,0)+R111),"")</f>
        <v/>
      </c>
      <c r="T111" s="61">
        <f>IFERROR(IF(OR(ISBLANK(Q111),ISBLANK(L111)),"",Q111*L111*VLOOKUP(C111,設定!$B$9:$D$23,3,FALSE)),"")</f>
        <v/>
      </c>
      <c r="U111" s="55" t="n"/>
      <c r="V111" s="55" t="n"/>
    </row>
    <row r="112">
      <c r="A112" s="44">
        <f>IF(ISBLANK(B112),"",COUNTA($B$18:B112))</f>
        <v/>
      </c>
      <c r="B112" s="45" t="n"/>
      <c r="C112" s="46" t="n"/>
      <c r="D112" s="46" t="n"/>
      <c r="E112" s="44" t="n"/>
      <c r="F112" s="47" t="n"/>
      <c r="G112" s="47" t="n"/>
      <c r="H112" s="47" t="n"/>
      <c r="I112" s="47" t="n"/>
      <c r="J112" s="47" t="n"/>
      <c r="K112" s="47" t="n"/>
      <c r="L112" s="48" t="n"/>
      <c r="M112" s="47" t="n"/>
      <c r="N112" s="46" t="n"/>
      <c r="O112" s="49">
        <f>IFERROR(IF(OR(ISBLANK(G112),ISBLANK(I112)),"",ABS(G112-I112)/VLOOKUP(C112,設定!$B$9:$D$23,2,FALSE)),"")</f>
        <v/>
      </c>
      <c r="P112" s="48">
        <f>IFERROR(IF(OR(ISBLANK(F112),ISBLANK(H112),ISBLANK(J112)),"",ABS(J112-F112)/ABS(F112-H112)),"")</f>
        <v/>
      </c>
      <c r="Q112" s="50">
        <f>IFERROR(IF(OR(ISBLANK(M112),ISBLANK(D112),ISBLANK(G112)),"",IF(D112="Long",(M112-G112),(G112-M112))/VLOOKUP(C112,設定!$B$9:$D$23,2,FALSE)),"")</f>
        <v/>
      </c>
      <c r="R112" s="51">
        <f>IFERROR(IF(OR(ISBLANK(Q112),O112=0),"",Q112/O112),"")</f>
        <v/>
      </c>
      <c r="S112" s="51">
        <f>IFERROR(IF(ISBLANK(R112),S111,IF(ISNUMBER(S111),S111,0)+R112),"")</f>
        <v/>
      </c>
      <c r="T112" s="52">
        <f>IFERROR(IF(OR(ISBLANK(Q112),ISBLANK(L112)),"",Q112*L112*VLOOKUP(C112,設定!$B$9:$D$23,3,FALSE)),"")</f>
        <v/>
      </c>
      <c r="U112" s="46" t="n"/>
      <c r="V112" s="46" t="n"/>
    </row>
    <row r="113">
      <c r="A113" s="53">
        <f>IF(ISBLANK(B113),"",COUNTA($B$18:B113))</f>
        <v/>
      </c>
      <c r="B113" s="54" t="n"/>
      <c r="C113" s="55" t="n"/>
      <c r="D113" s="55" t="n"/>
      <c r="E113" s="53" t="n"/>
      <c r="F113" s="56" t="n"/>
      <c r="G113" s="56" t="n"/>
      <c r="H113" s="56" t="n"/>
      <c r="I113" s="56" t="n"/>
      <c r="J113" s="56" t="n"/>
      <c r="K113" s="56" t="n"/>
      <c r="L113" s="57" t="n"/>
      <c r="M113" s="56" t="n"/>
      <c r="N113" s="55" t="n"/>
      <c r="O113" s="58">
        <f>IFERROR(IF(OR(ISBLANK(G113),ISBLANK(I113)),"",ABS(G113-I113)/VLOOKUP(C113,設定!$B$9:$D$23,2,FALSE)),"")</f>
        <v/>
      </c>
      <c r="P113" s="57">
        <f>IFERROR(IF(OR(ISBLANK(F113),ISBLANK(H113),ISBLANK(J113)),"",ABS(J113-F113)/ABS(F113-H113)),"")</f>
        <v/>
      </c>
      <c r="Q113" s="59">
        <f>IFERROR(IF(OR(ISBLANK(M113),ISBLANK(D113),ISBLANK(G113)),"",IF(D113="Long",(M113-G113),(G113-M113))/VLOOKUP(C113,設定!$B$9:$D$23,2,FALSE)),"")</f>
        <v/>
      </c>
      <c r="R113" s="60">
        <f>IFERROR(IF(OR(ISBLANK(Q113),O113=0),"",Q113/O113),"")</f>
        <v/>
      </c>
      <c r="S113" s="60">
        <f>IFERROR(IF(ISBLANK(R113),S112,IF(ISNUMBER(S112),S112,0)+R113),"")</f>
        <v/>
      </c>
      <c r="T113" s="61">
        <f>IFERROR(IF(OR(ISBLANK(Q113),ISBLANK(L113)),"",Q113*L113*VLOOKUP(C113,設定!$B$9:$D$23,3,FALSE)),"")</f>
        <v/>
      </c>
      <c r="U113" s="55" t="n"/>
      <c r="V113" s="55" t="n"/>
    </row>
    <row r="114">
      <c r="A114" s="44">
        <f>IF(ISBLANK(B114),"",COUNTA($B$18:B114))</f>
        <v/>
      </c>
      <c r="B114" s="45" t="n"/>
      <c r="C114" s="46" t="n"/>
      <c r="D114" s="46" t="n"/>
      <c r="E114" s="44" t="n"/>
      <c r="F114" s="47" t="n"/>
      <c r="G114" s="47" t="n"/>
      <c r="H114" s="47" t="n"/>
      <c r="I114" s="47" t="n"/>
      <c r="J114" s="47" t="n"/>
      <c r="K114" s="47" t="n"/>
      <c r="L114" s="48" t="n"/>
      <c r="M114" s="47" t="n"/>
      <c r="N114" s="46" t="n"/>
      <c r="O114" s="49">
        <f>IFERROR(IF(OR(ISBLANK(G114),ISBLANK(I114)),"",ABS(G114-I114)/VLOOKUP(C114,設定!$B$9:$D$23,2,FALSE)),"")</f>
        <v/>
      </c>
      <c r="P114" s="48">
        <f>IFERROR(IF(OR(ISBLANK(F114),ISBLANK(H114),ISBLANK(J114)),"",ABS(J114-F114)/ABS(F114-H114)),"")</f>
        <v/>
      </c>
      <c r="Q114" s="50">
        <f>IFERROR(IF(OR(ISBLANK(M114),ISBLANK(D114),ISBLANK(G114)),"",IF(D114="Long",(M114-G114),(G114-M114))/VLOOKUP(C114,設定!$B$9:$D$23,2,FALSE)),"")</f>
        <v/>
      </c>
      <c r="R114" s="51">
        <f>IFERROR(IF(OR(ISBLANK(Q114),O114=0),"",Q114/O114),"")</f>
        <v/>
      </c>
      <c r="S114" s="51">
        <f>IFERROR(IF(ISBLANK(R114),S113,IF(ISNUMBER(S113),S113,0)+R114),"")</f>
        <v/>
      </c>
      <c r="T114" s="52">
        <f>IFERROR(IF(OR(ISBLANK(Q114),ISBLANK(L114)),"",Q114*L114*VLOOKUP(C114,設定!$B$9:$D$23,3,FALSE)),"")</f>
        <v/>
      </c>
      <c r="U114" s="46" t="n"/>
      <c r="V114" s="46" t="n"/>
    </row>
    <row r="115">
      <c r="A115" s="53">
        <f>IF(ISBLANK(B115),"",COUNTA($B$18:B115))</f>
        <v/>
      </c>
      <c r="B115" s="54" t="n"/>
      <c r="C115" s="55" t="n"/>
      <c r="D115" s="55" t="n"/>
      <c r="E115" s="53" t="n"/>
      <c r="F115" s="56" t="n"/>
      <c r="G115" s="56" t="n"/>
      <c r="H115" s="56" t="n"/>
      <c r="I115" s="56" t="n"/>
      <c r="J115" s="56" t="n"/>
      <c r="K115" s="56" t="n"/>
      <c r="L115" s="57" t="n"/>
      <c r="M115" s="56" t="n"/>
      <c r="N115" s="55" t="n"/>
      <c r="O115" s="58">
        <f>IFERROR(IF(OR(ISBLANK(G115),ISBLANK(I115)),"",ABS(G115-I115)/VLOOKUP(C115,設定!$B$9:$D$23,2,FALSE)),"")</f>
        <v/>
      </c>
      <c r="P115" s="57">
        <f>IFERROR(IF(OR(ISBLANK(F115),ISBLANK(H115),ISBLANK(J115)),"",ABS(J115-F115)/ABS(F115-H115)),"")</f>
        <v/>
      </c>
      <c r="Q115" s="59">
        <f>IFERROR(IF(OR(ISBLANK(M115),ISBLANK(D115),ISBLANK(G115)),"",IF(D115="Long",(M115-G115),(G115-M115))/VLOOKUP(C115,設定!$B$9:$D$23,2,FALSE)),"")</f>
        <v/>
      </c>
      <c r="R115" s="60">
        <f>IFERROR(IF(OR(ISBLANK(Q115),O115=0),"",Q115/O115),"")</f>
        <v/>
      </c>
      <c r="S115" s="60">
        <f>IFERROR(IF(ISBLANK(R115),S114,IF(ISNUMBER(S114),S114,0)+R115),"")</f>
        <v/>
      </c>
      <c r="T115" s="61">
        <f>IFERROR(IF(OR(ISBLANK(Q115),ISBLANK(L115)),"",Q115*L115*VLOOKUP(C115,設定!$B$9:$D$23,3,FALSE)),"")</f>
        <v/>
      </c>
      <c r="U115" s="55" t="n"/>
      <c r="V115" s="55" t="n"/>
    </row>
    <row r="116">
      <c r="A116" s="44">
        <f>IF(ISBLANK(B116),"",COUNTA($B$18:B116))</f>
        <v/>
      </c>
      <c r="B116" s="45" t="n"/>
      <c r="C116" s="46" t="n"/>
      <c r="D116" s="46" t="n"/>
      <c r="E116" s="44" t="n"/>
      <c r="F116" s="47" t="n"/>
      <c r="G116" s="47" t="n"/>
      <c r="H116" s="47" t="n"/>
      <c r="I116" s="47" t="n"/>
      <c r="J116" s="47" t="n"/>
      <c r="K116" s="47" t="n"/>
      <c r="L116" s="48" t="n"/>
      <c r="M116" s="47" t="n"/>
      <c r="N116" s="46" t="n"/>
      <c r="O116" s="49">
        <f>IFERROR(IF(OR(ISBLANK(G116),ISBLANK(I116)),"",ABS(G116-I116)/VLOOKUP(C116,設定!$B$9:$D$23,2,FALSE)),"")</f>
        <v/>
      </c>
      <c r="P116" s="48">
        <f>IFERROR(IF(OR(ISBLANK(F116),ISBLANK(H116),ISBLANK(J116)),"",ABS(J116-F116)/ABS(F116-H116)),"")</f>
        <v/>
      </c>
      <c r="Q116" s="50">
        <f>IFERROR(IF(OR(ISBLANK(M116),ISBLANK(D116),ISBLANK(G116)),"",IF(D116="Long",(M116-G116),(G116-M116))/VLOOKUP(C116,設定!$B$9:$D$23,2,FALSE)),"")</f>
        <v/>
      </c>
      <c r="R116" s="51">
        <f>IFERROR(IF(OR(ISBLANK(Q116),O116=0),"",Q116/O116),"")</f>
        <v/>
      </c>
      <c r="S116" s="51">
        <f>IFERROR(IF(ISBLANK(R116),S115,IF(ISNUMBER(S115),S115,0)+R116),"")</f>
        <v/>
      </c>
      <c r="T116" s="52">
        <f>IFERROR(IF(OR(ISBLANK(Q116),ISBLANK(L116)),"",Q116*L116*VLOOKUP(C116,設定!$B$9:$D$23,3,FALSE)),"")</f>
        <v/>
      </c>
      <c r="U116" s="46" t="n"/>
      <c r="V116" s="46" t="n"/>
    </row>
    <row r="117">
      <c r="A117" s="53">
        <f>IF(ISBLANK(B117),"",COUNTA($B$18:B117))</f>
        <v/>
      </c>
      <c r="B117" s="54" t="n"/>
      <c r="C117" s="55" t="n"/>
      <c r="D117" s="55" t="n"/>
      <c r="E117" s="53" t="n"/>
      <c r="F117" s="56" t="n"/>
      <c r="G117" s="56" t="n"/>
      <c r="H117" s="56" t="n"/>
      <c r="I117" s="56" t="n"/>
      <c r="J117" s="56" t="n"/>
      <c r="K117" s="56" t="n"/>
      <c r="L117" s="57" t="n"/>
      <c r="M117" s="56" t="n"/>
      <c r="N117" s="55" t="n"/>
      <c r="O117" s="58">
        <f>IFERROR(IF(OR(ISBLANK(G117),ISBLANK(I117)),"",ABS(G117-I117)/VLOOKUP(C117,設定!$B$9:$D$23,2,FALSE)),"")</f>
        <v/>
      </c>
      <c r="P117" s="57">
        <f>IFERROR(IF(OR(ISBLANK(F117),ISBLANK(H117),ISBLANK(J117)),"",ABS(J117-F117)/ABS(F117-H117)),"")</f>
        <v/>
      </c>
      <c r="Q117" s="59">
        <f>IFERROR(IF(OR(ISBLANK(M117),ISBLANK(D117),ISBLANK(G117)),"",IF(D117="Long",(M117-G117),(G117-M117))/VLOOKUP(C117,設定!$B$9:$D$23,2,FALSE)),"")</f>
        <v/>
      </c>
      <c r="R117" s="60">
        <f>IFERROR(IF(OR(ISBLANK(Q117),O117=0),"",Q117/O117),"")</f>
        <v/>
      </c>
      <c r="S117" s="60">
        <f>IFERROR(IF(ISBLANK(R117),S116,IF(ISNUMBER(S116),S116,0)+R117),"")</f>
        <v/>
      </c>
      <c r="T117" s="61">
        <f>IFERROR(IF(OR(ISBLANK(Q117),ISBLANK(L117)),"",Q117*L117*VLOOKUP(C117,設定!$B$9:$D$23,3,FALSE)),"")</f>
        <v/>
      </c>
      <c r="U117" s="55" t="n"/>
      <c r="V117" s="55" t="n"/>
    </row>
    <row r="118">
      <c r="A118" s="44">
        <f>IF(ISBLANK(B118),"",COUNTA($B$18:B118))</f>
        <v/>
      </c>
      <c r="B118" s="45" t="n"/>
      <c r="C118" s="46" t="n"/>
      <c r="D118" s="46" t="n"/>
      <c r="E118" s="44" t="n"/>
      <c r="F118" s="47" t="n"/>
      <c r="G118" s="47" t="n"/>
      <c r="H118" s="47" t="n"/>
      <c r="I118" s="47" t="n"/>
      <c r="J118" s="47" t="n"/>
      <c r="K118" s="47" t="n"/>
      <c r="L118" s="48" t="n"/>
      <c r="M118" s="47" t="n"/>
      <c r="N118" s="46" t="n"/>
      <c r="O118" s="49">
        <f>IFERROR(IF(OR(ISBLANK(G118),ISBLANK(I118)),"",ABS(G118-I118)/VLOOKUP(C118,設定!$B$9:$D$23,2,FALSE)),"")</f>
        <v/>
      </c>
      <c r="P118" s="48">
        <f>IFERROR(IF(OR(ISBLANK(F118),ISBLANK(H118),ISBLANK(J118)),"",ABS(J118-F118)/ABS(F118-H118)),"")</f>
        <v/>
      </c>
      <c r="Q118" s="50">
        <f>IFERROR(IF(OR(ISBLANK(M118),ISBLANK(D118),ISBLANK(G118)),"",IF(D118="Long",(M118-G118),(G118-M118))/VLOOKUP(C118,設定!$B$9:$D$23,2,FALSE)),"")</f>
        <v/>
      </c>
      <c r="R118" s="51">
        <f>IFERROR(IF(OR(ISBLANK(Q118),O118=0),"",Q118/O118),"")</f>
        <v/>
      </c>
      <c r="S118" s="51">
        <f>IFERROR(IF(ISBLANK(R118),S117,IF(ISNUMBER(S117),S117,0)+R118),"")</f>
        <v/>
      </c>
      <c r="T118" s="52">
        <f>IFERROR(IF(OR(ISBLANK(Q118),ISBLANK(L118)),"",Q118*L118*VLOOKUP(C118,設定!$B$9:$D$23,3,FALSE)),"")</f>
        <v/>
      </c>
      <c r="U118" s="46" t="n"/>
      <c r="V118" s="46" t="n"/>
    </row>
    <row r="119">
      <c r="A119" s="53">
        <f>IF(ISBLANK(B119),"",COUNTA($B$18:B119))</f>
        <v/>
      </c>
      <c r="B119" s="54" t="n"/>
      <c r="C119" s="55" t="n"/>
      <c r="D119" s="55" t="n"/>
      <c r="E119" s="53" t="n"/>
      <c r="F119" s="56" t="n"/>
      <c r="G119" s="56" t="n"/>
      <c r="H119" s="56" t="n"/>
      <c r="I119" s="56" t="n"/>
      <c r="J119" s="56" t="n"/>
      <c r="K119" s="56" t="n"/>
      <c r="L119" s="57" t="n"/>
      <c r="M119" s="56" t="n"/>
      <c r="N119" s="55" t="n"/>
      <c r="O119" s="58">
        <f>IFERROR(IF(OR(ISBLANK(G119),ISBLANK(I119)),"",ABS(G119-I119)/VLOOKUP(C119,設定!$B$9:$D$23,2,FALSE)),"")</f>
        <v/>
      </c>
      <c r="P119" s="57">
        <f>IFERROR(IF(OR(ISBLANK(F119),ISBLANK(H119),ISBLANK(J119)),"",ABS(J119-F119)/ABS(F119-H119)),"")</f>
        <v/>
      </c>
      <c r="Q119" s="59">
        <f>IFERROR(IF(OR(ISBLANK(M119),ISBLANK(D119),ISBLANK(G119)),"",IF(D119="Long",(M119-G119),(G119-M119))/VLOOKUP(C119,設定!$B$9:$D$23,2,FALSE)),"")</f>
        <v/>
      </c>
      <c r="R119" s="60">
        <f>IFERROR(IF(OR(ISBLANK(Q119),O119=0),"",Q119/O119),"")</f>
        <v/>
      </c>
      <c r="S119" s="60">
        <f>IFERROR(IF(ISBLANK(R119),S118,IF(ISNUMBER(S118),S118,0)+R119),"")</f>
        <v/>
      </c>
      <c r="T119" s="61">
        <f>IFERROR(IF(OR(ISBLANK(Q119),ISBLANK(L119)),"",Q119*L119*VLOOKUP(C119,設定!$B$9:$D$23,3,FALSE)),"")</f>
        <v/>
      </c>
      <c r="U119" s="55" t="n"/>
      <c r="V119" s="55" t="n"/>
    </row>
    <row r="120">
      <c r="A120" s="44">
        <f>IF(ISBLANK(B120),"",COUNTA($B$18:B120))</f>
        <v/>
      </c>
      <c r="B120" s="45" t="n"/>
      <c r="C120" s="46" t="n"/>
      <c r="D120" s="46" t="n"/>
      <c r="E120" s="44" t="n"/>
      <c r="F120" s="47" t="n"/>
      <c r="G120" s="47" t="n"/>
      <c r="H120" s="47" t="n"/>
      <c r="I120" s="47" t="n"/>
      <c r="J120" s="47" t="n"/>
      <c r="K120" s="47" t="n"/>
      <c r="L120" s="48" t="n"/>
      <c r="M120" s="47" t="n"/>
      <c r="N120" s="46" t="n"/>
      <c r="O120" s="49">
        <f>IFERROR(IF(OR(ISBLANK(G120),ISBLANK(I120)),"",ABS(G120-I120)/VLOOKUP(C120,設定!$B$9:$D$23,2,FALSE)),"")</f>
        <v/>
      </c>
      <c r="P120" s="48">
        <f>IFERROR(IF(OR(ISBLANK(F120),ISBLANK(H120),ISBLANK(J120)),"",ABS(J120-F120)/ABS(F120-H120)),"")</f>
        <v/>
      </c>
      <c r="Q120" s="50">
        <f>IFERROR(IF(OR(ISBLANK(M120),ISBLANK(D120),ISBLANK(G120)),"",IF(D120="Long",(M120-G120),(G120-M120))/VLOOKUP(C120,設定!$B$9:$D$23,2,FALSE)),"")</f>
        <v/>
      </c>
      <c r="R120" s="51">
        <f>IFERROR(IF(OR(ISBLANK(Q120),O120=0),"",Q120/O120),"")</f>
        <v/>
      </c>
      <c r="S120" s="51">
        <f>IFERROR(IF(ISBLANK(R120),S119,IF(ISNUMBER(S119),S119,0)+R120),"")</f>
        <v/>
      </c>
      <c r="T120" s="52">
        <f>IFERROR(IF(OR(ISBLANK(Q120),ISBLANK(L120)),"",Q120*L120*VLOOKUP(C120,設定!$B$9:$D$23,3,FALSE)),"")</f>
        <v/>
      </c>
      <c r="U120" s="46" t="n"/>
      <c r="V120" s="46" t="n"/>
    </row>
    <row r="121">
      <c r="A121" s="53">
        <f>IF(ISBLANK(B121),"",COUNTA($B$18:B121))</f>
        <v/>
      </c>
      <c r="B121" s="54" t="n"/>
      <c r="C121" s="55" t="n"/>
      <c r="D121" s="55" t="n"/>
      <c r="E121" s="53" t="n"/>
      <c r="F121" s="56" t="n"/>
      <c r="G121" s="56" t="n"/>
      <c r="H121" s="56" t="n"/>
      <c r="I121" s="56" t="n"/>
      <c r="J121" s="56" t="n"/>
      <c r="K121" s="56" t="n"/>
      <c r="L121" s="57" t="n"/>
      <c r="M121" s="56" t="n"/>
      <c r="N121" s="55" t="n"/>
      <c r="O121" s="58">
        <f>IFERROR(IF(OR(ISBLANK(G121),ISBLANK(I121)),"",ABS(G121-I121)/VLOOKUP(C121,設定!$B$9:$D$23,2,FALSE)),"")</f>
        <v/>
      </c>
      <c r="P121" s="57">
        <f>IFERROR(IF(OR(ISBLANK(F121),ISBLANK(H121),ISBLANK(J121)),"",ABS(J121-F121)/ABS(F121-H121)),"")</f>
        <v/>
      </c>
      <c r="Q121" s="59">
        <f>IFERROR(IF(OR(ISBLANK(M121),ISBLANK(D121),ISBLANK(G121)),"",IF(D121="Long",(M121-G121),(G121-M121))/VLOOKUP(C121,設定!$B$9:$D$23,2,FALSE)),"")</f>
        <v/>
      </c>
      <c r="R121" s="60">
        <f>IFERROR(IF(OR(ISBLANK(Q121),O121=0),"",Q121/O121),"")</f>
        <v/>
      </c>
      <c r="S121" s="60">
        <f>IFERROR(IF(ISBLANK(R121),S120,IF(ISNUMBER(S120),S120,0)+R121),"")</f>
        <v/>
      </c>
      <c r="T121" s="61">
        <f>IFERROR(IF(OR(ISBLANK(Q121),ISBLANK(L121)),"",Q121*L121*VLOOKUP(C121,設定!$B$9:$D$23,3,FALSE)),"")</f>
        <v/>
      </c>
      <c r="U121" s="55" t="n"/>
      <c r="V121" s="55" t="n"/>
    </row>
    <row r="122">
      <c r="A122" s="44">
        <f>IF(ISBLANK(B122),"",COUNTA($B$18:B122))</f>
        <v/>
      </c>
      <c r="B122" s="45" t="n"/>
      <c r="C122" s="46" t="n"/>
      <c r="D122" s="46" t="n"/>
      <c r="E122" s="44" t="n"/>
      <c r="F122" s="47" t="n"/>
      <c r="G122" s="47" t="n"/>
      <c r="H122" s="47" t="n"/>
      <c r="I122" s="47" t="n"/>
      <c r="J122" s="47" t="n"/>
      <c r="K122" s="47" t="n"/>
      <c r="L122" s="48" t="n"/>
      <c r="M122" s="47" t="n"/>
      <c r="N122" s="46" t="n"/>
      <c r="O122" s="49">
        <f>IFERROR(IF(OR(ISBLANK(G122),ISBLANK(I122)),"",ABS(G122-I122)/VLOOKUP(C122,設定!$B$9:$D$23,2,FALSE)),"")</f>
        <v/>
      </c>
      <c r="P122" s="48">
        <f>IFERROR(IF(OR(ISBLANK(F122),ISBLANK(H122),ISBLANK(J122)),"",ABS(J122-F122)/ABS(F122-H122)),"")</f>
        <v/>
      </c>
      <c r="Q122" s="50">
        <f>IFERROR(IF(OR(ISBLANK(M122),ISBLANK(D122),ISBLANK(G122)),"",IF(D122="Long",(M122-G122),(G122-M122))/VLOOKUP(C122,設定!$B$9:$D$23,2,FALSE)),"")</f>
        <v/>
      </c>
      <c r="R122" s="51">
        <f>IFERROR(IF(OR(ISBLANK(Q122),O122=0),"",Q122/O122),"")</f>
        <v/>
      </c>
      <c r="S122" s="51">
        <f>IFERROR(IF(ISBLANK(R122),S121,IF(ISNUMBER(S121),S121,0)+R122),"")</f>
        <v/>
      </c>
      <c r="T122" s="52">
        <f>IFERROR(IF(OR(ISBLANK(Q122),ISBLANK(L122)),"",Q122*L122*VLOOKUP(C122,設定!$B$9:$D$23,3,FALSE)),"")</f>
        <v/>
      </c>
      <c r="U122" s="46" t="n"/>
      <c r="V122" s="46" t="n"/>
    </row>
    <row r="123">
      <c r="A123" s="53">
        <f>IF(ISBLANK(B123),"",COUNTA($B$18:B123))</f>
        <v/>
      </c>
      <c r="B123" s="54" t="n"/>
      <c r="C123" s="55" t="n"/>
      <c r="D123" s="55" t="n"/>
      <c r="E123" s="53" t="n"/>
      <c r="F123" s="56" t="n"/>
      <c r="G123" s="56" t="n"/>
      <c r="H123" s="56" t="n"/>
      <c r="I123" s="56" t="n"/>
      <c r="J123" s="56" t="n"/>
      <c r="K123" s="56" t="n"/>
      <c r="L123" s="57" t="n"/>
      <c r="M123" s="56" t="n"/>
      <c r="N123" s="55" t="n"/>
      <c r="O123" s="58">
        <f>IFERROR(IF(OR(ISBLANK(G123),ISBLANK(I123)),"",ABS(G123-I123)/VLOOKUP(C123,設定!$B$9:$D$23,2,FALSE)),"")</f>
        <v/>
      </c>
      <c r="P123" s="57">
        <f>IFERROR(IF(OR(ISBLANK(F123),ISBLANK(H123),ISBLANK(J123)),"",ABS(J123-F123)/ABS(F123-H123)),"")</f>
        <v/>
      </c>
      <c r="Q123" s="59">
        <f>IFERROR(IF(OR(ISBLANK(M123),ISBLANK(D123),ISBLANK(G123)),"",IF(D123="Long",(M123-G123),(G123-M123))/VLOOKUP(C123,設定!$B$9:$D$23,2,FALSE)),"")</f>
        <v/>
      </c>
      <c r="R123" s="60">
        <f>IFERROR(IF(OR(ISBLANK(Q123),O123=0),"",Q123/O123),"")</f>
        <v/>
      </c>
      <c r="S123" s="60">
        <f>IFERROR(IF(ISBLANK(R123),S122,IF(ISNUMBER(S122),S122,0)+R123),"")</f>
        <v/>
      </c>
      <c r="T123" s="61">
        <f>IFERROR(IF(OR(ISBLANK(Q123),ISBLANK(L123)),"",Q123*L123*VLOOKUP(C123,設定!$B$9:$D$23,3,FALSE)),"")</f>
        <v/>
      </c>
      <c r="U123" s="55" t="n"/>
      <c r="V123" s="55" t="n"/>
    </row>
    <row r="124">
      <c r="A124" s="44">
        <f>IF(ISBLANK(B124),"",COUNTA($B$18:B124))</f>
        <v/>
      </c>
      <c r="B124" s="45" t="n"/>
      <c r="C124" s="46" t="n"/>
      <c r="D124" s="46" t="n"/>
      <c r="E124" s="44" t="n"/>
      <c r="F124" s="47" t="n"/>
      <c r="G124" s="47" t="n"/>
      <c r="H124" s="47" t="n"/>
      <c r="I124" s="47" t="n"/>
      <c r="J124" s="47" t="n"/>
      <c r="K124" s="47" t="n"/>
      <c r="L124" s="48" t="n"/>
      <c r="M124" s="47" t="n"/>
      <c r="N124" s="46" t="n"/>
      <c r="O124" s="49">
        <f>IFERROR(IF(OR(ISBLANK(G124),ISBLANK(I124)),"",ABS(G124-I124)/VLOOKUP(C124,設定!$B$9:$D$23,2,FALSE)),"")</f>
        <v/>
      </c>
      <c r="P124" s="48">
        <f>IFERROR(IF(OR(ISBLANK(F124),ISBLANK(H124),ISBLANK(J124)),"",ABS(J124-F124)/ABS(F124-H124)),"")</f>
        <v/>
      </c>
      <c r="Q124" s="50">
        <f>IFERROR(IF(OR(ISBLANK(M124),ISBLANK(D124),ISBLANK(G124)),"",IF(D124="Long",(M124-G124),(G124-M124))/VLOOKUP(C124,設定!$B$9:$D$23,2,FALSE)),"")</f>
        <v/>
      </c>
      <c r="R124" s="51">
        <f>IFERROR(IF(OR(ISBLANK(Q124),O124=0),"",Q124/O124),"")</f>
        <v/>
      </c>
      <c r="S124" s="51">
        <f>IFERROR(IF(ISBLANK(R124),S123,IF(ISNUMBER(S123),S123,0)+R124),"")</f>
        <v/>
      </c>
      <c r="T124" s="52">
        <f>IFERROR(IF(OR(ISBLANK(Q124),ISBLANK(L124)),"",Q124*L124*VLOOKUP(C124,設定!$B$9:$D$23,3,FALSE)),"")</f>
        <v/>
      </c>
      <c r="U124" s="46" t="n"/>
      <c r="V124" s="46" t="n"/>
    </row>
    <row r="125">
      <c r="A125" s="53">
        <f>IF(ISBLANK(B125),"",COUNTA($B$18:B125))</f>
        <v/>
      </c>
      <c r="B125" s="54" t="n"/>
      <c r="C125" s="55" t="n"/>
      <c r="D125" s="55" t="n"/>
      <c r="E125" s="53" t="n"/>
      <c r="F125" s="56" t="n"/>
      <c r="G125" s="56" t="n"/>
      <c r="H125" s="56" t="n"/>
      <c r="I125" s="56" t="n"/>
      <c r="J125" s="56" t="n"/>
      <c r="K125" s="56" t="n"/>
      <c r="L125" s="57" t="n"/>
      <c r="M125" s="56" t="n"/>
      <c r="N125" s="55" t="n"/>
      <c r="O125" s="58">
        <f>IFERROR(IF(OR(ISBLANK(G125),ISBLANK(I125)),"",ABS(G125-I125)/VLOOKUP(C125,設定!$B$9:$D$23,2,FALSE)),"")</f>
        <v/>
      </c>
      <c r="P125" s="57">
        <f>IFERROR(IF(OR(ISBLANK(F125),ISBLANK(H125),ISBLANK(J125)),"",ABS(J125-F125)/ABS(F125-H125)),"")</f>
        <v/>
      </c>
      <c r="Q125" s="59">
        <f>IFERROR(IF(OR(ISBLANK(M125),ISBLANK(D125),ISBLANK(G125)),"",IF(D125="Long",(M125-G125),(G125-M125))/VLOOKUP(C125,設定!$B$9:$D$23,2,FALSE)),"")</f>
        <v/>
      </c>
      <c r="R125" s="60">
        <f>IFERROR(IF(OR(ISBLANK(Q125),O125=0),"",Q125/O125),"")</f>
        <v/>
      </c>
      <c r="S125" s="60">
        <f>IFERROR(IF(ISBLANK(R125),S124,IF(ISNUMBER(S124),S124,0)+R125),"")</f>
        <v/>
      </c>
      <c r="T125" s="61">
        <f>IFERROR(IF(OR(ISBLANK(Q125),ISBLANK(L125)),"",Q125*L125*VLOOKUP(C125,設定!$B$9:$D$23,3,FALSE)),"")</f>
        <v/>
      </c>
      <c r="U125" s="55" t="n"/>
      <c r="V125" s="55" t="n"/>
    </row>
    <row r="126">
      <c r="A126" s="44">
        <f>IF(ISBLANK(B126),"",COUNTA($B$18:B126))</f>
        <v/>
      </c>
      <c r="B126" s="45" t="n"/>
      <c r="C126" s="46" t="n"/>
      <c r="D126" s="46" t="n"/>
      <c r="E126" s="44" t="n"/>
      <c r="F126" s="47" t="n"/>
      <c r="G126" s="47" t="n"/>
      <c r="H126" s="47" t="n"/>
      <c r="I126" s="47" t="n"/>
      <c r="J126" s="47" t="n"/>
      <c r="K126" s="47" t="n"/>
      <c r="L126" s="48" t="n"/>
      <c r="M126" s="47" t="n"/>
      <c r="N126" s="46" t="n"/>
      <c r="O126" s="49">
        <f>IFERROR(IF(OR(ISBLANK(G126),ISBLANK(I126)),"",ABS(G126-I126)/VLOOKUP(C126,設定!$B$9:$D$23,2,FALSE)),"")</f>
        <v/>
      </c>
      <c r="P126" s="48">
        <f>IFERROR(IF(OR(ISBLANK(F126),ISBLANK(H126),ISBLANK(J126)),"",ABS(J126-F126)/ABS(F126-H126)),"")</f>
        <v/>
      </c>
      <c r="Q126" s="50">
        <f>IFERROR(IF(OR(ISBLANK(M126),ISBLANK(D126),ISBLANK(G126)),"",IF(D126="Long",(M126-G126),(G126-M126))/VLOOKUP(C126,設定!$B$9:$D$23,2,FALSE)),"")</f>
        <v/>
      </c>
      <c r="R126" s="51">
        <f>IFERROR(IF(OR(ISBLANK(Q126),O126=0),"",Q126/O126),"")</f>
        <v/>
      </c>
      <c r="S126" s="51">
        <f>IFERROR(IF(ISBLANK(R126),S125,IF(ISNUMBER(S125),S125,0)+R126),"")</f>
        <v/>
      </c>
      <c r="T126" s="52">
        <f>IFERROR(IF(OR(ISBLANK(Q126),ISBLANK(L126)),"",Q126*L126*VLOOKUP(C126,設定!$B$9:$D$23,3,FALSE)),"")</f>
        <v/>
      </c>
      <c r="U126" s="46" t="n"/>
      <c r="V126" s="46" t="n"/>
    </row>
    <row r="127">
      <c r="A127" s="53">
        <f>IF(ISBLANK(B127),"",COUNTA($B$18:B127))</f>
        <v/>
      </c>
      <c r="B127" s="54" t="n"/>
      <c r="C127" s="55" t="n"/>
      <c r="D127" s="55" t="n"/>
      <c r="E127" s="53" t="n"/>
      <c r="F127" s="56" t="n"/>
      <c r="G127" s="56" t="n"/>
      <c r="H127" s="56" t="n"/>
      <c r="I127" s="56" t="n"/>
      <c r="J127" s="56" t="n"/>
      <c r="K127" s="56" t="n"/>
      <c r="L127" s="57" t="n"/>
      <c r="M127" s="56" t="n"/>
      <c r="N127" s="55" t="n"/>
      <c r="O127" s="58">
        <f>IFERROR(IF(OR(ISBLANK(G127),ISBLANK(I127)),"",ABS(G127-I127)/VLOOKUP(C127,設定!$B$9:$D$23,2,FALSE)),"")</f>
        <v/>
      </c>
      <c r="P127" s="57">
        <f>IFERROR(IF(OR(ISBLANK(F127),ISBLANK(H127),ISBLANK(J127)),"",ABS(J127-F127)/ABS(F127-H127)),"")</f>
        <v/>
      </c>
      <c r="Q127" s="59">
        <f>IFERROR(IF(OR(ISBLANK(M127),ISBLANK(D127),ISBLANK(G127)),"",IF(D127="Long",(M127-G127),(G127-M127))/VLOOKUP(C127,設定!$B$9:$D$23,2,FALSE)),"")</f>
        <v/>
      </c>
      <c r="R127" s="60">
        <f>IFERROR(IF(OR(ISBLANK(Q127),O127=0),"",Q127/O127),"")</f>
        <v/>
      </c>
      <c r="S127" s="60">
        <f>IFERROR(IF(ISBLANK(R127),S126,IF(ISNUMBER(S126),S126,0)+R127),"")</f>
        <v/>
      </c>
      <c r="T127" s="61">
        <f>IFERROR(IF(OR(ISBLANK(Q127),ISBLANK(L127)),"",Q127*L127*VLOOKUP(C127,設定!$B$9:$D$23,3,FALSE)),"")</f>
        <v/>
      </c>
      <c r="U127" s="55" t="n"/>
      <c r="V127" s="55" t="n"/>
    </row>
    <row r="128">
      <c r="A128" s="44">
        <f>IF(ISBLANK(B128),"",COUNTA($B$18:B128))</f>
        <v/>
      </c>
      <c r="B128" s="45" t="n"/>
      <c r="C128" s="46" t="n"/>
      <c r="D128" s="46" t="n"/>
      <c r="E128" s="44" t="n"/>
      <c r="F128" s="47" t="n"/>
      <c r="G128" s="47" t="n"/>
      <c r="H128" s="47" t="n"/>
      <c r="I128" s="47" t="n"/>
      <c r="J128" s="47" t="n"/>
      <c r="K128" s="47" t="n"/>
      <c r="L128" s="48" t="n"/>
      <c r="M128" s="47" t="n"/>
      <c r="N128" s="46" t="n"/>
      <c r="O128" s="49">
        <f>IFERROR(IF(OR(ISBLANK(G128),ISBLANK(I128)),"",ABS(G128-I128)/VLOOKUP(C128,設定!$B$9:$D$23,2,FALSE)),"")</f>
        <v/>
      </c>
      <c r="P128" s="48">
        <f>IFERROR(IF(OR(ISBLANK(F128),ISBLANK(H128),ISBLANK(J128)),"",ABS(J128-F128)/ABS(F128-H128)),"")</f>
        <v/>
      </c>
      <c r="Q128" s="50">
        <f>IFERROR(IF(OR(ISBLANK(M128),ISBLANK(D128),ISBLANK(G128)),"",IF(D128="Long",(M128-G128),(G128-M128))/VLOOKUP(C128,設定!$B$9:$D$23,2,FALSE)),"")</f>
        <v/>
      </c>
      <c r="R128" s="51">
        <f>IFERROR(IF(OR(ISBLANK(Q128),O128=0),"",Q128/O128),"")</f>
        <v/>
      </c>
      <c r="S128" s="51">
        <f>IFERROR(IF(ISBLANK(R128),S127,IF(ISNUMBER(S127),S127,0)+R128),"")</f>
        <v/>
      </c>
      <c r="T128" s="52">
        <f>IFERROR(IF(OR(ISBLANK(Q128),ISBLANK(L128)),"",Q128*L128*VLOOKUP(C128,設定!$B$9:$D$23,3,FALSE)),"")</f>
        <v/>
      </c>
      <c r="U128" s="46" t="n"/>
      <c r="V128" s="46" t="n"/>
    </row>
    <row r="129">
      <c r="A129" s="53">
        <f>IF(ISBLANK(B129),"",COUNTA($B$18:B129))</f>
        <v/>
      </c>
      <c r="B129" s="54" t="n"/>
      <c r="C129" s="55" t="n"/>
      <c r="D129" s="55" t="n"/>
      <c r="E129" s="53" t="n"/>
      <c r="F129" s="56" t="n"/>
      <c r="G129" s="56" t="n"/>
      <c r="H129" s="56" t="n"/>
      <c r="I129" s="56" t="n"/>
      <c r="J129" s="56" t="n"/>
      <c r="K129" s="56" t="n"/>
      <c r="L129" s="57" t="n"/>
      <c r="M129" s="56" t="n"/>
      <c r="N129" s="55" t="n"/>
      <c r="O129" s="58">
        <f>IFERROR(IF(OR(ISBLANK(G129),ISBLANK(I129)),"",ABS(G129-I129)/VLOOKUP(C129,設定!$B$9:$D$23,2,FALSE)),"")</f>
        <v/>
      </c>
      <c r="P129" s="57">
        <f>IFERROR(IF(OR(ISBLANK(F129),ISBLANK(H129),ISBLANK(J129)),"",ABS(J129-F129)/ABS(F129-H129)),"")</f>
        <v/>
      </c>
      <c r="Q129" s="59">
        <f>IFERROR(IF(OR(ISBLANK(M129),ISBLANK(D129),ISBLANK(G129)),"",IF(D129="Long",(M129-G129),(G129-M129))/VLOOKUP(C129,設定!$B$9:$D$23,2,FALSE)),"")</f>
        <v/>
      </c>
      <c r="R129" s="60">
        <f>IFERROR(IF(OR(ISBLANK(Q129),O129=0),"",Q129/O129),"")</f>
        <v/>
      </c>
      <c r="S129" s="60">
        <f>IFERROR(IF(ISBLANK(R129),S128,IF(ISNUMBER(S128),S128,0)+R129),"")</f>
        <v/>
      </c>
      <c r="T129" s="61">
        <f>IFERROR(IF(OR(ISBLANK(Q129),ISBLANK(L129)),"",Q129*L129*VLOOKUP(C129,設定!$B$9:$D$23,3,FALSE)),"")</f>
        <v/>
      </c>
      <c r="U129" s="55" t="n"/>
      <c r="V129" s="55" t="n"/>
    </row>
    <row r="130">
      <c r="A130" s="44">
        <f>IF(ISBLANK(B130),"",COUNTA($B$18:B130))</f>
        <v/>
      </c>
      <c r="B130" s="45" t="n"/>
      <c r="C130" s="46" t="n"/>
      <c r="D130" s="46" t="n"/>
      <c r="E130" s="44" t="n"/>
      <c r="F130" s="47" t="n"/>
      <c r="G130" s="47" t="n"/>
      <c r="H130" s="47" t="n"/>
      <c r="I130" s="47" t="n"/>
      <c r="J130" s="47" t="n"/>
      <c r="K130" s="47" t="n"/>
      <c r="L130" s="48" t="n"/>
      <c r="M130" s="47" t="n"/>
      <c r="N130" s="46" t="n"/>
      <c r="O130" s="49">
        <f>IFERROR(IF(OR(ISBLANK(G130),ISBLANK(I130)),"",ABS(G130-I130)/VLOOKUP(C130,設定!$B$9:$D$23,2,FALSE)),"")</f>
        <v/>
      </c>
      <c r="P130" s="48">
        <f>IFERROR(IF(OR(ISBLANK(F130),ISBLANK(H130),ISBLANK(J130)),"",ABS(J130-F130)/ABS(F130-H130)),"")</f>
        <v/>
      </c>
      <c r="Q130" s="50">
        <f>IFERROR(IF(OR(ISBLANK(M130),ISBLANK(D130),ISBLANK(G130)),"",IF(D130="Long",(M130-G130),(G130-M130))/VLOOKUP(C130,設定!$B$9:$D$23,2,FALSE)),"")</f>
        <v/>
      </c>
      <c r="R130" s="51">
        <f>IFERROR(IF(OR(ISBLANK(Q130),O130=0),"",Q130/O130),"")</f>
        <v/>
      </c>
      <c r="S130" s="51">
        <f>IFERROR(IF(ISBLANK(R130),S129,IF(ISNUMBER(S129),S129,0)+R130),"")</f>
        <v/>
      </c>
      <c r="T130" s="52">
        <f>IFERROR(IF(OR(ISBLANK(Q130),ISBLANK(L130)),"",Q130*L130*VLOOKUP(C130,設定!$B$9:$D$23,3,FALSE)),"")</f>
        <v/>
      </c>
      <c r="U130" s="46" t="n"/>
      <c r="V130" s="46" t="n"/>
    </row>
    <row r="131">
      <c r="A131" s="53">
        <f>IF(ISBLANK(B131),"",COUNTA($B$18:B131))</f>
        <v/>
      </c>
      <c r="B131" s="54" t="n"/>
      <c r="C131" s="55" t="n"/>
      <c r="D131" s="55" t="n"/>
      <c r="E131" s="53" t="n"/>
      <c r="F131" s="56" t="n"/>
      <c r="G131" s="56" t="n"/>
      <c r="H131" s="56" t="n"/>
      <c r="I131" s="56" t="n"/>
      <c r="J131" s="56" t="n"/>
      <c r="K131" s="56" t="n"/>
      <c r="L131" s="57" t="n"/>
      <c r="M131" s="56" t="n"/>
      <c r="N131" s="55" t="n"/>
      <c r="O131" s="58">
        <f>IFERROR(IF(OR(ISBLANK(G131),ISBLANK(I131)),"",ABS(G131-I131)/VLOOKUP(C131,設定!$B$9:$D$23,2,FALSE)),"")</f>
        <v/>
      </c>
      <c r="P131" s="57">
        <f>IFERROR(IF(OR(ISBLANK(F131),ISBLANK(H131),ISBLANK(J131)),"",ABS(J131-F131)/ABS(F131-H131)),"")</f>
        <v/>
      </c>
      <c r="Q131" s="59">
        <f>IFERROR(IF(OR(ISBLANK(M131),ISBLANK(D131),ISBLANK(G131)),"",IF(D131="Long",(M131-G131),(G131-M131))/VLOOKUP(C131,設定!$B$9:$D$23,2,FALSE)),"")</f>
        <v/>
      </c>
      <c r="R131" s="60">
        <f>IFERROR(IF(OR(ISBLANK(Q131),O131=0),"",Q131/O131),"")</f>
        <v/>
      </c>
      <c r="S131" s="60">
        <f>IFERROR(IF(ISBLANK(R131),S130,IF(ISNUMBER(S130),S130,0)+R131),"")</f>
        <v/>
      </c>
      <c r="T131" s="61">
        <f>IFERROR(IF(OR(ISBLANK(Q131),ISBLANK(L131)),"",Q131*L131*VLOOKUP(C131,設定!$B$9:$D$23,3,FALSE)),"")</f>
        <v/>
      </c>
      <c r="U131" s="55" t="n"/>
      <c r="V131" s="55" t="n"/>
    </row>
    <row r="132">
      <c r="A132" s="44">
        <f>IF(ISBLANK(B132),"",COUNTA($B$18:B132))</f>
        <v/>
      </c>
      <c r="B132" s="45" t="n"/>
      <c r="C132" s="46" t="n"/>
      <c r="D132" s="46" t="n"/>
      <c r="E132" s="44" t="n"/>
      <c r="F132" s="47" t="n"/>
      <c r="G132" s="47" t="n"/>
      <c r="H132" s="47" t="n"/>
      <c r="I132" s="47" t="n"/>
      <c r="J132" s="47" t="n"/>
      <c r="K132" s="47" t="n"/>
      <c r="L132" s="48" t="n"/>
      <c r="M132" s="47" t="n"/>
      <c r="N132" s="46" t="n"/>
      <c r="O132" s="49">
        <f>IFERROR(IF(OR(ISBLANK(G132),ISBLANK(I132)),"",ABS(G132-I132)/VLOOKUP(C132,設定!$B$9:$D$23,2,FALSE)),"")</f>
        <v/>
      </c>
      <c r="P132" s="48">
        <f>IFERROR(IF(OR(ISBLANK(F132),ISBLANK(H132),ISBLANK(J132)),"",ABS(J132-F132)/ABS(F132-H132)),"")</f>
        <v/>
      </c>
      <c r="Q132" s="50">
        <f>IFERROR(IF(OR(ISBLANK(M132),ISBLANK(D132),ISBLANK(G132)),"",IF(D132="Long",(M132-G132),(G132-M132))/VLOOKUP(C132,設定!$B$9:$D$23,2,FALSE)),"")</f>
        <v/>
      </c>
      <c r="R132" s="51">
        <f>IFERROR(IF(OR(ISBLANK(Q132),O132=0),"",Q132/O132),"")</f>
        <v/>
      </c>
      <c r="S132" s="51">
        <f>IFERROR(IF(ISBLANK(R132),S131,IF(ISNUMBER(S131),S131,0)+R132),"")</f>
        <v/>
      </c>
      <c r="T132" s="52">
        <f>IFERROR(IF(OR(ISBLANK(Q132),ISBLANK(L132)),"",Q132*L132*VLOOKUP(C132,設定!$B$9:$D$23,3,FALSE)),"")</f>
        <v/>
      </c>
      <c r="U132" s="46" t="n"/>
      <c r="V132" s="46" t="n"/>
    </row>
    <row r="133">
      <c r="A133" s="53">
        <f>IF(ISBLANK(B133),"",COUNTA($B$18:B133))</f>
        <v/>
      </c>
      <c r="B133" s="54" t="n"/>
      <c r="C133" s="55" t="n"/>
      <c r="D133" s="55" t="n"/>
      <c r="E133" s="53" t="n"/>
      <c r="F133" s="56" t="n"/>
      <c r="G133" s="56" t="n"/>
      <c r="H133" s="56" t="n"/>
      <c r="I133" s="56" t="n"/>
      <c r="J133" s="56" t="n"/>
      <c r="K133" s="56" t="n"/>
      <c r="L133" s="57" t="n"/>
      <c r="M133" s="56" t="n"/>
      <c r="N133" s="55" t="n"/>
      <c r="O133" s="58">
        <f>IFERROR(IF(OR(ISBLANK(G133),ISBLANK(I133)),"",ABS(G133-I133)/VLOOKUP(C133,設定!$B$9:$D$23,2,FALSE)),"")</f>
        <v/>
      </c>
      <c r="P133" s="57">
        <f>IFERROR(IF(OR(ISBLANK(F133),ISBLANK(H133),ISBLANK(J133)),"",ABS(J133-F133)/ABS(F133-H133)),"")</f>
        <v/>
      </c>
      <c r="Q133" s="59">
        <f>IFERROR(IF(OR(ISBLANK(M133),ISBLANK(D133),ISBLANK(G133)),"",IF(D133="Long",(M133-G133),(G133-M133))/VLOOKUP(C133,設定!$B$9:$D$23,2,FALSE)),"")</f>
        <v/>
      </c>
      <c r="R133" s="60">
        <f>IFERROR(IF(OR(ISBLANK(Q133),O133=0),"",Q133/O133),"")</f>
        <v/>
      </c>
      <c r="S133" s="60">
        <f>IFERROR(IF(ISBLANK(R133),S132,IF(ISNUMBER(S132),S132,0)+R133),"")</f>
        <v/>
      </c>
      <c r="T133" s="61">
        <f>IFERROR(IF(OR(ISBLANK(Q133),ISBLANK(L133)),"",Q133*L133*VLOOKUP(C133,設定!$B$9:$D$23,3,FALSE)),"")</f>
        <v/>
      </c>
      <c r="U133" s="55" t="n"/>
      <c r="V133" s="55" t="n"/>
    </row>
    <row r="134">
      <c r="A134" s="44">
        <f>IF(ISBLANK(B134),"",COUNTA($B$18:B134))</f>
        <v/>
      </c>
      <c r="B134" s="45" t="n"/>
      <c r="C134" s="46" t="n"/>
      <c r="D134" s="46" t="n"/>
      <c r="E134" s="44" t="n"/>
      <c r="F134" s="47" t="n"/>
      <c r="G134" s="47" t="n"/>
      <c r="H134" s="47" t="n"/>
      <c r="I134" s="47" t="n"/>
      <c r="J134" s="47" t="n"/>
      <c r="K134" s="47" t="n"/>
      <c r="L134" s="48" t="n"/>
      <c r="M134" s="47" t="n"/>
      <c r="N134" s="46" t="n"/>
      <c r="O134" s="49">
        <f>IFERROR(IF(OR(ISBLANK(G134),ISBLANK(I134)),"",ABS(G134-I134)/VLOOKUP(C134,設定!$B$9:$D$23,2,FALSE)),"")</f>
        <v/>
      </c>
      <c r="P134" s="48">
        <f>IFERROR(IF(OR(ISBLANK(F134),ISBLANK(H134),ISBLANK(J134)),"",ABS(J134-F134)/ABS(F134-H134)),"")</f>
        <v/>
      </c>
      <c r="Q134" s="50">
        <f>IFERROR(IF(OR(ISBLANK(M134),ISBLANK(D134),ISBLANK(G134)),"",IF(D134="Long",(M134-G134),(G134-M134))/VLOOKUP(C134,設定!$B$9:$D$23,2,FALSE)),"")</f>
        <v/>
      </c>
      <c r="R134" s="51">
        <f>IFERROR(IF(OR(ISBLANK(Q134),O134=0),"",Q134/O134),"")</f>
        <v/>
      </c>
      <c r="S134" s="51">
        <f>IFERROR(IF(ISBLANK(R134),S133,IF(ISNUMBER(S133),S133,0)+R134),"")</f>
        <v/>
      </c>
      <c r="T134" s="52">
        <f>IFERROR(IF(OR(ISBLANK(Q134),ISBLANK(L134)),"",Q134*L134*VLOOKUP(C134,設定!$B$9:$D$23,3,FALSE)),"")</f>
        <v/>
      </c>
      <c r="U134" s="46" t="n"/>
      <c r="V134" s="46" t="n"/>
    </row>
    <row r="135">
      <c r="A135" s="53">
        <f>IF(ISBLANK(B135),"",COUNTA($B$18:B135))</f>
        <v/>
      </c>
      <c r="B135" s="54" t="n"/>
      <c r="C135" s="55" t="n"/>
      <c r="D135" s="55" t="n"/>
      <c r="E135" s="53" t="n"/>
      <c r="F135" s="56" t="n"/>
      <c r="G135" s="56" t="n"/>
      <c r="H135" s="56" t="n"/>
      <c r="I135" s="56" t="n"/>
      <c r="J135" s="56" t="n"/>
      <c r="K135" s="56" t="n"/>
      <c r="L135" s="57" t="n"/>
      <c r="M135" s="56" t="n"/>
      <c r="N135" s="55" t="n"/>
      <c r="O135" s="58">
        <f>IFERROR(IF(OR(ISBLANK(G135),ISBLANK(I135)),"",ABS(G135-I135)/VLOOKUP(C135,設定!$B$9:$D$23,2,FALSE)),"")</f>
        <v/>
      </c>
      <c r="P135" s="57">
        <f>IFERROR(IF(OR(ISBLANK(F135),ISBLANK(H135),ISBLANK(J135)),"",ABS(J135-F135)/ABS(F135-H135)),"")</f>
        <v/>
      </c>
      <c r="Q135" s="59">
        <f>IFERROR(IF(OR(ISBLANK(M135),ISBLANK(D135),ISBLANK(G135)),"",IF(D135="Long",(M135-G135),(G135-M135))/VLOOKUP(C135,設定!$B$9:$D$23,2,FALSE)),"")</f>
        <v/>
      </c>
      <c r="R135" s="60">
        <f>IFERROR(IF(OR(ISBLANK(Q135),O135=0),"",Q135/O135),"")</f>
        <v/>
      </c>
      <c r="S135" s="60">
        <f>IFERROR(IF(ISBLANK(R135),S134,IF(ISNUMBER(S134),S134,0)+R135),"")</f>
        <v/>
      </c>
      <c r="T135" s="61">
        <f>IFERROR(IF(OR(ISBLANK(Q135),ISBLANK(L135)),"",Q135*L135*VLOOKUP(C135,設定!$B$9:$D$23,3,FALSE)),"")</f>
        <v/>
      </c>
      <c r="U135" s="55" t="n"/>
      <c r="V135" s="55" t="n"/>
    </row>
    <row r="136">
      <c r="A136" s="44">
        <f>IF(ISBLANK(B136),"",COUNTA($B$18:B136))</f>
        <v/>
      </c>
      <c r="B136" s="45" t="n"/>
      <c r="C136" s="46" t="n"/>
      <c r="D136" s="46" t="n"/>
      <c r="E136" s="44" t="n"/>
      <c r="F136" s="47" t="n"/>
      <c r="G136" s="47" t="n"/>
      <c r="H136" s="47" t="n"/>
      <c r="I136" s="47" t="n"/>
      <c r="J136" s="47" t="n"/>
      <c r="K136" s="47" t="n"/>
      <c r="L136" s="48" t="n"/>
      <c r="M136" s="47" t="n"/>
      <c r="N136" s="46" t="n"/>
      <c r="O136" s="49">
        <f>IFERROR(IF(OR(ISBLANK(G136),ISBLANK(I136)),"",ABS(G136-I136)/VLOOKUP(C136,設定!$B$9:$D$23,2,FALSE)),"")</f>
        <v/>
      </c>
      <c r="P136" s="48">
        <f>IFERROR(IF(OR(ISBLANK(F136),ISBLANK(H136),ISBLANK(J136)),"",ABS(J136-F136)/ABS(F136-H136)),"")</f>
        <v/>
      </c>
      <c r="Q136" s="50">
        <f>IFERROR(IF(OR(ISBLANK(M136),ISBLANK(D136),ISBLANK(G136)),"",IF(D136="Long",(M136-G136),(G136-M136))/VLOOKUP(C136,設定!$B$9:$D$23,2,FALSE)),"")</f>
        <v/>
      </c>
      <c r="R136" s="51">
        <f>IFERROR(IF(OR(ISBLANK(Q136),O136=0),"",Q136/O136),"")</f>
        <v/>
      </c>
      <c r="S136" s="51">
        <f>IFERROR(IF(ISBLANK(R136),S135,IF(ISNUMBER(S135),S135,0)+R136),"")</f>
        <v/>
      </c>
      <c r="T136" s="52">
        <f>IFERROR(IF(OR(ISBLANK(Q136),ISBLANK(L136)),"",Q136*L136*VLOOKUP(C136,設定!$B$9:$D$23,3,FALSE)),"")</f>
        <v/>
      </c>
      <c r="U136" s="46" t="n"/>
      <c r="V136" s="46" t="n"/>
    </row>
    <row r="137">
      <c r="A137" s="53">
        <f>IF(ISBLANK(B137),"",COUNTA($B$18:B137))</f>
        <v/>
      </c>
      <c r="B137" s="54" t="n"/>
      <c r="C137" s="55" t="n"/>
      <c r="D137" s="55" t="n"/>
      <c r="E137" s="53" t="n"/>
      <c r="F137" s="56" t="n"/>
      <c r="G137" s="56" t="n"/>
      <c r="H137" s="56" t="n"/>
      <c r="I137" s="56" t="n"/>
      <c r="J137" s="56" t="n"/>
      <c r="K137" s="56" t="n"/>
      <c r="L137" s="57" t="n"/>
      <c r="M137" s="56" t="n"/>
      <c r="N137" s="55" t="n"/>
      <c r="O137" s="58">
        <f>IFERROR(IF(OR(ISBLANK(G137),ISBLANK(I137)),"",ABS(G137-I137)/VLOOKUP(C137,設定!$B$9:$D$23,2,FALSE)),"")</f>
        <v/>
      </c>
      <c r="P137" s="57">
        <f>IFERROR(IF(OR(ISBLANK(F137),ISBLANK(H137),ISBLANK(J137)),"",ABS(J137-F137)/ABS(F137-H137)),"")</f>
        <v/>
      </c>
      <c r="Q137" s="59">
        <f>IFERROR(IF(OR(ISBLANK(M137),ISBLANK(D137),ISBLANK(G137)),"",IF(D137="Long",(M137-G137),(G137-M137))/VLOOKUP(C137,設定!$B$9:$D$23,2,FALSE)),"")</f>
        <v/>
      </c>
      <c r="R137" s="60">
        <f>IFERROR(IF(OR(ISBLANK(Q137),O137=0),"",Q137/O137),"")</f>
        <v/>
      </c>
      <c r="S137" s="60">
        <f>IFERROR(IF(ISBLANK(R137),S136,IF(ISNUMBER(S136),S136,0)+R137),"")</f>
        <v/>
      </c>
      <c r="T137" s="61">
        <f>IFERROR(IF(OR(ISBLANK(Q137),ISBLANK(L137)),"",Q137*L137*VLOOKUP(C137,設定!$B$9:$D$23,3,FALSE)),"")</f>
        <v/>
      </c>
      <c r="U137" s="55" t="n"/>
      <c r="V137" s="55" t="n"/>
    </row>
    <row r="138">
      <c r="A138" s="44">
        <f>IF(ISBLANK(B138),"",COUNTA($B$18:B138))</f>
        <v/>
      </c>
      <c r="B138" s="45" t="n"/>
      <c r="C138" s="46" t="n"/>
      <c r="D138" s="46" t="n"/>
      <c r="E138" s="44" t="n"/>
      <c r="F138" s="47" t="n"/>
      <c r="G138" s="47" t="n"/>
      <c r="H138" s="47" t="n"/>
      <c r="I138" s="47" t="n"/>
      <c r="J138" s="47" t="n"/>
      <c r="K138" s="47" t="n"/>
      <c r="L138" s="48" t="n"/>
      <c r="M138" s="47" t="n"/>
      <c r="N138" s="46" t="n"/>
      <c r="O138" s="49">
        <f>IFERROR(IF(OR(ISBLANK(G138),ISBLANK(I138)),"",ABS(G138-I138)/VLOOKUP(C138,設定!$B$9:$D$23,2,FALSE)),"")</f>
        <v/>
      </c>
      <c r="P138" s="48">
        <f>IFERROR(IF(OR(ISBLANK(F138),ISBLANK(H138),ISBLANK(J138)),"",ABS(J138-F138)/ABS(F138-H138)),"")</f>
        <v/>
      </c>
      <c r="Q138" s="50">
        <f>IFERROR(IF(OR(ISBLANK(M138),ISBLANK(D138),ISBLANK(G138)),"",IF(D138="Long",(M138-G138),(G138-M138))/VLOOKUP(C138,設定!$B$9:$D$23,2,FALSE)),"")</f>
        <v/>
      </c>
      <c r="R138" s="51">
        <f>IFERROR(IF(OR(ISBLANK(Q138),O138=0),"",Q138/O138),"")</f>
        <v/>
      </c>
      <c r="S138" s="51">
        <f>IFERROR(IF(ISBLANK(R138),S137,IF(ISNUMBER(S137),S137,0)+R138),"")</f>
        <v/>
      </c>
      <c r="T138" s="52">
        <f>IFERROR(IF(OR(ISBLANK(Q138),ISBLANK(L138)),"",Q138*L138*VLOOKUP(C138,設定!$B$9:$D$23,3,FALSE)),"")</f>
        <v/>
      </c>
      <c r="U138" s="46" t="n"/>
      <c r="V138" s="46" t="n"/>
    </row>
    <row r="139">
      <c r="A139" s="53">
        <f>IF(ISBLANK(B139),"",COUNTA($B$18:B139))</f>
        <v/>
      </c>
      <c r="B139" s="54" t="n"/>
      <c r="C139" s="55" t="n"/>
      <c r="D139" s="55" t="n"/>
      <c r="E139" s="53" t="n"/>
      <c r="F139" s="56" t="n"/>
      <c r="G139" s="56" t="n"/>
      <c r="H139" s="56" t="n"/>
      <c r="I139" s="56" t="n"/>
      <c r="J139" s="56" t="n"/>
      <c r="K139" s="56" t="n"/>
      <c r="L139" s="57" t="n"/>
      <c r="M139" s="56" t="n"/>
      <c r="N139" s="55" t="n"/>
      <c r="O139" s="58">
        <f>IFERROR(IF(OR(ISBLANK(G139),ISBLANK(I139)),"",ABS(G139-I139)/VLOOKUP(C139,設定!$B$9:$D$23,2,FALSE)),"")</f>
        <v/>
      </c>
      <c r="P139" s="57">
        <f>IFERROR(IF(OR(ISBLANK(F139),ISBLANK(H139),ISBLANK(J139)),"",ABS(J139-F139)/ABS(F139-H139)),"")</f>
        <v/>
      </c>
      <c r="Q139" s="59">
        <f>IFERROR(IF(OR(ISBLANK(M139),ISBLANK(D139),ISBLANK(G139)),"",IF(D139="Long",(M139-G139),(G139-M139))/VLOOKUP(C139,設定!$B$9:$D$23,2,FALSE)),"")</f>
        <v/>
      </c>
      <c r="R139" s="60">
        <f>IFERROR(IF(OR(ISBLANK(Q139),O139=0),"",Q139/O139),"")</f>
        <v/>
      </c>
      <c r="S139" s="60">
        <f>IFERROR(IF(ISBLANK(R139),S138,IF(ISNUMBER(S138),S138,0)+R139),"")</f>
        <v/>
      </c>
      <c r="T139" s="61">
        <f>IFERROR(IF(OR(ISBLANK(Q139),ISBLANK(L139)),"",Q139*L139*VLOOKUP(C139,設定!$B$9:$D$23,3,FALSE)),"")</f>
        <v/>
      </c>
      <c r="U139" s="55" t="n"/>
      <c r="V139" s="55" t="n"/>
    </row>
    <row r="140">
      <c r="A140" s="44">
        <f>IF(ISBLANK(B140),"",COUNTA($B$18:B140))</f>
        <v/>
      </c>
      <c r="B140" s="45" t="n"/>
      <c r="C140" s="46" t="n"/>
      <c r="D140" s="46" t="n"/>
      <c r="E140" s="44" t="n"/>
      <c r="F140" s="47" t="n"/>
      <c r="G140" s="47" t="n"/>
      <c r="H140" s="47" t="n"/>
      <c r="I140" s="47" t="n"/>
      <c r="J140" s="47" t="n"/>
      <c r="K140" s="47" t="n"/>
      <c r="L140" s="48" t="n"/>
      <c r="M140" s="47" t="n"/>
      <c r="N140" s="46" t="n"/>
      <c r="O140" s="49">
        <f>IFERROR(IF(OR(ISBLANK(G140),ISBLANK(I140)),"",ABS(G140-I140)/VLOOKUP(C140,設定!$B$9:$D$23,2,FALSE)),"")</f>
        <v/>
      </c>
      <c r="P140" s="48">
        <f>IFERROR(IF(OR(ISBLANK(F140),ISBLANK(H140),ISBLANK(J140)),"",ABS(J140-F140)/ABS(F140-H140)),"")</f>
        <v/>
      </c>
      <c r="Q140" s="50">
        <f>IFERROR(IF(OR(ISBLANK(M140),ISBLANK(D140),ISBLANK(G140)),"",IF(D140="Long",(M140-G140),(G140-M140))/VLOOKUP(C140,設定!$B$9:$D$23,2,FALSE)),"")</f>
        <v/>
      </c>
      <c r="R140" s="51">
        <f>IFERROR(IF(OR(ISBLANK(Q140),O140=0),"",Q140/O140),"")</f>
        <v/>
      </c>
      <c r="S140" s="51">
        <f>IFERROR(IF(ISBLANK(R140),S139,IF(ISNUMBER(S139),S139,0)+R140),"")</f>
        <v/>
      </c>
      <c r="T140" s="52">
        <f>IFERROR(IF(OR(ISBLANK(Q140),ISBLANK(L140)),"",Q140*L140*VLOOKUP(C140,設定!$B$9:$D$23,3,FALSE)),"")</f>
        <v/>
      </c>
      <c r="U140" s="46" t="n"/>
      <c r="V140" s="46" t="n"/>
    </row>
    <row r="141">
      <c r="A141" s="53">
        <f>IF(ISBLANK(B141),"",COUNTA($B$18:B141))</f>
        <v/>
      </c>
      <c r="B141" s="54" t="n"/>
      <c r="C141" s="55" t="n"/>
      <c r="D141" s="55" t="n"/>
      <c r="E141" s="53" t="n"/>
      <c r="F141" s="56" t="n"/>
      <c r="G141" s="56" t="n"/>
      <c r="H141" s="56" t="n"/>
      <c r="I141" s="56" t="n"/>
      <c r="J141" s="56" t="n"/>
      <c r="K141" s="56" t="n"/>
      <c r="L141" s="57" t="n"/>
      <c r="M141" s="56" t="n"/>
      <c r="N141" s="55" t="n"/>
      <c r="O141" s="58">
        <f>IFERROR(IF(OR(ISBLANK(G141),ISBLANK(I141)),"",ABS(G141-I141)/VLOOKUP(C141,設定!$B$9:$D$23,2,FALSE)),"")</f>
        <v/>
      </c>
      <c r="P141" s="57">
        <f>IFERROR(IF(OR(ISBLANK(F141),ISBLANK(H141),ISBLANK(J141)),"",ABS(J141-F141)/ABS(F141-H141)),"")</f>
        <v/>
      </c>
      <c r="Q141" s="59">
        <f>IFERROR(IF(OR(ISBLANK(M141),ISBLANK(D141),ISBLANK(G141)),"",IF(D141="Long",(M141-G141),(G141-M141))/VLOOKUP(C141,設定!$B$9:$D$23,2,FALSE)),"")</f>
        <v/>
      </c>
      <c r="R141" s="60">
        <f>IFERROR(IF(OR(ISBLANK(Q141),O141=0),"",Q141/O141),"")</f>
        <v/>
      </c>
      <c r="S141" s="60">
        <f>IFERROR(IF(ISBLANK(R141),S140,IF(ISNUMBER(S140),S140,0)+R141),"")</f>
        <v/>
      </c>
      <c r="T141" s="61">
        <f>IFERROR(IF(OR(ISBLANK(Q141),ISBLANK(L141)),"",Q141*L141*VLOOKUP(C141,設定!$B$9:$D$23,3,FALSE)),"")</f>
        <v/>
      </c>
      <c r="U141" s="55" t="n"/>
      <c r="V141" s="55" t="n"/>
    </row>
    <row r="142">
      <c r="A142" s="44">
        <f>IF(ISBLANK(B142),"",COUNTA($B$18:B142))</f>
        <v/>
      </c>
      <c r="B142" s="45" t="n"/>
      <c r="C142" s="46" t="n"/>
      <c r="D142" s="46" t="n"/>
      <c r="E142" s="44" t="n"/>
      <c r="F142" s="47" t="n"/>
      <c r="G142" s="47" t="n"/>
      <c r="H142" s="47" t="n"/>
      <c r="I142" s="47" t="n"/>
      <c r="J142" s="47" t="n"/>
      <c r="K142" s="47" t="n"/>
      <c r="L142" s="48" t="n"/>
      <c r="M142" s="47" t="n"/>
      <c r="N142" s="46" t="n"/>
      <c r="O142" s="49">
        <f>IFERROR(IF(OR(ISBLANK(G142),ISBLANK(I142)),"",ABS(G142-I142)/VLOOKUP(C142,設定!$B$9:$D$23,2,FALSE)),"")</f>
        <v/>
      </c>
      <c r="P142" s="48">
        <f>IFERROR(IF(OR(ISBLANK(F142),ISBLANK(H142),ISBLANK(J142)),"",ABS(J142-F142)/ABS(F142-H142)),"")</f>
        <v/>
      </c>
      <c r="Q142" s="50">
        <f>IFERROR(IF(OR(ISBLANK(M142),ISBLANK(D142),ISBLANK(G142)),"",IF(D142="Long",(M142-G142),(G142-M142))/VLOOKUP(C142,設定!$B$9:$D$23,2,FALSE)),"")</f>
        <v/>
      </c>
      <c r="R142" s="51">
        <f>IFERROR(IF(OR(ISBLANK(Q142),O142=0),"",Q142/O142),"")</f>
        <v/>
      </c>
      <c r="S142" s="51">
        <f>IFERROR(IF(ISBLANK(R142),S141,IF(ISNUMBER(S141),S141,0)+R142),"")</f>
        <v/>
      </c>
      <c r="T142" s="52">
        <f>IFERROR(IF(OR(ISBLANK(Q142),ISBLANK(L142)),"",Q142*L142*VLOOKUP(C142,設定!$B$9:$D$23,3,FALSE)),"")</f>
        <v/>
      </c>
      <c r="U142" s="46" t="n"/>
      <c r="V142" s="46" t="n"/>
    </row>
    <row r="143">
      <c r="A143" s="53">
        <f>IF(ISBLANK(B143),"",COUNTA($B$18:B143))</f>
        <v/>
      </c>
      <c r="B143" s="54" t="n"/>
      <c r="C143" s="55" t="n"/>
      <c r="D143" s="55" t="n"/>
      <c r="E143" s="53" t="n"/>
      <c r="F143" s="56" t="n"/>
      <c r="G143" s="56" t="n"/>
      <c r="H143" s="56" t="n"/>
      <c r="I143" s="56" t="n"/>
      <c r="J143" s="56" t="n"/>
      <c r="K143" s="56" t="n"/>
      <c r="L143" s="57" t="n"/>
      <c r="M143" s="56" t="n"/>
      <c r="N143" s="55" t="n"/>
      <c r="O143" s="58">
        <f>IFERROR(IF(OR(ISBLANK(G143),ISBLANK(I143)),"",ABS(G143-I143)/VLOOKUP(C143,設定!$B$9:$D$23,2,FALSE)),"")</f>
        <v/>
      </c>
      <c r="P143" s="57">
        <f>IFERROR(IF(OR(ISBLANK(F143),ISBLANK(H143),ISBLANK(J143)),"",ABS(J143-F143)/ABS(F143-H143)),"")</f>
        <v/>
      </c>
      <c r="Q143" s="59">
        <f>IFERROR(IF(OR(ISBLANK(M143),ISBLANK(D143),ISBLANK(G143)),"",IF(D143="Long",(M143-G143),(G143-M143))/VLOOKUP(C143,設定!$B$9:$D$23,2,FALSE)),"")</f>
        <v/>
      </c>
      <c r="R143" s="60">
        <f>IFERROR(IF(OR(ISBLANK(Q143),O143=0),"",Q143/O143),"")</f>
        <v/>
      </c>
      <c r="S143" s="60">
        <f>IFERROR(IF(ISBLANK(R143),S142,IF(ISNUMBER(S142),S142,0)+R143),"")</f>
        <v/>
      </c>
      <c r="T143" s="61">
        <f>IFERROR(IF(OR(ISBLANK(Q143),ISBLANK(L143)),"",Q143*L143*VLOOKUP(C143,設定!$B$9:$D$23,3,FALSE)),"")</f>
        <v/>
      </c>
      <c r="U143" s="55" t="n"/>
      <c r="V143" s="55" t="n"/>
    </row>
    <row r="144">
      <c r="A144" s="44">
        <f>IF(ISBLANK(B144),"",COUNTA($B$18:B144))</f>
        <v/>
      </c>
      <c r="B144" s="45" t="n"/>
      <c r="C144" s="46" t="n"/>
      <c r="D144" s="46" t="n"/>
      <c r="E144" s="44" t="n"/>
      <c r="F144" s="47" t="n"/>
      <c r="G144" s="47" t="n"/>
      <c r="H144" s="47" t="n"/>
      <c r="I144" s="47" t="n"/>
      <c r="J144" s="47" t="n"/>
      <c r="K144" s="47" t="n"/>
      <c r="L144" s="48" t="n"/>
      <c r="M144" s="47" t="n"/>
      <c r="N144" s="46" t="n"/>
      <c r="O144" s="49">
        <f>IFERROR(IF(OR(ISBLANK(G144),ISBLANK(I144)),"",ABS(G144-I144)/VLOOKUP(C144,設定!$B$9:$D$23,2,FALSE)),"")</f>
        <v/>
      </c>
      <c r="P144" s="48">
        <f>IFERROR(IF(OR(ISBLANK(F144),ISBLANK(H144),ISBLANK(J144)),"",ABS(J144-F144)/ABS(F144-H144)),"")</f>
        <v/>
      </c>
      <c r="Q144" s="50">
        <f>IFERROR(IF(OR(ISBLANK(M144),ISBLANK(D144),ISBLANK(G144)),"",IF(D144="Long",(M144-G144),(G144-M144))/VLOOKUP(C144,設定!$B$9:$D$23,2,FALSE)),"")</f>
        <v/>
      </c>
      <c r="R144" s="51">
        <f>IFERROR(IF(OR(ISBLANK(Q144),O144=0),"",Q144/O144),"")</f>
        <v/>
      </c>
      <c r="S144" s="51">
        <f>IFERROR(IF(ISBLANK(R144),S143,IF(ISNUMBER(S143),S143,0)+R144),"")</f>
        <v/>
      </c>
      <c r="T144" s="52">
        <f>IFERROR(IF(OR(ISBLANK(Q144),ISBLANK(L144)),"",Q144*L144*VLOOKUP(C144,設定!$B$9:$D$23,3,FALSE)),"")</f>
        <v/>
      </c>
      <c r="U144" s="46" t="n"/>
      <c r="V144" s="46" t="n"/>
    </row>
    <row r="145">
      <c r="A145" s="53">
        <f>IF(ISBLANK(B145),"",COUNTA($B$18:B145))</f>
        <v/>
      </c>
      <c r="B145" s="54" t="n"/>
      <c r="C145" s="55" t="n"/>
      <c r="D145" s="55" t="n"/>
      <c r="E145" s="53" t="n"/>
      <c r="F145" s="56" t="n"/>
      <c r="G145" s="56" t="n"/>
      <c r="H145" s="56" t="n"/>
      <c r="I145" s="56" t="n"/>
      <c r="J145" s="56" t="n"/>
      <c r="K145" s="56" t="n"/>
      <c r="L145" s="57" t="n"/>
      <c r="M145" s="56" t="n"/>
      <c r="N145" s="55" t="n"/>
      <c r="O145" s="58">
        <f>IFERROR(IF(OR(ISBLANK(G145),ISBLANK(I145)),"",ABS(G145-I145)/VLOOKUP(C145,設定!$B$9:$D$23,2,FALSE)),"")</f>
        <v/>
      </c>
      <c r="P145" s="57">
        <f>IFERROR(IF(OR(ISBLANK(F145),ISBLANK(H145),ISBLANK(J145)),"",ABS(J145-F145)/ABS(F145-H145)),"")</f>
        <v/>
      </c>
      <c r="Q145" s="59">
        <f>IFERROR(IF(OR(ISBLANK(M145),ISBLANK(D145),ISBLANK(G145)),"",IF(D145="Long",(M145-G145),(G145-M145))/VLOOKUP(C145,設定!$B$9:$D$23,2,FALSE)),"")</f>
        <v/>
      </c>
      <c r="R145" s="60">
        <f>IFERROR(IF(OR(ISBLANK(Q145),O145=0),"",Q145/O145),"")</f>
        <v/>
      </c>
      <c r="S145" s="60">
        <f>IFERROR(IF(ISBLANK(R145),S144,IF(ISNUMBER(S144),S144,0)+R145),"")</f>
        <v/>
      </c>
      <c r="T145" s="61">
        <f>IFERROR(IF(OR(ISBLANK(Q145),ISBLANK(L145)),"",Q145*L145*VLOOKUP(C145,設定!$B$9:$D$23,3,FALSE)),"")</f>
        <v/>
      </c>
      <c r="U145" s="55" t="n"/>
      <c r="V145" s="55" t="n"/>
    </row>
    <row r="146">
      <c r="A146" s="44">
        <f>IF(ISBLANK(B146),"",COUNTA($B$18:B146))</f>
        <v/>
      </c>
      <c r="B146" s="45" t="n"/>
      <c r="C146" s="46" t="n"/>
      <c r="D146" s="46" t="n"/>
      <c r="E146" s="44" t="n"/>
      <c r="F146" s="47" t="n"/>
      <c r="G146" s="47" t="n"/>
      <c r="H146" s="47" t="n"/>
      <c r="I146" s="47" t="n"/>
      <c r="J146" s="47" t="n"/>
      <c r="K146" s="47" t="n"/>
      <c r="L146" s="48" t="n"/>
      <c r="M146" s="47" t="n"/>
      <c r="N146" s="46" t="n"/>
      <c r="O146" s="49">
        <f>IFERROR(IF(OR(ISBLANK(G146),ISBLANK(I146)),"",ABS(G146-I146)/VLOOKUP(C146,設定!$B$9:$D$23,2,FALSE)),"")</f>
        <v/>
      </c>
      <c r="P146" s="48">
        <f>IFERROR(IF(OR(ISBLANK(F146),ISBLANK(H146),ISBLANK(J146)),"",ABS(J146-F146)/ABS(F146-H146)),"")</f>
        <v/>
      </c>
      <c r="Q146" s="50">
        <f>IFERROR(IF(OR(ISBLANK(M146),ISBLANK(D146),ISBLANK(G146)),"",IF(D146="Long",(M146-G146),(G146-M146))/VLOOKUP(C146,設定!$B$9:$D$23,2,FALSE)),"")</f>
        <v/>
      </c>
      <c r="R146" s="51">
        <f>IFERROR(IF(OR(ISBLANK(Q146),O146=0),"",Q146/O146),"")</f>
        <v/>
      </c>
      <c r="S146" s="51">
        <f>IFERROR(IF(ISBLANK(R146),S145,IF(ISNUMBER(S145),S145,0)+R146),"")</f>
        <v/>
      </c>
      <c r="T146" s="52">
        <f>IFERROR(IF(OR(ISBLANK(Q146),ISBLANK(L146)),"",Q146*L146*VLOOKUP(C146,設定!$B$9:$D$23,3,FALSE)),"")</f>
        <v/>
      </c>
      <c r="U146" s="46" t="n"/>
      <c r="V146" s="46" t="n"/>
    </row>
    <row r="147">
      <c r="A147" s="53">
        <f>IF(ISBLANK(B147),"",COUNTA($B$18:B147))</f>
        <v/>
      </c>
      <c r="B147" s="54" t="n"/>
      <c r="C147" s="55" t="n"/>
      <c r="D147" s="55" t="n"/>
      <c r="E147" s="53" t="n"/>
      <c r="F147" s="56" t="n"/>
      <c r="G147" s="56" t="n"/>
      <c r="H147" s="56" t="n"/>
      <c r="I147" s="56" t="n"/>
      <c r="J147" s="56" t="n"/>
      <c r="K147" s="56" t="n"/>
      <c r="L147" s="57" t="n"/>
      <c r="M147" s="56" t="n"/>
      <c r="N147" s="55" t="n"/>
      <c r="O147" s="58">
        <f>IFERROR(IF(OR(ISBLANK(G147),ISBLANK(I147)),"",ABS(G147-I147)/VLOOKUP(C147,設定!$B$9:$D$23,2,FALSE)),"")</f>
        <v/>
      </c>
      <c r="P147" s="57">
        <f>IFERROR(IF(OR(ISBLANK(F147),ISBLANK(H147),ISBLANK(J147)),"",ABS(J147-F147)/ABS(F147-H147)),"")</f>
        <v/>
      </c>
      <c r="Q147" s="59">
        <f>IFERROR(IF(OR(ISBLANK(M147),ISBLANK(D147),ISBLANK(G147)),"",IF(D147="Long",(M147-G147),(G147-M147))/VLOOKUP(C147,設定!$B$9:$D$23,2,FALSE)),"")</f>
        <v/>
      </c>
      <c r="R147" s="60">
        <f>IFERROR(IF(OR(ISBLANK(Q147),O147=0),"",Q147/O147),"")</f>
        <v/>
      </c>
      <c r="S147" s="60">
        <f>IFERROR(IF(ISBLANK(R147),S146,IF(ISNUMBER(S146),S146,0)+R147),"")</f>
        <v/>
      </c>
      <c r="T147" s="61">
        <f>IFERROR(IF(OR(ISBLANK(Q147),ISBLANK(L147)),"",Q147*L147*VLOOKUP(C147,設定!$B$9:$D$23,3,FALSE)),"")</f>
        <v/>
      </c>
      <c r="U147" s="55" t="n"/>
      <c r="V147" s="55" t="n"/>
    </row>
    <row r="148">
      <c r="A148" s="44">
        <f>IF(ISBLANK(B148),"",COUNTA($B$18:B148))</f>
        <v/>
      </c>
      <c r="B148" s="45" t="n"/>
      <c r="C148" s="46" t="n"/>
      <c r="D148" s="46" t="n"/>
      <c r="E148" s="44" t="n"/>
      <c r="F148" s="47" t="n"/>
      <c r="G148" s="47" t="n"/>
      <c r="H148" s="47" t="n"/>
      <c r="I148" s="47" t="n"/>
      <c r="J148" s="47" t="n"/>
      <c r="K148" s="47" t="n"/>
      <c r="L148" s="48" t="n"/>
      <c r="M148" s="47" t="n"/>
      <c r="N148" s="46" t="n"/>
      <c r="O148" s="49">
        <f>IFERROR(IF(OR(ISBLANK(G148),ISBLANK(I148)),"",ABS(G148-I148)/VLOOKUP(C148,設定!$B$9:$D$23,2,FALSE)),"")</f>
        <v/>
      </c>
      <c r="P148" s="48">
        <f>IFERROR(IF(OR(ISBLANK(F148),ISBLANK(H148),ISBLANK(J148)),"",ABS(J148-F148)/ABS(F148-H148)),"")</f>
        <v/>
      </c>
      <c r="Q148" s="50">
        <f>IFERROR(IF(OR(ISBLANK(M148),ISBLANK(D148),ISBLANK(G148)),"",IF(D148="Long",(M148-G148),(G148-M148))/VLOOKUP(C148,設定!$B$9:$D$23,2,FALSE)),"")</f>
        <v/>
      </c>
      <c r="R148" s="51">
        <f>IFERROR(IF(OR(ISBLANK(Q148),O148=0),"",Q148/O148),"")</f>
        <v/>
      </c>
      <c r="S148" s="51">
        <f>IFERROR(IF(ISBLANK(R148),S147,IF(ISNUMBER(S147),S147,0)+R148),"")</f>
        <v/>
      </c>
      <c r="T148" s="52">
        <f>IFERROR(IF(OR(ISBLANK(Q148),ISBLANK(L148)),"",Q148*L148*VLOOKUP(C148,設定!$B$9:$D$23,3,FALSE)),"")</f>
        <v/>
      </c>
      <c r="U148" s="46" t="n"/>
      <c r="V148" s="46" t="n"/>
    </row>
    <row r="149">
      <c r="A149" s="53">
        <f>IF(ISBLANK(B149),"",COUNTA($B$18:B149))</f>
        <v/>
      </c>
      <c r="B149" s="54" t="n"/>
      <c r="C149" s="55" t="n"/>
      <c r="D149" s="55" t="n"/>
      <c r="E149" s="53" t="n"/>
      <c r="F149" s="56" t="n"/>
      <c r="G149" s="56" t="n"/>
      <c r="H149" s="56" t="n"/>
      <c r="I149" s="56" t="n"/>
      <c r="J149" s="56" t="n"/>
      <c r="K149" s="56" t="n"/>
      <c r="L149" s="57" t="n"/>
      <c r="M149" s="56" t="n"/>
      <c r="N149" s="55" t="n"/>
      <c r="O149" s="58">
        <f>IFERROR(IF(OR(ISBLANK(G149),ISBLANK(I149)),"",ABS(G149-I149)/VLOOKUP(C149,設定!$B$9:$D$23,2,FALSE)),"")</f>
        <v/>
      </c>
      <c r="P149" s="57">
        <f>IFERROR(IF(OR(ISBLANK(F149),ISBLANK(H149),ISBLANK(J149)),"",ABS(J149-F149)/ABS(F149-H149)),"")</f>
        <v/>
      </c>
      <c r="Q149" s="59">
        <f>IFERROR(IF(OR(ISBLANK(M149),ISBLANK(D149),ISBLANK(G149)),"",IF(D149="Long",(M149-G149),(G149-M149))/VLOOKUP(C149,設定!$B$9:$D$23,2,FALSE)),"")</f>
        <v/>
      </c>
      <c r="R149" s="60">
        <f>IFERROR(IF(OR(ISBLANK(Q149),O149=0),"",Q149/O149),"")</f>
        <v/>
      </c>
      <c r="S149" s="60">
        <f>IFERROR(IF(ISBLANK(R149),S148,IF(ISNUMBER(S148),S148,0)+R149),"")</f>
        <v/>
      </c>
      <c r="T149" s="61">
        <f>IFERROR(IF(OR(ISBLANK(Q149),ISBLANK(L149)),"",Q149*L149*VLOOKUP(C149,設定!$B$9:$D$23,3,FALSE)),"")</f>
        <v/>
      </c>
      <c r="U149" s="55" t="n"/>
      <c r="V149" s="55" t="n"/>
    </row>
    <row r="150">
      <c r="A150" s="44">
        <f>IF(ISBLANK(B150),"",COUNTA($B$18:B150))</f>
        <v/>
      </c>
      <c r="B150" s="45" t="n"/>
      <c r="C150" s="46" t="n"/>
      <c r="D150" s="46" t="n"/>
      <c r="E150" s="44" t="n"/>
      <c r="F150" s="47" t="n"/>
      <c r="G150" s="47" t="n"/>
      <c r="H150" s="47" t="n"/>
      <c r="I150" s="47" t="n"/>
      <c r="J150" s="47" t="n"/>
      <c r="K150" s="47" t="n"/>
      <c r="L150" s="48" t="n"/>
      <c r="M150" s="47" t="n"/>
      <c r="N150" s="46" t="n"/>
      <c r="O150" s="49">
        <f>IFERROR(IF(OR(ISBLANK(G150),ISBLANK(I150)),"",ABS(G150-I150)/VLOOKUP(C150,設定!$B$9:$D$23,2,FALSE)),"")</f>
        <v/>
      </c>
      <c r="P150" s="48">
        <f>IFERROR(IF(OR(ISBLANK(F150),ISBLANK(H150),ISBLANK(J150)),"",ABS(J150-F150)/ABS(F150-H150)),"")</f>
        <v/>
      </c>
      <c r="Q150" s="50">
        <f>IFERROR(IF(OR(ISBLANK(M150),ISBLANK(D150),ISBLANK(G150)),"",IF(D150="Long",(M150-G150),(G150-M150))/VLOOKUP(C150,設定!$B$9:$D$23,2,FALSE)),"")</f>
        <v/>
      </c>
      <c r="R150" s="51">
        <f>IFERROR(IF(OR(ISBLANK(Q150),O150=0),"",Q150/O150),"")</f>
        <v/>
      </c>
      <c r="S150" s="51">
        <f>IFERROR(IF(ISBLANK(R150),S149,IF(ISNUMBER(S149),S149,0)+R150),"")</f>
        <v/>
      </c>
      <c r="T150" s="52">
        <f>IFERROR(IF(OR(ISBLANK(Q150),ISBLANK(L150)),"",Q150*L150*VLOOKUP(C150,設定!$B$9:$D$23,3,FALSE)),"")</f>
        <v/>
      </c>
      <c r="U150" s="46" t="n"/>
      <c r="V150" s="46" t="n"/>
    </row>
    <row r="151">
      <c r="A151" s="53">
        <f>IF(ISBLANK(B151),"",COUNTA($B$18:B151))</f>
        <v/>
      </c>
      <c r="B151" s="54" t="n"/>
      <c r="C151" s="55" t="n"/>
      <c r="D151" s="55" t="n"/>
      <c r="E151" s="53" t="n"/>
      <c r="F151" s="56" t="n"/>
      <c r="G151" s="56" t="n"/>
      <c r="H151" s="56" t="n"/>
      <c r="I151" s="56" t="n"/>
      <c r="J151" s="56" t="n"/>
      <c r="K151" s="56" t="n"/>
      <c r="L151" s="57" t="n"/>
      <c r="M151" s="56" t="n"/>
      <c r="N151" s="55" t="n"/>
      <c r="O151" s="58">
        <f>IFERROR(IF(OR(ISBLANK(G151),ISBLANK(I151)),"",ABS(G151-I151)/VLOOKUP(C151,設定!$B$9:$D$23,2,FALSE)),"")</f>
        <v/>
      </c>
      <c r="P151" s="57">
        <f>IFERROR(IF(OR(ISBLANK(F151),ISBLANK(H151),ISBLANK(J151)),"",ABS(J151-F151)/ABS(F151-H151)),"")</f>
        <v/>
      </c>
      <c r="Q151" s="59">
        <f>IFERROR(IF(OR(ISBLANK(M151),ISBLANK(D151),ISBLANK(G151)),"",IF(D151="Long",(M151-G151),(G151-M151))/VLOOKUP(C151,設定!$B$9:$D$23,2,FALSE)),"")</f>
        <v/>
      </c>
      <c r="R151" s="60">
        <f>IFERROR(IF(OR(ISBLANK(Q151),O151=0),"",Q151/O151),"")</f>
        <v/>
      </c>
      <c r="S151" s="60">
        <f>IFERROR(IF(ISBLANK(R151),S150,IF(ISNUMBER(S150),S150,0)+R151),"")</f>
        <v/>
      </c>
      <c r="T151" s="61">
        <f>IFERROR(IF(OR(ISBLANK(Q151),ISBLANK(L151)),"",Q151*L151*VLOOKUP(C151,設定!$B$9:$D$23,3,FALSE)),"")</f>
        <v/>
      </c>
      <c r="U151" s="55" t="n"/>
      <c r="V151" s="55" t="n"/>
    </row>
    <row r="152">
      <c r="A152" s="44">
        <f>IF(ISBLANK(B152),"",COUNTA($B$18:B152))</f>
        <v/>
      </c>
      <c r="B152" s="45" t="n"/>
      <c r="C152" s="46" t="n"/>
      <c r="D152" s="46" t="n"/>
      <c r="E152" s="44" t="n"/>
      <c r="F152" s="47" t="n"/>
      <c r="G152" s="47" t="n"/>
      <c r="H152" s="47" t="n"/>
      <c r="I152" s="47" t="n"/>
      <c r="J152" s="47" t="n"/>
      <c r="K152" s="47" t="n"/>
      <c r="L152" s="48" t="n"/>
      <c r="M152" s="47" t="n"/>
      <c r="N152" s="46" t="n"/>
      <c r="O152" s="49">
        <f>IFERROR(IF(OR(ISBLANK(G152),ISBLANK(I152)),"",ABS(G152-I152)/VLOOKUP(C152,設定!$B$9:$D$23,2,FALSE)),"")</f>
        <v/>
      </c>
      <c r="P152" s="48">
        <f>IFERROR(IF(OR(ISBLANK(F152),ISBLANK(H152),ISBLANK(J152)),"",ABS(J152-F152)/ABS(F152-H152)),"")</f>
        <v/>
      </c>
      <c r="Q152" s="50">
        <f>IFERROR(IF(OR(ISBLANK(M152),ISBLANK(D152),ISBLANK(G152)),"",IF(D152="Long",(M152-G152),(G152-M152))/VLOOKUP(C152,設定!$B$9:$D$23,2,FALSE)),"")</f>
        <v/>
      </c>
      <c r="R152" s="51">
        <f>IFERROR(IF(OR(ISBLANK(Q152),O152=0),"",Q152/O152),"")</f>
        <v/>
      </c>
      <c r="S152" s="51">
        <f>IFERROR(IF(ISBLANK(R152),S151,IF(ISNUMBER(S151),S151,0)+R152),"")</f>
        <v/>
      </c>
      <c r="T152" s="52">
        <f>IFERROR(IF(OR(ISBLANK(Q152),ISBLANK(L152)),"",Q152*L152*VLOOKUP(C152,設定!$B$9:$D$23,3,FALSE)),"")</f>
        <v/>
      </c>
      <c r="U152" s="46" t="n"/>
      <c r="V152" s="46" t="n"/>
    </row>
    <row r="153">
      <c r="A153" s="53">
        <f>IF(ISBLANK(B153),"",COUNTA($B$18:B153))</f>
        <v/>
      </c>
      <c r="B153" s="54" t="n"/>
      <c r="C153" s="55" t="n"/>
      <c r="D153" s="55" t="n"/>
      <c r="E153" s="53" t="n"/>
      <c r="F153" s="56" t="n"/>
      <c r="G153" s="56" t="n"/>
      <c r="H153" s="56" t="n"/>
      <c r="I153" s="56" t="n"/>
      <c r="J153" s="56" t="n"/>
      <c r="K153" s="56" t="n"/>
      <c r="L153" s="57" t="n"/>
      <c r="M153" s="56" t="n"/>
      <c r="N153" s="55" t="n"/>
      <c r="O153" s="58">
        <f>IFERROR(IF(OR(ISBLANK(G153),ISBLANK(I153)),"",ABS(G153-I153)/VLOOKUP(C153,設定!$B$9:$D$23,2,FALSE)),"")</f>
        <v/>
      </c>
      <c r="P153" s="57">
        <f>IFERROR(IF(OR(ISBLANK(F153),ISBLANK(H153),ISBLANK(J153)),"",ABS(J153-F153)/ABS(F153-H153)),"")</f>
        <v/>
      </c>
      <c r="Q153" s="59">
        <f>IFERROR(IF(OR(ISBLANK(M153),ISBLANK(D153),ISBLANK(G153)),"",IF(D153="Long",(M153-G153),(G153-M153))/VLOOKUP(C153,設定!$B$9:$D$23,2,FALSE)),"")</f>
        <v/>
      </c>
      <c r="R153" s="60">
        <f>IFERROR(IF(OR(ISBLANK(Q153),O153=0),"",Q153/O153),"")</f>
        <v/>
      </c>
      <c r="S153" s="60">
        <f>IFERROR(IF(ISBLANK(R153),S152,IF(ISNUMBER(S152),S152,0)+R153),"")</f>
        <v/>
      </c>
      <c r="T153" s="61">
        <f>IFERROR(IF(OR(ISBLANK(Q153),ISBLANK(L153)),"",Q153*L153*VLOOKUP(C153,設定!$B$9:$D$23,3,FALSE)),"")</f>
        <v/>
      </c>
      <c r="U153" s="55" t="n"/>
      <c r="V153" s="55" t="n"/>
    </row>
    <row r="154">
      <c r="A154" s="44">
        <f>IF(ISBLANK(B154),"",COUNTA($B$18:B154))</f>
        <v/>
      </c>
      <c r="B154" s="45" t="n"/>
      <c r="C154" s="46" t="n"/>
      <c r="D154" s="46" t="n"/>
      <c r="E154" s="44" t="n"/>
      <c r="F154" s="47" t="n"/>
      <c r="G154" s="47" t="n"/>
      <c r="H154" s="47" t="n"/>
      <c r="I154" s="47" t="n"/>
      <c r="J154" s="47" t="n"/>
      <c r="K154" s="47" t="n"/>
      <c r="L154" s="48" t="n"/>
      <c r="M154" s="47" t="n"/>
      <c r="N154" s="46" t="n"/>
      <c r="O154" s="49">
        <f>IFERROR(IF(OR(ISBLANK(G154),ISBLANK(I154)),"",ABS(G154-I154)/VLOOKUP(C154,設定!$B$9:$D$23,2,FALSE)),"")</f>
        <v/>
      </c>
      <c r="P154" s="48">
        <f>IFERROR(IF(OR(ISBLANK(F154),ISBLANK(H154),ISBLANK(J154)),"",ABS(J154-F154)/ABS(F154-H154)),"")</f>
        <v/>
      </c>
      <c r="Q154" s="50">
        <f>IFERROR(IF(OR(ISBLANK(M154),ISBLANK(D154),ISBLANK(G154)),"",IF(D154="Long",(M154-G154),(G154-M154))/VLOOKUP(C154,設定!$B$9:$D$23,2,FALSE)),"")</f>
        <v/>
      </c>
      <c r="R154" s="51">
        <f>IFERROR(IF(OR(ISBLANK(Q154),O154=0),"",Q154/O154),"")</f>
        <v/>
      </c>
      <c r="S154" s="51">
        <f>IFERROR(IF(ISBLANK(R154),S153,IF(ISNUMBER(S153),S153,0)+R154),"")</f>
        <v/>
      </c>
      <c r="T154" s="52">
        <f>IFERROR(IF(OR(ISBLANK(Q154),ISBLANK(L154)),"",Q154*L154*VLOOKUP(C154,設定!$B$9:$D$23,3,FALSE)),"")</f>
        <v/>
      </c>
      <c r="U154" s="46" t="n"/>
      <c r="V154" s="46" t="n"/>
    </row>
    <row r="155">
      <c r="A155" s="53">
        <f>IF(ISBLANK(B155),"",COUNTA($B$18:B155))</f>
        <v/>
      </c>
      <c r="B155" s="54" t="n"/>
      <c r="C155" s="55" t="n"/>
      <c r="D155" s="55" t="n"/>
      <c r="E155" s="53" t="n"/>
      <c r="F155" s="56" t="n"/>
      <c r="G155" s="56" t="n"/>
      <c r="H155" s="56" t="n"/>
      <c r="I155" s="56" t="n"/>
      <c r="J155" s="56" t="n"/>
      <c r="K155" s="56" t="n"/>
      <c r="L155" s="57" t="n"/>
      <c r="M155" s="56" t="n"/>
      <c r="N155" s="55" t="n"/>
      <c r="O155" s="58">
        <f>IFERROR(IF(OR(ISBLANK(G155),ISBLANK(I155)),"",ABS(G155-I155)/VLOOKUP(C155,設定!$B$9:$D$23,2,FALSE)),"")</f>
        <v/>
      </c>
      <c r="P155" s="57">
        <f>IFERROR(IF(OR(ISBLANK(F155),ISBLANK(H155),ISBLANK(J155)),"",ABS(J155-F155)/ABS(F155-H155)),"")</f>
        <v/>
      </c>
      <c r="Q155" s="59">
        <f>IFERROR(IF(OR(ISBLANK(M155),ISBLANK(D155),ISBLANK(G155)),"",IF(D155="Long",(M155-G155),(G155-M155))/VLOOKUP(C155,設定!$B$9:$D$23,2,FALSE)),"")</f>
        <v/>
      </c>
      <c r="R155" s="60">
        <f>IFERROR(IF(OR(ISBLANK(Q155),O155=0),"",Q155/O155),"")</f>
        <v/>
      </c>
      <c r="S155" s="60">
        <f>IFERROR(IF(ISBLANK(R155),S154,IF(ISNUMBER(S154),S154,0)+R155),"")</f>
        <v/>
      </c>
      <c r="T155" s="61">
        <f>IFERROR(IF(OR(ISBLANK(Q155),ISBLANK(L155)),"",Q155*L155*VLOOKUP(C155,設定!$B$9:$D$23,3,FALSE)),"")</f>
        <v/>
      </c>
      <c r="U155" s="55" t="n"/>
      <c r="V155" s="55" t="n"/>
    </row>
    <row r="156">
      <c r="A156" s="44">
        <f>IF(ISBLANK(B156),"",COUNTA($B$18:B156))</f>
        <v/>
      </c>
      <c r="B156" s="45" t="n"/>
      <c r="C156" s="46" t="n"/>
      <c r="D156" s="46" t="n"/>
      <c r="E156" s="44" t="n"/>
      <c r="F156" s="47" t="n"/>
      <c r="G156" s="47" t="n"/>
      <c r="H156" s="47" t="n"/>
      <c r="I156" s="47" t="n"/>
      <c r="J156" s="47" t="n"/>
      <c r="K156" s="47" t="n"/>
      <c r="L156" s="48" t="n"/>
      <c r="M156" s="47" t="n"/>
      <c r="N156" s="46" t="n"/>
      <c r="O156" s="49">
        <f>IFERROR(IF(OR(ISBLANK(G156),ISBLANK(I156)),"",ABS(G156-I156)/VLOOKUP(C156,設定!$B$9:$D$23,2,FALSE)),"")</f>
        <v/>
      </c>
      <c r="P156" s="48">
        <f>IFERROR(IF(OR(ISBLANK(F156),ISBLANK(H156),ISBLANK(J156)),"",ABS(J156-F156)/ABS(F156-H156)),"")</f>
        <v/>
      </c>
      <c r="Q156" s="50">
        <f>IFERROR(IF(OR(ISBLANK(M156),ISBLANK(D156),ISBLANK(G156)),"",IF(D156="Long",(M156-G156),(G156-M156))/VLOOKUP(C156,設定!$B$9:$D$23,2,FALSE)),"")</f>
        <v/>
      </c>
      <c r="R156" s="51">
        <f>IFERROR(IF(OR(ISBLANK(Q156),O156=0),"",Q156/O156),"")</f>
        <v/>
      </c>
      <c r="S156" s="51">
        <f>IFERROR(IF(ISBLANK(R156),S155,IF(ISNUMBER(S155),S155,0)+R156),"")</f>
        <v/>
      </c>
      <c r="T156" s="52">
        <f>IFERROR(IF(OR(ISBLANK(Q156),ISBLANK(L156)),"",Q156*L156*VLOOKUP(C156,設定!$B$9:$D$23,3,FALSE)),"")</f>
        <v/>
      </c>
      <c r="U156" s="46" t="n"/>
      <c r="V156" s="46" t="n"/>
    </row>
    <row r="157">
      <c r="A157" s="53">
        <f>IF(ISBLANK(B157),"",COUNTA($B$18:B157))</f>
        <v/>
      </c>
      <c r="B157" s="54" t="n"/>
      <c r="C157" s="55" t="n"/>
      <c r="D157" s="55" t="n"/>
      <c r="E157" s="53" t="n"/>
      <c r="F157" s="56" t="n"/>
      <c r="G157" s="56" t="n"/>
      <c r="H157" s="56" t="n"/>
      <c r="I157" s="56" t="n"/>
      <c r="J157" s="56" t="n"/>
      <c r="K157" s="56" t="n"/>
      <c r="L157" s="57" t="n"/>
      <c r="M157" s="56" t="n"/>
      <c r="N157" s="55" t="n"/>
      <c r="O157" s="58">
        <f>IFERROR(IF(OR(ISBLANK(G157),ISBLANK(I157)),"",ABS(G157-I157)/VLOOKUP(C157,設定!$B$9:$D$23,2,FALSE)),"")</f>
        <v/>
      </c>
      <c r="P157" s="57">
        <f>IFERROR(IF(OR(ISBLANK(F157),ISBLANK(H157),ISBLANK(J157)),"",ABS(J157-F157)/ABS(F157-H157)),"")</f>
        <v/>
      </c>
      <c r="Q157" s="59">
        <f>IFERROR(IF(OR(ISBLANK(M157),ISBLANK(D157),ISBLANK(G157)),"",IF(D157="Long",(M157-G157),(G157-M157))/VLOOKUP(C157,設定!$B$9:$D$23,2,FALSE)),"")</f>
        <v/>
      </c>
      <c r="R157" s="60">
        <f>IFERROR(IF(OR(ISBLANK(Q157),O157=0),"",Q157/O157),"")</f>
        <v/>
      </c>
      <c r="S157" s="60">
        <f>IFERROR(IF(ISBLANK(R157),S156,IF(ISNUMBER(S156),S156,0)+R157),"")</f>
        <v/>
      </c>
      <c r="T157" s="61">
        <f>IFERROR(IF(OR(ISBLANK(Q157),ISBLANK(L157)),"",Q157*L157*VLOOKUP(C157,設定!$B$9:$D$23,3,FALSE)),"")</f>
        <v/>
      </c>
      <c r="U157" s="55" t="n"/>
      <c r="V157" s="55" t="n"/>
    </row>
    <row r="158">
      <c r="A158" s="44">
        <f>IF(ISBLANK(B158),"",COUNTA($B$18:B158))</f>
        <v/>
      </c>
      <c r="B158" s="45" t="n"/>
      <c r="C158" s="46" t="n"/>
      <c r="D158" s="46" t="n"/>
      <c r="E158" s="44" t="n"/>
      <c r="F158" s="47" t="n"/>
      <c r="G158" s="47" t="n"/>
      <c r="H158" s="47" t="n"/>
      <c r="I158" s="47" t="n"/>
      <c r="J158" s="47" t="n"/>
      <c r="K158" s="47" t="n"/>
      <c r="L158" s="48" t="n"/>
      <c r="M158" s="47" t="n"/>
      <c r="N158" s="46" t="n"/>
      <c r="O158" s="49">
        <f>IFERROR(IF(OR(ISBLANK(G158),ISBLANK(I158)),"",ABS(G158-I158)/VLOOKUP(C158,設定!$B$9:$D$23,2,FALSE)),"")</f>
        <v/>
      </c>
      <c r="P158" s="48">
        <f>IFERROR(IF(OR(ISBLANK(F158),ISBLANK(H158),ISBLANK(J158)),"",ABS(J158-F158)/ABS(F158-H158)),"")</f>
        <v/>
      </c>
      <c r="Q158" s="50">
        <f>IFERROR(IF(OR(ISBLANK(M158),ISBLANK(D158),ISBLANK(G158)),"",IF(D158="Long",(M158-G158),(G158-M158))/VLOOKUP(C158,設定!$B$9:$D$23,2,FALSE)),"")</f>
        <v/>
      </c>
      <c r="R158" s="51">
        <f>IFERROR(IF(OR(ISBLANK(Q158),O158=0),"",Q158/O158),"")</f>
        <v/>
      </c>
      <c r="S158" s="51">
        <f>IFERROR(IF(ISBLANK(R158),S157,IF(ISNUMBER(S157),S157,0)+R158),"")</f>
        <v/>
      </c>
      <c r="T158" s="52">
        <f>IFERROR(IF(OR(ISBLANK(Q158),ISBLANK(L158)),"",Q158*L158*VLOOKUP(C158,設定!$B$9:$D$23,3,FALSE)),"")</f>
        <v/>
      </c>
      <c r="U158" s="46" t="n"/>
      <c r="V158" s="46" t="n"/>
    </row>
    <row r="159">
      <c r="A159" s="53">
        <f>IF(ISBLANK(B159),"",COUNTA($B$18:B159))</f>
        <v/>
      </c>
      <c r="B159" s="54" t="n"/>
      <c r="C159" s="55" t="n"/>
      <c r="D159" s="55" t="n"/>
      <c r="E159" s="53" t="n"/>
      <c r="F159" s="56" t="n"/>
      <c r="G159" s="56" t="n"/>
      <c r="H159" s="56" t="n"/>
      <c r="I159" s="56" t="n"/>
      <c r="J159" s="56" t="n"/>
      <c r="K159" s="56" t="n"/>
      <c r="L159" s="57" t="n"/>
      <c r="M159" s="56" t="n"/>
      <c r="N159" s="55" t="n"/>
      <c r="O159" s="58">
        <f>IFERROR(IF(OR(ISBLANK(G159),ISBLANK(I159)),"",ABS(G159-I159)/VLOOKUP(C159,設定!$B$9:$D$23,2,FALSE)),"")</f>
        <v/>
      </c>
      <c r="P159" s="57">
        <f>IFERROR(IF(OR(ISBLANK(F159),ISBLANK(H159),ISBLANK(J159)),"",ABS(J159-F159)/ABS(F159-H159)),"")</f>
        <v/>
      </c>
      <c r="Q159" s="59">
        <f>IFERROR(IF(OR(ISBLANK(M159),ISBLANK(D159),ISBLANK(G159)),"",IF(D159="Long",(M159-G159),(G159-M159))/VLOOKUP(C159,設定!$B$9:$D$23,2,FALSE)),"")</f>
        <v/>
      </c>
      <c r="R159" s="60">
        <f>IFERROR(IF(OR(ISBLANK(Q159),O159=0),"",Q159/O159),"")</f>
        <v/>
      </c>
      <c r="S159" s="60">
        <f>IFERROR(IF(ISBLANK(R159),S158,IF(ISNUMBER(S158),S158,0)+R159),"")</f>
        <v/>
      </c>
      <c r="T159" s="61">
        <f>IFERROR(IF(OR(ISBLANK(Q159),ISBLANK(L159)),"",Q159*L159*VLOOKUP(C159,設定!$B$9:$D$23,3,FALSE)),"")</f>
        <v/>
      </c>
      <c r="U159" s="55" t="n"/>
      <c r="V159" s="55" t="n"/>
    </row>
    <row r="160">
      <c r="A160" s="44">
        <f>IF(ISBLANK(B160),"",COUNTA($B$18:B160))</f>
        <v/>
      </c>
      <c r="B160" s="45" t="n"/>
      <c r="C160" s="46" t="n"/>
      <c r="D160" s="46" t="n"/>
      <c r="E160" s="44" t="n"/>
      <c r="F160" s="47" t="n"/>
      <c r="G160" s="47" t="n"/>
      <c r="H160" s="47" t="n"/>
      <c r="I160" s="47" t="n"/>
      <c r="J160" s="47" t="n"/>
      <c r="K160" s="47" t="n"/>
      <c r="L160" s="48" t="n"/>
      <c r="M160" s="47" t="n"/>
      <c r="N160" s="46" t="n"/>
      <c r="O160" s="49">
        <f>IFERROR(IF(OR(ISBLANK(G160),ISBLANK(I160)),"",ABS(G160-I160)/VLOOKUP(C160,設定!$B$9:$D$23,2,FALSE)),"")</f>
        <v/>
      </c>
      <c r="P160" s="48">
        <f>IFERROR(IF(OR(ISBLANK(F160),ISBLANK(H160),ISBLANK(J160)),"",ABS(J160-F160)/ABS(F160-H160)),"")</f>
        <v/>
      </c>
      <c r="Q160" s="50">
        <f>IFERROR(IF(OR(ISBLANK(M160),ISBLANK(D160),ISBLANK(G160)),"",IF(D160="Long",(M160-G160),(G160-M160))/VLOOKUP(C160,設定!$B$9:$D$23,2,FALSE)),"")</f>
        <v/>
      </c>
      <c r="R160" s="51">
        <f>IFERROR(IF(OR(ISBLANK(Q160),O160=0),"",Q160/O160),"")</f>
        <v/>
      </c>
      <c r="S160" s="51">
        <f>IFERROR(IF(ISBLANK(R160),S159,IF(ISNUMBER(S159),S159,0)+R160),"")</f>
        <v/>
      </c>
      <c r="T160" s="52">
        <f>IFERROR(IF(OR(ISBLANK(Q160),ISBLANK(L160)),"",Q160*L160*VLOOKUP(C160,設定!$B$9:$D$23,3,FALSE)),"")</f>
        <v/>
      </c>
      <c r="U160" s="46" t="n"/>
      <c r="V160" s="46" t="n"/>
    </row>
    <row r="161">
      <c r="A161" s="53">
        <f>IF(ISBLANK(B161),"",COUNTA($B$18:B161))</f>
        <v/>
      </c>
      <c r="B161" s="54" t="n"/>
      <c r="C161" s="55" t="n"/>
      <c r="D161" s="55" t="n"/>
      <c r="E161" s="53" t="n"/>
      <c r="F161" s="56" t="n"/>
      <c r="G161" s="56" t="n"/>
      <c r="H161" s="56" t="n"/>
      <c r="I161" s="56" t="n"/>
      <c r="J161" s="56" t="n"/>
      <c r="K161" s="56" t="n"/>
      <c r="L161" s="57" t="n"/>
      <c r="M161" s="56" t="n"/>
      <c r="N161" s="55" t="n"/>
      <c r="O161" s="58">
        <f>IFERROR(IF(OR(ISBLANK(G161),ISBLANK(I161)),"",ABS(G161-I161)/VLOOKUP(C161,設定!$B$9:$D$23,2,FALSE)),"")</f>
        <v/>
      </c>
      <c r="P161" s="57">
        <f>IFERROR(IF(OR(ISBLANK(F161),ISBLANK(H161),ISBLANK(J161)),"",ABS(J161-F161)/ABS(F161-H161)),"")</f>
        <v/>
      </c>
      <c r="Q161" s="59">
        <f>IFERROR(IF(OR(ISBLANK(M161),ISBLANK(D161),ISBLANK(G161)),"",IF(D161="Long",(M161-G161),(G161-M161))/VLOOKUP(C161,設定!$B$9:$D$23,2,FALSE)),"")</f>
        <v/>
      </c>
      <c r="R161" s="60">
        <f>IFERROR(IF(OR(ISBLANK(Q161),O161=0),"",Q161/O161),"")</f>
        <v/>
      </c>
      <c r="S161" s="60">
        <f>IFERROR(IF(ISBLANK(R161),S160,IF(ISNUMBER(S160),S160,0)+R161),"")</f>
        <v/>
      </c>
      <c r="T161" s="61">
        <f>IFERROR(IF(OR(ISBLANK(Q161),ISBLANK(L161)),"",Q161*L161*VLOOKUP(C161,設定!$B$9:$D$23,3,FALSE)),"")</f>
        <v/>
      </c>
      <c r="U161" s="55" t="n"/>
      <c r="V161" s="55" t="n"/>
    </row>
    <row r="162">
      <c r="A162" s="44">
        <f>IF(ISBLANK(B162),"",COUNTA($B$18:B162))</f>
        <v/>
      </c>
      <c r="B162" s="45" t="n"/>
      <c r="C162" s="46" t="n"/>
      <c r="D162" s="46" t="n"/>
      <c r="E162" s="44" t="n"/>
      <c r="F162" s="47" t="n"/>
      <c r="G162" s="47" t="n"/>
      <c r="H162" s="47" t="n"/>
      <c r="I162" s="47" t="n"/>
      <c r="J162" s="47" t="n"/>
      <c r="K162" s="47" t="n"/>
      <c r="L162" s="48" t="n"/>
      <c r="M162" s="47" t="n"/>
      <c r="N162" s="46" t="n"/>
      <c r="O162" s="49">
        <f>IFERROR(IF(OR(ISBLANK(G162),ISBLANK(I162)),"",ABS(G162-I162)/VLOOKUP(C162,設定!$B$9:$D$23,2,FALSE)),"")</f>
        <v/>
      </c>
      <c r="P162" s="48">
        <f>IFERROR(IF(OR(ISBLANK(F162),ISBLANK(H162),ISBLANK(J162)),"",ABS(J162-F162)/ABS(F162-H162)),"")</f>
        <v/>
      </c>
      <c r="Q162" s="50">
        <f>IFERROR(IF(OR(ISBLANK(M162),ISBLANK(D162),ISBLANK(G162)),"",IF(D162="Long",(M162-G162),(G162-M162))/VLOOKUP(C162,設定!$B$9:$D$23,2,FALSE)),"")</f>
        <v/>
      </c>
      <c r="R162" s="51">
        <f>IFERROR(IF(OR(ISBLANK(Q162),O162=0),"",Q162/O162),"")</f>
        <v/>
      </c>
      <c r="S162" s="51">
        <f>IFERROR(IF(ISBLANK(R162),S161,IF(ISNUMBER(S161),S161,0)+R162),"")</f>
        <v/>
      </c>
      <c r="T162" s="52">
        <f>IFERROR(IF(OR(ISBLANK(Q162),ISBLANK(L162)),"",Q162*L162*VLOOKUP(C162,設定!$B$9:$D$23,3,FALSE)),"")</f>
        <v/>
      </c>
      <c r="U162" s="46" t="n"/>
      <c r="V162" s="46" t="n"/>
    </row>
    <row r="163">
      <c r="A163" s="53">
        <f>IF(ISBLANK(B163),"",COUNTA($B$18:B163))</f>
        <v/>
      </c>
      <c r="B163" s="54" t="n"/>
      <c r="C163" s="55" t="n"/>
      <c r="D163" s="55" t="n"/>
      <c r="E163" s="53" t="n"/>
      <c r="F163" s="56" t="n"/>
      <c r="G163" s="56" t="n"/>
      <c r="H163" s="56" t="n"/>
      <c r="I163" s="56" t="n"/>
      <c r="J163" s="56" t="n"/>
      <c r="K163" s="56" t="n"/>
      <c r="L163" s="57" t="n"/>
      <c r="M163" s="56" t="n"/>
      <c r="N163" s="55" t="n"/>
      <c r="O163" s="58">
        <f>IFERROR(IF(OR(ISBLANK(G163),ISBLANK(I163)),"",ABS(G163-I163)/VLOOKUP(C163,設定!$B$9:$D$23,2,FALSE)),"")</f>
        <v/>
      </c>
      <c r="P163" s="57">
        <f>IFERROR(IF(OR(ISBLANK(F163),ISBLANK(H163),ISBLANK(J163)),"",ABS(J163-F163)/ABS(F163-H163)),"")</f>
        <v/>
      </c>
      <c r="Q163" s="59">
        <f>IFERROR(IF(OR(ISBLANK(M163),ISBLANK(D163),ISBLANK(G163)),"",IF(D163="Long",(M163-G163),(G163-M163))/VLOOKUP(C163,設定!$B$9:$D$23,2,FALSE)),"")</f>
        <v/>
      </c>
      <c r="R163" s="60">
        <f>IFERROR(IF(OR(ISBLANK(Q163),O163=0),"",Q163/O163),"")</f>
        <v/>
      </c>
      <c r="S163" s="60">
        <f>IFERROR(IF(ISBLANK(R163),S162,IF(ISNUMBER(S162),S162,0)+R163),"")</f>
        <v/>
      </c>
      <c r="T163" s="61">
        <f>IFERROR(IF(OR(ISBLANK(Q163),ISBLANK(L163)),"",Q163*L163*VLOOKUP(C163,設定!$B$9:$D$23,3,FALSE)),"")</f>
        <v/>
      </c>
      <c r="U163" s="55" t="n"/>
      <c r="V163" s="55" t="n"/>
    </row>
    <row r="164">
      <c r="A164" s="44">
        <f>IF(ISBLANK(B164),"",COUNTA($B$18:B164))</f>
        <v/>
      </c>
      <c r="B164" s="45" t="n"/>
      <c r="C164" s="46" t="n"/>
      <c r="D164" s="46" t="n"/>
      <c r="E164" s="44" t="n"/>
      <c r="F164" s="47" t="n"/>
      <c r="G164" s="47" t="n"/>
      <c r="H164" s="47" t="n"/>
      <c r="I164" s="47" t="n"/>
      <c r="J164" s="47" t="n"/>
      <c r="K164" s="47" t="n"/>
      <c r="L164" s="48" t="n"/>
      <c r="M164" s="47" t="n"/>
      <c r="N164" s="46" t="n"/>
      <c r="O164" s="49">
        <f>IFERROR(IF(OR(ISBLANK(G164),ISBLANK(I164)),"",ABS(G164-I164)/VLOOKUP(C164,設定!$B$9:$D$23,2,FALSE)),"")</f>
        <v/>
      </c>
      <c r="P164" s="48">
        <f>IFERROR(IF(OR(ISBLANK(F164),ISBLANK(H164),ISBLANK(J164)),"",ABS(J164-F164)/ABS(F164-H164)),"")</f>
        <v/>
      </c>
      <c r="Q164" s="50">
        <f>IFERROR(IF(OR(ISBLANK(M164),ISBLANK(D164),ISBLANK(G164)),"",IF(D164="Long",(M164-G164),(G164-M164))/VLOOKUP(C164,設定!$B$9:$D$23,2,FALSE)),"")</f>
        <v/>
      </c>
      <c r="R164" s="51">
        <f>IFERROR(IF(OR(ISBLANK(Q164),O164=0),"",Q164/O164),"")</f>
        <v/>
      </c>
      <c r="S164" s="51">
        <f>IFERROR(IF(ISBLANK(R164),S163,IF(ISNUMBER(S163),S163,0)+R164),"")</f>
        <v/>
      </c>
      <c r="T164" s="52">
        <f>IFERROR(IF(OR(ISBLANK(Q164),ISBLANK(L164)),"",Q164*L164*VLOOKUP(C164,設定!$B$9:$D$23,3,FALSE)),"")</f>
        <v/>
      </c>
      <c r="U164" s="46" t="n"/>
      <c r="V164" s="46" t="n"/>
    </row>
    <row r="165">
      <c r="A165" s="53">
        <f>IF(ISBLANK(B165),"",COUNTA($B$18:B165))</f>
        <v/>
      </c>
      <c r="B165" s="54" t="n"/>
      <c r="C165" s="55" t="n"/>
      <c r="D165" s="55" t="n"/>
      <c r="E165" s="53" t="n"/>
      <c r="F165" s="56" t="n"/>
      <c r="G165" s="56" t="n"/>
      <c r="H165" s="56" t="n"/>
      <c r="I165" s="56" t="n"/>
      <c r="J165" s="56" t="n"/>
      <c r="K165" s="56" t="n"/>
      <c r="L165" s="57" t="n"/>
      <c r="M165" s="56" t="n"/>
      <c r="N165" s="55" t="n"/>
      <c r="O165" s="58">
        <f>IFERROR(IF(OR(ISBLANK(G165),ISBLANK(I165)),"",ABS(G165-I165)/VLOOKUP(C165,設定!$B$9:$D$23,2,FALSE)),"")</f>
        <v/>
      </c>
      <c r="P165" s="57">
        <f>IFERROR(IF(OR(ISBLANK(F165),ISBLANK(H165),ISBLANK(J165)),"",ABS(J165-F165)/ABS(F165-H165)),"")</f>
        <v/>
      </c>
      <c r="Q165" s="59">
        <f>IFERROR(IF(OR(ISBLANK(M165),ISBLANK(D165),ISBLANK(G165)),"",IF(D165="Long",(M165-G165),(G165-M165))/VLOOKUP(C165,設定!$B$9:$D$23,2,FALSE)),"")</f>
        <v/>
      </c>
      <c r="R165" s="60">
        <f>IFERROR(IF(OR(ISBLANK(Q165),O165=0),"",Q165/O165),"")</f>
        <v/>
      </c>
      <c r="S165" s="60">
        <f>IFERROR(IF(ISBLANK(R165),S164,IF(ISNUMBER(S164),S164,0)+R165),"")</f>
        <v/>
      </c>
      <c r="T165" s="61">
        <f>IFERROR(IF(OR(ISBLANK(Q165),ISBLANK(L165)),"",Q165*L165*VLOOKUP(C165,設定!$B$9:$D$23,3,FALSE)),"")</f>
        <v/>
      </c>
      <c r="U165" s="55" t="n"/>
      <c r="V165" s="55" t="n"/>
    </row>
    <row r="166">
      <c r="A166" s="44">
        <f>IF(ISBLANK(B166),"",COUNTA($B$18:B166))</f>
        <v/>
      </c>
      <c r="B166" s="45" t="n"/>
      <c r="C166" s="46" t="n"/>
      <c r="D166" s="46" t="n"/>
      <c r="E166" s="44" t="n"/>
      <c r="F166" s="47" t="n"/>
      <c r="G166" s="47" t="n"/>
      <c r="H166" s="47" t="n"/>
      <c r="I166" s="47" t="n"/>
      <c r="J166" s="47" t="n"/>
      <c r="K166" s="47" t="n"/>
      <c r="L166" s="48" t="n"/>
      <c r="M166" s="47" t="n"/>
      <c r="N166" s="46" t="n"/>
      <c r="O166" s="49">
        <f>IFERROR(IF(OR(ISBLANK(G166),ISBLANK(I166)),"",ABS(G166-I166)/VLOOKUP(C166,設定!$B$9:$D$23,2,FALSE)),"")</f>
        <v/>
      </c>
      <c r="P166" s="48">
        <f>IFERROR(IF(OR(ISBLANK(F166),ISBLANK(H166),ISBLANK(J166)),"",ABS(J166-F166)/ABS(F166-H166)),"")</f>
        <v/>
      </c>
      <c r="Q166" s="50">
        <f>IFERROR(IF(OR(ISBLANK(M166),ISBLANK(D166),ISBLANK(G166)),"",IF(D166="Long",(M166-G166),(G166-M166))/VLOOKUP(C166,設定!$B$9:$D$23,2,FALSE)),"")</f>
        <v/>
      </c>
      <c r="R166" s="51">
        <f>IFERROR(IF(OR(ISBLANK(Q166),O166=0),"",Q166/O166),"")</f>
        <v/>
      </c>
      <c r="S166" s="51">
        <f>IFERROR(IF(ISBLANK(R166),S165,IF(ISNUMBER(S165),S165,0)+R166),"")</f>
        <v/>
      </c>
      <c r="T166" s="52">
        <f>IFERROR(IF(OR(ISBLANK(Q166),ISBLANK(L166)),"",Q166*L166*VLOOKUP(C166,設定!$B$9:$D$23,3,FALSE)),"")</f>
        <v/>
      </c>
      <c r="U166" s="46" t="n"/>
      <c r="V166" s="46" t="n"/>
    </row>
    <row r="167">
      <c r="A167" s="53">
        <f>IF(ISBLANK(B167),"",COUNTA($B$18:B167))</f>
        <v/>
      </c>
      <c r="B167" s="54" t="n"/>
      <c r="C167" s="55" t="n"/>
      <c r="D167" s="55" t="n"/>
      <c r="E167" s="53" t="n"/>
      <c r="F167" s="56" t="n"/>
      <c r="G167" s="56" t="n"/>
      <c r="H167" s="56" t="n"/>
      <c r="I167" s="56" t="n"/>
      <c r="J167" s="56" t="n"/>
      <c r="K167" s="56" t="n"/>
      <c r="L167" s="57" t="n"/>
      <c r="M167" s="56" t="n"/>
      <c r="N167" s="55" t="n"/>
      <c r="O167" s="58">
        <f>IFERROR(IF(OR(ISBLANK(G167),ISBLANK(I167)),"",ABS(G167-I167)/VLOOKUP(C167,設定!$B$9:$D$23,2,FALSE)),"")</f>
        <v/>
      </c>
      <c r="P167" s="57">
        <f>IFERROR(IF(OR(ISBLANK(F167),ISBLANK(H167),ISBLANK(J167)),"",ABS(J167-F167)/ABS(F167-H167)),"")</f>
        <v/>
      </c>
      <c r="Q167" s="59">
        <f>IFERROR(IF(OR(ISBLANK(M167),ISBLANK(D167),ISBLANK(G167)),"",IF(D167="Long",(M167-G167),(G167-M167))/VLOOKUP(C167,設定!$B$9:$D$23,2,FALSE)),"")</f>
        <v/>
      </c>
      <c r="R167" s="60">
        <f>IFERROR(IF(OR(ISBLANK(Q167),O167=0),"",Q167/O167),"")</f>
        <v/>
      </c>
      <c r="S167" s="60">
        <f>IFERROR(IF(ISBLANK(R167),S166,IF(ISNUMBER(S166),S166,0)+R167),"")</f>
        <v/>
      </c>
      <c r="T167" s="61">
        <f>IFERROR(IF(OR(ISBLANK(Q167),ISBLANK(L167)),"",Q167*L167*VLOOKUP(C167,設定!$B$9:$D$23,3,FALSE)),"")</f>
        <v/>
      </c>
      <c r="U167" s="55" t="n"/>
      <c r="V167" s="55" t="n"/>
    </row>
    <row r="168">
      <c r="A168" s="44">
        <f>IF(ISBLANK(B168),"",COUNTA($B$18:B168))</f>
        <v/>
      </c>
      <c r="B168" s="45" t="n"/>
      <c r="C168" s="46" t="n"/>
      <c r="D168" s="46" t="n"/>
      <c r="E168" s="44" t="n"/>
      <c r="F168" s="47" t="n"/>
      <c r="G168" s="47" t="n"/>
      <c r="H168" s="47" t="n"/>
      <c r="I168" s="47" t="n"/>
      <c r="J168" s="47" t="n"/>
      <c r="K168" s="47" t="n"/>
      <c r="L168" s="48" t="n"/>
      <c r="M168" s="47" t="n"/>
      <c r="N168" s="46" t="n"/>
      <c r="O168" s="49">
        <f>IFERROR(IF(OR(ISBLANK(G168),ISBLANK(I168)),"",ABS(G168-I168)/VLOOKUP(C168,設定!$B$9:$D$23,2,FALSE)),"")</f>
        <v/>
      </c>
      <c r="P168" s="48">
        <f>IFERROR(IF(OR(ISBLANK(F168),ISBLANK(H168),ISBLANK(J168)),"",ABS(J168-F168)/ABS(F168-H168)),"")</f>
        <v/>
      </c>
      <c r="Q168" s="50">
        <f>IFERROR(IF(OR(ISBLANK(M168),ISBLANK(D168),ISBLANK(G168)),"",IF(D168="Long",(M168-G168),(G168-M168))/VLOOKUP(C168,設定!$B$9:$D$23,2,FALSE)),"")</f>
        <v/>
      </c>
      <c r="R168" s="51">
        <f>IFERROR(IF(OR(ISBLANK(Q168),O168=0),"",Q168/O168),"")</f>
        <v/>
      </c>
      <c r="S168" s="51">
        <f>IFERROR(IF(ISBLANK(R168),S167,IF(ISNUMBER(S167),S167,0)+R168),"")</f>
        <v/>
      </c>
      <c r="T168" s="52">
        <f>IFERROR(IF(OR(ISBLANK(Q168),ISBLANK(L168)),"",Q168*L168*VLOOKUP(C168,設定!$B$9:$D$23,3,FALSE)),"")</f>
        <v/>
      </c>
      <c r="U168" s="46" t="n"/>
      <c r="V168" s="46" t="n"/>
    </row>
    <row r="169">
      <c r="A169" s="53">
        <f>IF(ISBLANK(B169),"",COUNTA($B$18:B169))</f>
        <v/>
      </c>
      <c r="B169" s="54" t="n"/>
      <c r="C169" s="55" t="n"/>
      <c r="D169" s="55" t="n"/>
      <c r="E169" s="53" t="n"/>
      <c r="F169" s="56" t="n"/>
      <c r="G169" s="56" t="n"/>
      <c r="H169" s="56" t="n"/>
      <c r="I169" s="56" t="n"/>
      <c r="J169" s="56" t="n"/>
      <c r="K169" s="56" t="n"/>
      <c r="L169" s="57" t="n"/>
      <c r="M169" s="56" t="n"/>
      <c r="N169" s="55" t="n"/>
      <c r="O169" s="58">
        <f>IFERROR(IF(OR(ISBLANK(G169),ISBLANK(I169)),"",ABS(G169-I169)/VLOOKUP(C169,設定!$B$9:$D$23,2,FALSE)),"")</f>
        <v/>
      </c>
      <c r="P169" s="57">
        <f>IFERROR(IF(OR(ISBLANK(F169),ISBLANK(H169),ISBLANK(J169)),"",ABS(J169-F169)/ABS(F169-H169)),"")</f>
        <v/>
      </c>
      <c r="Q169" s="59">
        <f>IFERROR(IF(OR(ISBLANK(M169),ISBLANK(D169),ISBLANK(G169)),"",IF(D169="Long",(M169-G169),(G169-M169))/VLOOKUP(C169,設定!$B$9:$D$23,2,FALSE)),"")</f>
        <v/>
      </c>
      <c r="R169" s="60">
        <f>IFERROR(IF(OR(ISBLANK(Q169),O169=0),"",Q169/O169),"")</f>
        <v/>
      </c>
      <c r="S169" s="60">
        <f>IFERROR(IF(ISBLANK(R169),S168,IF(ISNUMBER(S168),S168,0)+R169),"")</f>
        <v/>
      </c>
      <c r="T169" s="61">
        <f>IFERROR(IF(OR(ISBLANK(Q169),ISBLANK(L169)),"",Q169*L169*VLOOKUP(C169,設定!$B$9:$D$23,3,FALSE)),"")</f>
        <v/>
      </c>
      <c r="U169" s="55" t="n"/>
      <c r="V169" s="55" t="n"/>
    </row>
    <row r="170">
      <c r="A170" s="44">
        <f>IF(ISBLANK(B170),"",COUNTA($B$18:B170))</f>
        <v/>
      </c>
      <c r="B170" s="45" t="n"/>
      <c r="C170" s="46" t="n"/>
      <c r="D170" s="46" t="n"/>
      <c r="E170" s="44" t="n"/>
      <c r="F170" s="47" t="n"/>
      <c r="G170" s="47" t="n"/>
      <c r="H170" s="47" t="n"/>
      <c r="I170" s="47" t="n"/>
      <c r="J170" s="47" t="n"/>
      <c r="K170" s="47" t="n"/>
      <c r="L170" s="48" t="n"/>
      <c r="M170" s="47" t="n"/>
      <c r="N170" s="46" t="n"/>
      <c r="O170" s="49">
        <f>IFERROR(IF(OR(ISBLANK(G170),ISBLANK(I170)),"",ABS(G170-I170)/VLOOKUP(C170,設定!$B$9:$D$23,2,FALSE)),"")</f>
        <v/>
      </c>
      <c r="P170" s="48">
        <f>IFERROR(IF(OR(ISBLANK(F170),ISBLANK(H170),ISBLANK(J170)),"",ABS(J170-F170)/ABS(F170-H170)),"")</f>
        <v/>
      </c>
      <c r="Q170" s="50">
        <f>IFERROR(IF(OR(ISBLANK(M170),ISBLANK(D170),ISBLANK(G170)),"",IF(D170="Long",(M170-G170),(G170-M170))/VLOOKUP(C170,設定!$B$9:$D$23,2,FALSE)),"")</f>
        <v/>
      </c>
      <c r="R170" s="51">
        <f>IFERROR(IF(OR(ISBLANK(Q170),O170=0),"",Q170/O170),"")</f>
        <v/>
      </c>
      <c r="S170" s="51">
        <f>IFERROR(IF(ISBLANK(R170),S169,IF(ISNUMBER(S169),S169,0)+R170),"")</f>
        <v/>
      </c>
      <c r="T170" s="52">
        <f>IFERROR(IF(OR(ISBLANK(Q170),ISBLANK(L170)),"",Q170*L170*VLOOKUP(C170,設定!$B$9:$D$23,3,FALSE)),"")</f>
        <v/>
      </c>
      <c r="U170" s="46" t="n"/>
      <c r="V170" s="46" t="n"/>
    </row>
    <row r="171">
      <c r="A171" s="53">
        <f>IF(ISBLANK(B171),"",COUNTA($B$18:B171))</f>
        <v/>
      </c>
      <c r="B171" s="54" t="n"/>
      <c r="C171" s="55" t="n"/>
      <c r="D171" s="55" t="n"/>
      <c r="E171" s="53" t="n"/>
      <c r="F171" s="56" t="n"/>
      <c r="G171" s="56" t="n"/>
      <c r="H171" s="56" t="n"/>
      <c r="I171" s="56" t="n"/>
      <c r="J171" s="56" t="n"/>
      <c r="K171" s="56" t="n"/>
      <c r="L171" s="57" t="n"/>
      <c r="M171" s="56" t="n"/>
      <c r="N171" s="55" t="n"/>
      <c r="O171" s="58">
        <f>IFERROR(IF(OR(ISBLANK(G171),ISBLANK(I171)),"",ABS(G171-I171)/VLOOKUP(C171,設定!$B$9:$D$23,2,FALSE)),"")</f>
        <v/>
      </c>
      <c r="P171" s="57">
        <f>IFERROR(IF(OR(ISBLANK(F171),ISBLANK(H171),ISBLANK(J171)),"",ABS(J171-F171)/ABS(F171-H171)),"")</f>
        <v/>
      </c>
      <c r="Q171" s="59">
        <f>IFERROR(IF(OR(ISBLANK(M171),ISBLANK(D171),ISBLANK(G171)),"",IF(D171="Long",(M171-G171),(G171-M171))/VLOOKUP(C171,設定!$B$9:$D$23,2,FALSE)),"")</f>
        <v/>
      </c>
      <c r="R171" s="60">
        <f>IFERROR(IF(OR(ISBLANK(Q171),O171=0),"",Q171/O171),"")</f>
        <v/>
      </c>
      <c r="S171" s="60">
        <f>IFERROR(IF(ISBLANK(R171),S170,IF(ISNUMBER(S170),S170,0)+R171),"")</f>
        <v/>
      </c>
      <c r="T171" s="61">
        <f>IFERROR(IF(OR(ISBLANK(Q171),ISBLANK(L171)),"",Q171*L171*VLOOKUP(C171,設定!$B$9:$D$23,3,FALSE)),"")</f>
        <v/>
      </c>
      <c r="U171" s="55" t="n"/>
      <c r="V171" s="55" t="n"/>
    </row>
    <row r="172">
      <c r="A172" s="44">
        <f>IF(ISBLANK(B172),"",COUNTA($B$18:B172))</f>
        <v/>
      </c>
      <c r="B172" s="45" t="n"/>
      <c r="C172" s="46" t="n"/>
      <c r="D172" s="46" t="n"/>
      <c r="E172" s="44" t="n"/>
      <c r="F172" s="47" t="n"/>
      <c r="G172" s="47" t="n"/>
      <c r="H172" s="47" t="n"/>
      <c r="I172" s="47" t="n"/>
      <c r="J172" s="47" t="n"/>
      <c r="K172" s="47" t="n"/>
      <c r="L172" s="48" t="n"/>
      <c r="M172" s="47" t="n"/>
      <c r="N172" s="46" t="n"/>
      <c r="O172" s="49">
        <f>IFERROR(IF(OR(ISBLANK(G172),ISBLANK(I172)),"",ABS(G172-I172)/VLOOKUP(C172,設定!$B$9:$D$23,2,FALSE)),"")</f>
        <v/>
      </c>
      <c r="P172" s="48">
        <f>IFERROR(IF(OR(ISBLANK(F172),ISBLANK(H172),ISBLANK(J172)),"",ABS(J172-F172)/ABS(F172-H172)),"")</f>
        <v/>
      </c>
      <c r="Q172" s="50">
        <f>IFERROR(IF(OR(ISBLANK(M172),ISBLANK(D172),ISBLANK(G172)),"",IF(D172="Long",(M172-G172),(G172-M172))/VLOOKUP(C172,設定!$B$9:$D$23,2,FALSE)),"")</f>
        <v/>
      </c>
      <c r="R172" s="51">
        <f>IFERROR(IF(OR(ISBLANK(Q172),O172=0),"",Q172/O172),"")</f>
        <v/>
      </c>
      <c r="S172" s="51">
        <f>IFERROR(IF(ISBLANK(R172),S171,IF(ISNUMBER(S171),S171,0)+R172),"")</f>
        <v/>
      </c>
      <c r="T172" s="52">
        <f>IFERROR(IF(OR(ISBLANK(Q172),ISBLANK(L172)),"",Q172*L172*VLOOKUP(C172,設定!$B$9:$D$23,3,FALSE)),"")</f>
        <v/>
      </c>
      <c r="U172" s="46" t="n"/>
      <c r="V172" s="46" t="n"/>
    </row>
    <row r="173">
      <c r="A173" s="53">
        <f>IF(ISBLANK(B173),"",COUNTA($B$18:B173))</f>
        <v/>
      </c>
      <c r="B173" s="54" t="n"/>
      <c r="C173" s="55" t="n"/>
      <c r="D173" s="55" t="n"/>
      <c r="E173" s="53" t="n"/>
      <c r="F173" s="56" t="n"/>
      <c r="G173" s="56" t="n"/>
      <c r="H173" s="56" t="n"/>
      <c r="I173" s="56" t="n"/>
      <c r="J173" s="56" t="n"/>
      <c r="K173" s="56" t="n"/>
      <c r="L173" s="57" t="n"/>
      <c r="M173" s="56" t="n"/>
      <c r="N173" s="55" t="n"/>
      <c r="O173" s="58">
        <f>IFERROR(IF(OR(ISBLANK(G173),ISBLANK(I173)),"",ABS(G173-I173)/VLOOKUP(C173,設定!$B$9:$D$23,2,FALSE)),"")</f>
        <v/>
      </c>
      <c r="P173" s="57">
        <f>IFERROR(IF(OR(ISBLANK(F173),ISBLANK(H173),ISBLANK(J173)),"",ABS(J173-F173)/ABS(F173-H173)),"")</f>
        <v/>
      </c>
      <c r="Q173" s="59">
        <f>IFERROR(IF(OR(ISBLANK(M173),ISBLANK(D173),ISBLANK(G173)),"",IF(D173="Long",(M173-G173),(G173-M173))/VLOOKUP(C173,設定!$B$9:$D$23,2,FALSE)),"")</f>
        <v/>
      </c>
      <c r="R173" s="60">
        <f>IFERROR(IF(OR(ISBLANK(Q173),O173=0),"",Q173/O173),"")</f>
        <v/>
      </c>
      <c r="S173" s="60">
        <f>IFERROR(IF(ISBLANK(R173),S172,IF(ISNUMBER(S172),S172,0)+R173),"")</f>
        <v/>
      </c>
      <c r="T173" s="61">
        <f>IFERROR(IF(OR(ISBLANK(Q173),ISBLANK(L173)),"",Q173*L173*VLOOKUP(C173,設定!$B$9:$D$23,3,FALSE)),"")</f>
        <v/>
      </c>
      <c r="U173" s="55" t="n"/>
      <c r="V173" s="55" t="n"/>
    </row>
    <row r="174">
      <c r="A174" s="44">
        <f>IF(ISBLANK(B174),"",COUNTA($B$18:B174))</f>
        <v/>
      </c>
      <c r="B174" s="45" t="n"/>
      <c r="C174" s="46" t="n"/>
      <c r="D174" s="46" t="n"/>
      <c r="E174" s="44" t="n"/>
      <c r="F174" s="47" t="n"/>
      <c r="G174" s="47" t="n"/>
      <c r="H174" s="47" t="n"/>
      <c r="I174" s="47" t="n"/>
      <c r="J174" s="47" t="n"/>
      <c r="K174" s="47" t="n"/>
      <c r="L174" s="48" t="n"/>
      <c r="M174" s="47" t="n"/>
      <c r="N174" s="46" t="n"/>
      <c r="O174" s="49">
        <f>IFERROR(IF(OR(ISBLANK(G174),ISBLANK(I174)),"",ABS(G174-I174)/VLOOKUP(C174,設定!$B$9:$D$23,2,FALSE)),"")</f>
        <v/>
      </c>
      <c r="P174" s="48">
        <f>IFERROR(IF(OR(ISBLANK(F174),ISBLANK(H174),ISBLANK(J174)),"",ABS(J174-F174)/ABS(F174-H174)),"")</f>
        <v/>
      </c>
      <c r="Q174" s="50">
        <f>IFERROR(IF(OR(ISBLANK(M174),ISBLANK(D174),ISBLANK(G174)),"",IF(D174="Long",(M174-G174),(G174-M174))/VLOOKUP(C174,設定!$B$9:$D$23,2,FALSE)),"")</f>
        <v/>
      </c>
      <c r="R174" s="51">
        <f>IFERROR(IF(OR(ISBLANK(Q174),O174=0),"",Q174/O174),"")</f>
        <v/>
      </c>
      <c r="S174" s="51">
        <f>IFERROR(IF(ISBLANK(R174),S173,IF(ISNUMBER(S173),S173,0)+R174),"")</f>
        <v/>
      </c>
      <c r="T174" s="52">
        <f>IFERROR(IF(OR(ISBLANK(Q174),ISBLANK(L174)),"",Q174*L174*VLOOKUP(C174,設定!$B$9:$D$23,3,FALSE)),"")</f>
        <v/>
      </c>
      <c r="U174" s="46" t="n"/>
      <c r="V174" s="46" t="n"/>
    </row>
    <row r="175">
      <c r="A175" s="53">
        <f>IF(ISBLANK(B175),"",COUNTA($B$18:B175))</f>
        <v/>
      </c>
      <c r="B175" s="54" t="n"/>
      <c r="C175" s="55" t="n"/>
      <c r="D175" s="55" t="n"/>
      <c r="E175" s="53" t="n"/>
      <c r="F175" s="56" t="n"/>
      <c r="G175" s="56" t="n"/>
      <c r="H175" s="56" t="n"/>
      <c r="I175" s="56" t="n"/>
      <c r="J175" s="56" t="n"/>
      <c r="K175" s="56" t="n"/>
      <c r="L175" s="57" t="n"/>
      <c r="M175" s="56" t="n"/>
      <c r="N175" s="55" t="n"/>
      <c r="O175" s="58">
        <f>IFERROR(IF(OR(ISBLANK(G175),ISBLANK(I175)),"",ABS(G175-I175)/VLOOKUP(C175,設定!$B$9:$D$23,2,FALSE)),"")</f>
        <v/>
      </c>
      <c r="P175" s="57">
        <f>IFERROR(IF(OR(ISBLANK(F175),ISBLANK(H175),ISBLANK(J175)),"",ABS(J175-F175)/ABS(F175-H175)),"")</f>
        <v/>
      </c>
      <c r="Q175" s="59">
        <f>IFERROR(IF(OR(ISBLANK(M175),ISBLANK(D175),ISBLANK(G175)),"",IF(D175="Long",(M175-G175),(G175-M175))/VLOOKUP(C175,設定!$B$9:$D$23,2,FALSE)),"")</f>
        <v/>
      </c>
      <c r="R175" s="60">
        <f>IFERROR(IF(OR(ISBLANK(Q175),O175=0),"",Q175/O175),"")</f>
        <v/>
      </c>
      <c r="S175" s="60">
        <f>IFERROR(IF(ISBLANK(R175),S174,IF(ISNUMBER(S174),S174,0)+R175),"")</f>
        <v/>
      </c>
      <c r="T175" s="61">
        <f>IFERROR(IF(OR(ISBLANK(Q175),ISBLANK(L175)),"",Q175*L175*VLOOKUP(C175,設定!$B$9:$D$23,3,FALSE)),"")</f>
        <v/>
      </c>
      <c r="U175" s="55" t="n"/>
      <c r="V175" s="55" t="n"/>
    </row>
    <row r="176">
      <c r="A176" s="44">
        <f>IF(ISBLANK(B176),"",COUNTA($B$18:B176))</f>
        <v/>
      </c>
      <c r="B176" s="45" t="n"/>
      <c r="C176" s="46" t="n"/>
      <c r="D176" s="46" t="n"/>
      <c r="E176" s="44" t="n"/>
      <c r="F176" s="47" t="n"/>
      <c r="G176" s="47" t="n"/>
      <c r="H176" s="47" t="n"/>
      <c r="I176" s="47" t="n"/>
      <c r="J176" s="47" t="n"/>
      <c r="K176" s="47" t="n"/>
      <c r="L176" s="48" t="n"/>
      <c r="M176" s="47" t="n"/>
      <c r="N176" s="46" t="n"/>
      <c r="O176" s="49">
        <f>IFERROR(IF(OR(ISBLANK(G176),ISBLANK(I176)),"",ABS(G176-I176)/VLOOKUP(C176,設定!$B$9:$D$23,2,FALSE)),"")</f>
        <v/>
      </c>
      <c r="P176" s="48">
        <f>IFERROR(IF(OR(ISBLANK(F176),ISBLANK(H176),ISBLANK(J176)),"",ABS(J176-F176)/ABS(F176-H176)),"")</f>
        <v/>
      </c>
      <c r="Q176" s="50">
        <f>IFERROR(IF(OR(ISBLANK(M176),ISBLANK(D176),ISBLANK(G176)),"",IF(D176="Long",(M176-G176),(G176-M176))/VLOOKUP(C176,設定!$B$9:$D$23,2,FALSE)),"")</f>
        <v/>
      </c>
      <c r="R176" s="51">
        <f>IFERROR(IF(OR(ISBLANK(Q176),O176=0),"",Q176/O176),"")</f>
        <v/>
      </c>
      <c r="S176" s="51">
        <f>IFERROR(IF(ISBLANK(R176),S175,IF(ISNUMBER(S175),S175,0)+R176),"")</f>
        <v/>
      </c>
      <c r="T176" s="52">
        <f>IFERROR(IF(OR(ISBLANK(Q176),ISBLANK(L176)),"",Q176*L176*VLOOKUP(C176,設定!$B$9:$D$23,3,FALSE)),"")</f>
        <v/>
      </c>
      <c r="U176" s="46" t="n"/>
      <c r="V176" s="46" t="n"/>
    </row>
    <row r="177">
      <c r="A177" s="53">
        <f>IF(ISBLANK(B177),"",COUNTA($B$18:B177))</f>
        <v/>
      </c>
      <c r="B177" s="54" t="n"/>
      <c r="C177" s="55" t="n"/>
      <c r="D177" s="55" t="n"/>
      <c r="E177" s="53" t="n"/>
      <c r="F177" s="56" t="n"/>
      <c r="G177" s="56" t="n"/>
      <c r="H177" s="56" t="n"/>
      <c r="I177" s="56" t="n"/>
      <c r="J177" s="56" t="n"/>
      <c r="K177" s="56" t="n"/>
      <c r="L177" s="57" t="n"/>
      <c r="M177" s="56" t="n"/>
      <c r="N177" s="55" t="n"/>
      <c r="O177" s="58">
        <f>IFERROR(IF(OR(ISBLANK(G177),ISBLANK(I177)),"",ABS(G177-I177)/VLOOKUP(C177,設定!$B$9:$D$23,2,FALSE)),"")</f>
        <v/>
      </c>
      <c r="P177" s="57">
        <f>IFERROR(IF(OR(ISBLANK(F177),ISBLANK(H177),ISBLANK(J177)),"",ABS(J177-F177)/ABS(F177-H177)),"")</f>
        <v/>
      </c>
      <c r="Q177" s="59">
        <f>IFERROR(IF(OR(ISBLANK(M177),ISBLANK(D177),ISBLANK(G177)),"",IF(D177="Long",(M177-G177),(G177-M177))/VLOOKUP(C177,設定!$B$9:$D$23,2,FALSE)),"")</f>
        <v/>
      </c>
      <c r="R177" s="60">
        <f>IFERROR(IF(OR(ISBLANK(Q177),O177=0),"",Q177/O177),"")</f>
        <v/>
      </c>
      <c r="S177" s="60">
        <f>IFERROR(IF(ISBLANK(R177),S176,IF(ISNUMBER(S176),S176,0)+R177),"")</f>
        <v/>
      </c>
      <c r="T177" s="61">
        <f>IFERROR(IF(OR(ISBLANK(Q177),ISBLANK(L177)),"",Q177*L177*VLOOKUP(C177,設定!$B$9:$D$23,3,FALSE)),"")</f>
        <v/>
      </c>
      <c r="U177" s="55" t="n"/>
      <c r="V177" s="55" t="n"/>
    </row>
    <row r="178">
      <c r="A178" s="44">
        <f>IF(ISBLANK(B178),"",COUNTA($B$18:B178))</f>
        <v/>
      </c>
      <c r="B178" s="45" t="n"/>
      <c r="C178" s="46" t="n"/>
      <c r="D178" s="46" t="n"/>
      <c r="E178" s="44" t="n"/>
      <c r="F178" s="47" t="n"/>
      <c r="G178" s="47" t="n"/>
      <c r="H178" s="47" t="n"/>
      <c r="I178" s="47" t="n"/>
      <c r="J178" s="47" t="n"/>
      <c r="K178" s="47" t="n"/>
      <c r="L178" s="48" t="n"/>
      <c r="M178" s="47" t="n"/>
      <c r="N178" s="46" t="n"/>
      <c r="O178" s="49">
        <f>IFERROR(IF(OR(ISBLANK(G178),ISBLANK(I178)),"",ABS(G178-I178)/VLOOKUP(C178,設定!$B$9:$D$23,2,FALSE)),"")</f>
        <v/>
      </c>
      <c r="P178" s="48">
        <f>IFERROR(IF(OR(ISBLANK(F178),ISBLANK(H178),ISBLANK(J178)),"",ABS(J178-F178)/ABS(F178-H178)),"")</f>
        <v/>
      </c>
      <c r="Q178" s="50">
        <f>IFERROR(IF(OR(ISBLANK(M178),ISBLANK(D178),ISBLANK(G178)),"",IF(D178="Long",(M178-G178),(G178-M178))/VLOOKUP(C178,設定!$B$9:$D$23,2,FALSE)),"")</f>
        <v/>
      </c>
      <c r="R178" s="51">
        <f>IFERROR(IF(OR(ISBLANK(Q178),O178=0),"",Q178/O178),"")</f>
        <v/>
      </c>
      <c r="S178" s="51">
        <f>IFERROR(IF(ISBLANK(R178),S177,IF(ISNUMBER(S177),S177,0)+R178),"")</f>
        <v/>
      </c>
      <c r="T178" s="52">
        <f>IFERROR(IF(OR(ISBLANK(Q178),ISBLANK(L178)),"",Q178*L178*VLOOKUP(C178,設定!$B$9:$D$23,3,FALSE)),"")</f>
        <v/>
      </c>
      <c r="U178" s="46" t="n"/>
      <c r="V178" s="46" t="n"/>
    </row>
    <row r="179">
      <c r="A179" s="53">
        <f>IF(ISBLANK(B179),"",COUNTA($B$18:B179))</f>
        <v/>
      </c>
      <c r="B179" s="54" t="n"/>
      <c r="C179" s="55" t="n"/>
      <c r="D179" s="55" t="n"/>
      <c r="E179" s="53" t="n"/>
      <c r="F179" s="56" t="n"/>
      <c r="G179" s="56" t="n"/>
      <c r="H179" s="56" t="n"/>
      <c r="I179" s="56" t="n"/>
      <c r="J179" s="56" t="n"/>
      <c r="K179" s="56" t="n"/>
      <c r="L179" s="57" t="n"/>
      <c r="M179" s="56" t="n"/>
      <c r="N179" s="55" t="n"/>
      <c r="O179" s="58">
        <f>IFERROR(IF(OR(ISBLANK(G179),ISBLANK(I179)),"",ABS(G179-I179)/VLOOKUP(C179,設定!$B$9:$D$23,2,FALSE)),"")</f>
        <v/>
      </c>
      <c r="P179" s="57">
        <f>IFERROR(IF(OR(ISBLANK(F179),ISBLANK(H179),ISBLANK(J179)),"",ABS(J179-F179)/ABS(F179-H179)),"")</f>
        <v/>
      </c>
      <c r="Q179" s="59">
        <f>IFERROR(IF(OR(ISBLANK(M179),ISBLANK(D179),ISBLANK(G179)),"",IF(D179="Long",(M179-G179),(G179-M179))/VLOOKUP(C179,設定!$B$9:$D$23,2,FALSE)),"")</f>
        <v/>
      </c>
      <c r="R179" s="60">
        <f>IFERROR(IF(OR(ISBLANK(Q179),O179=0),"",Q179/O179),"")</f>
        <v/>
      </c>
      <c r="S179" s="60">
        <f>IFERROR(IF(ISBLANK(R179),S178,IF(ISNUMBER(S178),S178,0)+R179),"")</f>
        <v/>
      </c>
      <c r="T179" s="61">
        <f>IFERROR(IF(OR(ISBLANK(Q179),ISBLANK(L179)),"",Q179*L179*VLOOKUP(C179,設定!$B$9:$D$23,3,FALSE)),"")</f>
        <v/>
      </c>
      <c r="U179" s="55" t="n"/>
      <c r="V179" s="55" t="n"/>
    </row>
    <row r="180">
      <c r="A180" s="44">
        <f>IF(ISBLANK(B180),"",COUNTA($B$18:B180))</f>
        <v/>
      </c>
      <c r="B180" s="45" t="n"/>
      <c r="C180" s="46" t="n"/>
      <c r="D180" s="46" t="n"/>
      <c r="E180" s="44" t="n"/>
      <c r="F180" s="47" t="n"/>
      <c r="G180" s="47" t="n"/>
      <c r="H180" s="47" t="n"/>
      <c r="I180" s="47" t="n"/>
      <c r="J180" s="47" t="n"/>
      <c r="K180" s="47" t="n"/>
      <c r="L180" s="48" t="n"/>
      <c r="M180" s="47" t="n"/>
      <c r="N180" s="46" t="n"/>
      <c r="O180" s="49">
        <f>IFERROR(IF(OR(ISBLANK(G180),ISBLANK(I180)),"",ABS(G180-I180)/VLOOKUP(C180,設定!$B$9:$D$23,2,FALSE)),"")</f>
        <v/>
      </c>
      <c r="P180" s="48">
        <f>IFERROR(IF(OR(ISBLANK(F180),ISBLANK(H180),ISBLANK(J180)),"",ABS(J180-F180)/ABS(F180-H180)),"")</f>
        <v/>
      </c>
      <c r="Q180" s="50">
        <f>IFERROR(IF(OR(ISBLANK(M180),ISBLANK(D180),ISBLANK(G180)),"",IF(D180="Long",(M180-G180),(G180-M180))/VLOOKUP(C180,設定!$B$9:$D$23,2,FALSE)),"")</f>
        <v/>
      </c>
      <c r="R180" s="51">
        <f>IFERROR(IF(OR(ISBLANK(Q180),O180=0),"",Q180/O180),"")</f>
        <v/>
      </c>
      <c r="S180" s="51">
        <f>IFERROR(IF(ISBLANK(R180),S179,IF(ISNUMBER(S179),S179,0)+R180),"")</f>
        <v/>
      </c>
      <c r="T180" s="52">
        <f>IFERROR(IF(OR(ISBLANK(Q180),ISBLANK(L180)),"",Q180*L180*VLOOKUP(C180,設定!$B$9:$D$23,3,FALSE)),"")</f>
        <v/>
      </c>
      <c r="U180" s="46" t="n"/>
      <c r="V180" s="46" t="n"/>
    </row>
    <row r="181">
      <c r="A181" s="53">
        <f>IF(ISBLANK(B181),"",COUNTA($B$18:B181))</f>
        <v/>
      </c>
      <c r="B181" s="54" t="n"/>
      <c r="C181" s="55" t="n"/>
      <c r="D181" s="55" t="n"/>
      <c r="E181" s="53" t="n"/>
      <c r="F181" s="56" t="n"/>
      <c r="G181" s="56" t="n"/>
      <c r="H181" s="56" t="n"/>
      <c r="I181" s="56" t="n"/>
      <c r="J181" s="56" t="n"/>
      <c r="K181" s="56" t="n"/>
      <c r="L181" s="57" t="n"/>
      <c r="M181" s="56" t="n"/>
      <c r="N181" s="55" t="n"/>
      <c r="O181" s="58">
        <f>IFERROR(IF(OR(ISBLANK(G181),ISBLANK(I181)),"",ABS(G181-I181)/VLOOKUP(C181,設定!$B$9:$D$23,2,FALSE)),"")</f>
        <v/>
      </c>
      <c r="P181" s="57">
        <f>IFERROR(IF(OR(ISBLANK(F181),ISBLANK(H181),ISBLANK(J181)),"",ABS(J181-F181)/ABS(F181-H181)),"")</f>
        <v/>
      </c>
      <c r="Q181" s="59">
        <f>IFERROR(IF(OR(ISBLANK(M181),ISBLANK(D181),ISBLANK(G181)),"",IF(D181="Long",(M181-G181),(G181-M181))/VLOOKUP(C181,設定!$B$9:$D$23,2,FALSE)),"")</f>
        <v/>
      </c>
      <c r="R181" s="60">
        <f>IFERROR(IF(OR(ISBLANK(Q181),O181=0),"",Q181/O181),"")</f>
        <v/>
      </c>
      <c r="S181" s="60">
        <f>IFERROR(IF(ISBLANK(R181),S180,IF(ISNUMBER(S180),S180,0)+R181),"")</f>
        <v/>
      </c>
      <c r="T181" s="61">
        <f>IFERROR(IF(OR(ISBLANK(Q181),ISBLANK(L181)),"",Q181*L181*VLOOKUP(C181,設定!$B$9:$D$23,3,FALSE)),"")</f>
        <v/>
      </c>
      <c r="U181" s="55" t="n"/>
      <c r="V181" s="55" t="n"/>
    </row>
    <row r="182">
      <c r="A182" s="44">
        <f>IF(ISBLANK(B182),"",COUNTA($B$18:B182))</f>
        <v/>
      </c>
      <c r="B182" s="45" t="n"/>
      <c r="C182" s="46" t="n"/>
      <c r="D182" s="46" t="n"/>
      <c r="E182" s="44" t="n"/>
      <c r="F182" s="47" t="n"/>
      <c r="G182" s="47" t="n"/>
      <c r="H182" s="47" t="n"/>
      <c r="I182" s="47" t="n"/>
      <c r="J182" s="47" t="n"/>
      <c r="K182" s="47" t="n"/>
      <c r="L182" s="48" t="n"/>
      <c r="M182" s="47" t="n"/>
      <c r="N182" s="46" t="n"/>
      <c r="O182" s="49">
        <f>IFERROR(IF(OR(ISBLANK(G182),ISBLANK(I182)),"",ABS(G182-I182)/VLOOKUP(C182,設定!$B$9:$D$23,2,FALSE)),"")</f>
        <v/>
      </c>
      <c r="P182" s="48">
        <f>IFERROR(IF(OR(ISBLANK(F182),ISBLANK(H182),ISBLANK(J182)),"",ABS(J182-F182)/ABS(F182-H182)),"")</f>
        <v/>
      </c>
      <c r="Q182" s="50">
        <f>IFERROR(IF(OR(ISBLANK(M182),ISBLANK(D182),ISBLANK(G182)),"",IF(D182="Long",(M182-G182),(G182-M182))/VLOOKUP(C182,設定!$B$9:$D$23,2,FALSE)),"")</f>
        <v/>
      </c>
      <c r="R182" s="51">
        <f>IFERROR(IF(OR(ISBLANK(Q182),O182=0),"",Q182/O182),"")</f>
        <v/>
      </c>
      <c r="S182" s="51">
        <f>IFERROR(IF(ISBLANK(R182),S181,IF(ISNUMBER(S181),S181,0)+R182),"")</f>
        <v/>
      </c>
      <c r="T182" s="52">
        <f>IFERROR(IF(OR(ISBLANK(Q182),ISBLANK(L182)),"",Q182*L182*VLOOKUP(C182,設定!$B$9:$D$23,3,FALSE)),"")</f>
        <v/>
      </c>
      <c r="U182" s="46" t="n"/>
      <c r="V182" s="46" t="n"/>
    </row>
    <row r="183">
      <c r="A183" s="53">
        <f>IF(ISBLANK(B183),"",COUNTA($B$18:B183))</f>
        <v/>
      </c>
      <c r="B183" s="54" t="n"/>
      <c r="C183" s="55" t="n"/>
      <c r="D183" s="55" t="n"/>
      <c r="E183" s="53" t="n"/>
      <c r="F183" s="56" t="n"/>
      <c r="G183" s="56" t="n"/>
      <c r="H183" s="56" t="n"/>
      <c r="I183" s="56" t="n"/>
      <c r="J183" s="56" t="n"/>
      <c r="K183" s="56" t="n"/>
      <c r="L183" s="57" t="n"/>
      <c r="M183" s="56" t="n"/>
      <c r="N183" s="55" t="n"/>
      <c r="O183" s="58">
        <f>IFERROR(IF(OR(ISBLANK(G183),ISBLANK(I183)),"",ABS(G183-I183)/VLOOKUP(C183,設定!$B$9:$D$23,2,FALSE)),"")</f>
        <v/>
      </c>
      <c r="P183" s="57">
        <f>IFERROR(IF(OR(ISBLANK(F183),ISBLANK(H183),ISBLANK(J183)),"",ABS(J183-F183)/ABS(F183-H183)),"")</f>
        <v/>
      </c>
      <c r="Q183" s="59">
        <f>IFERROR(IF(OR(ISBLANK(M183),ISBLANK(D183),ISBLANK(G183)),"",IF(D183="Long",(M183-G183),(G183-M183))/VLOOKUP(C183,設定!$B$9:$D$23,2,FALSE)),"")</f>
        <v/>
      </c>
      <c r="R183" s="60">
        <f>IFERROR(IF(OR(ISBLANK(Q183),O183=0),"",Q183/O183),"")</f>
        <v/>
      </c>
      <c r="S183" s="60">
        <f>IFERROR(IF(ISBLANK(R183),S182,IF(ISNUMBER(S182),S182,0)+R183),"")</f>
        <v/>
      </c>
      <c r="T183" s="61">
        <f>IFERROR(IF(OR(ISBLANK(Q183),ISBLANK(L183)),"",Q183*L183*VLOOKUP(C183,設定!$B$9:$D$23,3,FALSE)),"")</f>
        <v/>
      </c>
      <c r="U183" s="55" t="n"/>
      <c r="V183" s="55" t="n"/>
    </row>
    <row r="184">
      <c r="A184" s="44">
        <f>IF(ISBLANK(B184),"",COUNTA($B$18:B184))</f>
        <v/>
      </c>
      <c r="B184" s="45" t="n"/>
      <c r="C184" s="46" t="n"/>
      <c r="D184" s="46" t="n"/>
      <c r="E184" s="44" t="n"/>
      <c r="F184" s="47" t="n"/>
      <c r="G184" s="47" t="n"/>
      <c r="H184" s="47" t="n"/>
      <c r="I184" s="47" t="n"/>
      <c r="J184" s="47" t="n"/>
      <c r="K184" s="47" t="n"/>
      <c r="L184" s="48" t="n"/>
      <c r="M184" s="47" t="n"/>
      <c r="N184" s="46" t="n"/>
      <c r="O184" s="49">
        <f>IFERROR(IF(OR(ISBLANK(G184),ISBLANK(I184)),"",ABS(G184-I184)/VLOOKUP(C184,設定!$B$9:$D$23,2,FALSE)),"")</f>
        <v/>
      </c>
      <c r="P184" s="48">
        <f>IFERROR(IF(OR(ISBLANK(F184),ISBLANK(H184),ISBLANK(J184)),"",ABS(J184-F184)/ABS(F184-H184)),"")</f>
        <v/>
      </c>
      <c r="Q184" s="50">
        <f>IFERROR(IF(OR(ISBLANK(M184),ISBLANK(D184),ISBLANK(G184)),"",IF(D184="Long",(M184-G184),(G184-M184))/VLOOKUP(C184,設定!$B$9:$D$23,2,FALSE)),"")</f>
        <v/>
      </c>
      <c r="R184" s="51">
        <f>IFERROR(IF(OR(ISBLANK(Q184),O184=0),"",Q184/O184),"")</f>
        <v/>
      </c>
      <c r="S184" s="51">
        <f>IFERROR(IF(ISBLANK(R184),S183,IF(ISNUMBER(S183),S183,0)+R184),"")</f>
        <v/>
      </c>
      <c r="T184" s="52">
        <f>IFERROR(IF(OR(ISBLANK(Q184),ISBLANK(L184)),"",Q184*L184*VLOOKUP(C184,設定!$B$9:$D$23,3,FALSE)),"")</f>
        <v/>
      </c>
      <c r="U184" s="46" t="n"/>
      <c r="V184" s="46" t="n"/>
    </row>
    <row r="185">
      <c r="A185" s="53">
        <f>IF(ISBLANK(B185),"",COUNTA($B$18:B185))</f>
        <v/>
      </c>
      <c r="B185" s="54" t="n"/>
      <c r="C185" s="55" t="n"/>
      <c r="D185" s="55" t="n"/>
      <c r="E185" s="53" t="n"/>
      <c r="F185" s="56" t="n"/>
      <c r="G185" s="56" t="n"/>
      <c r="H185" s="56" t="n"/>
      <c r="I185" s="56" t="n"/>
      <c r="J185" s="56" t="n"/>
      <c r="K185" s="56" t="n"/>
      <c r="L185" s="57" t="n"/>
      <c r="M185" s="56" t="n"/>
      <c r="N185" s="55" t="n"/>
      <c r="O185" s="58">
        <f>IFERROR(IF(OR(ISBLANK(G185),ISBLANK(I185)),"",ABS(G185-I185)/VLOOKUP(C185,設定!$B$9:$D$23,2,FALSE)),"")</f>
        <v/>
      </c>
      <c r="P185" s="57">
        <f>IFERROR(IF(OR(ISBLANK(F185),ISBLANK(H185),ISBLANK(J185)),"",ABS(J185-F185)/ABS(F185-H185)),"")</f>
        <v/>
      </c>
      <c r="Q185" s="59">
        <f>IFERROR(IF(OR(ISBLANK(M185),ISBLANK(D185),ISBLANK(G185)),"",IF(D185="Long",(M185-G185),(G185-M185))/VLOOKUP(C185,設定!$B$9:$D$23,2,FALSE)),"")</f>
        <v/>
      </c>
      <c r="R185" s="60">
        <f>IFERROR(IF(OR(ISBLANK(Q185),O185=0),"",Q185/O185),"")</f>
        <v/>
      </c>
      <c r="S185" s="60">
        <f>IFERROR(IF(ISBLANK(R185),S184,IF(ISNUMBER(S184),S184,0)+R185),"")</f>
        <v/>
      </c>
      <c r="T185" s="61">
        <f>IFERROR(IF(OR(ISBLANK(Q185),ISBLANK(L185)),"",Q185*L185*VLOOKUP(C185,設定!$B$9:$D$23,3,FALSE)),"")</f>
        <v/>
      </c>
      <c r="U185" s="55" t="n"/>
      <c r="V185" s="55" t="n"/>
    </row>
    <row r="186">
      <c r="A186" s="44">
        <f>IF(ISBLANK(B186),"",COUNTA($B$18:B186))</f>
        <v/>
      </c>
      <c r="B186" s="45" t="n"/>
      <c r="C186" s="46" t="n"/>
      <c r="D186" s="46" t="n"/>
      <c r="E186" s="44" t="n"/>
      <c r="F186" s="47" t="n"/>
      <c r="G186" s="47" t="n"/>
      <c r="H186" s="47" t="n"/>
      <c r="I186" s="47" t="n"/>
      <c r="J186" s="47" t="n"/>
      <c r="K186" s="47" t="n"/>
      <c r="L186" s="48" t="n"/>
      <c r="M186" s="47" t="n"/>
      <c r="N186" s="46" t="n"/>
      <c r="O186" s="49">
        <f>IFERROR(IF(OR(ISBLANK(G186),ISBLANK(I186)),"",ABS(G186-I186)/VLOOKUP(C186,設定!$B$9:$D$23,2,FALSE)),"")</f>
        <v/>
      </c>
      <c r="P186" s="48">
        <f>IFERROR(IF(OR(ISBLANK(F186),ISBLANK(H186),ISBLANK(J186)),"",ABS(J186-F186)/ABS(F186-H186)),"")</f>
        <v/>
      </c>
      <c r="Q186" s="50">
        <f>IFERROR(IF(OR(ISBLANK(M186),ISBLANK(D186),ISBLANK(G186)),"",IF(D186="Long",(M186-G186),(G186-M186))/VLOOKUP(C186,設定!$B$9:$D$23,2,FALSE)),"")</f>
        <v/>
      </c>
      <c r="R186" s="51">
        <f>IFERROR(IF(OR(ISBLANK(Q186),O186=0),"",Q186/O186),"")</f>
        <v/>
      </c>
      <c r="S186" s="51">
        <f>IFERROR(IF(ISBLANK(R186),S185,IF(ISNUMBER(S185),S185,0)+R186),"")</f>
        <v/>
      </c>
      <c r="T186" s="52">
        <f>IFERROR(IF(OR(ISBLANK(Q186),ISBLANK(L186)),"",Q186*L186*VLOOKUP(C186,設定!$B$9:$D$23,3,FALSE)),"")</f>
        <v/>
      </c>
      <c r="U186" s="46" t="n"/>
      <c r="V186" s="46" t="n"/>
    </row>
    <row r="187">
      <c r="A187" s="53">
        <f>IF(ISBLANK(B187),"",COUNTA($B$18:B187))</f>
        <v/>
      </c>
      <c r="B187" s="54" t="n"/>
      <c r="C187" s="55" t="n"/>
      <c r="D187" s="55" t="n"/>
      <c r="E187" s="53" t="n"/>
      <c r="F187" s="56" t="n"/>
      <c r="G187" s="56" t="n"/>
      <c r="H187" s="56" t="n"/>
      <c r="I187" s="56" t="n"/>
      <c r="J187" s="56" t="n"/>
      <c r="K187" s="56" t="n"/>
      <c r="L187" s="57" t="n"/>
      <c r="M187" s="56" t="n"/>
      <c r="N187" s="55" t="n"/>
      <c r="O187" s="58">
        <f>IFERROR(IF(OR(ISBLANK(G187),ISBLANK(I187)),"",ABS(G187-I187)/VLOOKUP(C187,設定!$B$9:$D$23,2,FALSE)),"")</f>
        <v/>
      </c>
      <c r="P187" s="57">
        <f>IFERROR(IF(OR(ISBLANK(F187),ISBLANK(H187),ISBLANK(J187)),"",ABS(J187-F187)/ABS(F187-H187)),"")</f>
        <v/>
      </c>
      <c r="Q187" s="59">
        <f>IFERROR(IF(OR(ISBLANK(M187),ISBLANK(D187),ISBLANK(G187)),"",IF(D187="Long",(M187-G187),(G187-M187))/VLOOKUP(C187,設定!$B$9:$D$23,2,FALSE)),"")</f>
        <v/>
      </c>
      <c r="R187" s="60">
        <f>IFERROR(IF(OR(ISBLANK(Q187),O187=0),"",Q187/O187),"")</f>
        <v/>
      </c>
      <c r="S187" s="60">
        <f>IFERROR(IF(ISBLANK(R187),S186,IF(ISNUMBER(S186),S186,0)+R187),"")</f>
        <v/>
      </c>
      <c r="T187" s="61">
        <f>IFERROR(IF(OR(ISBLANK(Q187),ISBLANK(L187)),"",Q187*L187*VLOOKUP(C187,設定!$B$9:$D$23,3,FALSE)),"")</f>
        <v/>
      </c>
      <c r="U187" s="55" t="n"/>
      <c r="V187" s="55" t="n"/>
    </row>
    <row r="188">
      <c r="A188" s="44">
        <f>IF(ISBLANK(B188),"",COUNTA($B$18:B188))</f>
        <v/>
      </c>
      <c r="B188" s="45" t="n"/>
      <c r="C188" s="46" t="n"/>
      <c r="D188" s="46" t="n"/>
      <c r="E188" s="44" t="n"/>
      <c r="F188" s="47" t="n"/>
      <c r="G188" s="47" t="n"/>
      <c r="H188" s="47" t="n"/>
      <c r="I188" s="47" t="n"/>
      <c r="J188" s="47" t="n"/>
      <c r="K188" s="47" t="n"/>
      <c r="L188" s="48" t="n"/>
      <c r="M188" s="47" t="n"/>
      <c r="N188" s="46" t="n"/>
      <c r="O188" s="49">
        <f>IFERROR(IF(OR(ISBLANK(G188),ISBLANK(I188)),"",ABS(G188-I188)/VLOOKUP(C188,設定!$B$9:$D$23,2,FALSE)),"")</f>
        <v/>
      </c>
      <c r="P188" s="48">
        <f>IFERROR(IF(OR(ISBLANK(F188),ISBLANK(H188),ISBLANK(J188)),"",ABS(J188-F188)/ABS(F188-H188)),"")</f>
        <v/>
      </c>
      <c r="Q188" s="50">
        <f>IFERROR(IF(OR(ISBLANK(M188),ISBLANK(D188),ISBLANK(G188)),"",IF(D188="Long",(M188-G188),(G188-M188))/VLOOKUP(C188,設定!$B$9:$D$23,2,FALSE)),"")</f>
        <v/>
      </c>
      <c r="R188" s="51">
        <f>IFERROR(IF(OR(ISBLANK(Q188),O188=0),"",Q188/O188),"")</f>
        <v/>
      </c>
      <c r="S188" s="51">
        <f>IFERROR(IF(ISBLANK(R188),S187,IF(ISNUMBER(S187),S187,0)+R188),"")</f>
        <v/>
      </c>
      <c r="T188" s="52">
        <f>IFERROR(IF(OR(ISBLANK(Q188),ISBLANK(L188)),"",Q188*L188*VLOOKUP(C188,設定!$B$9:$D$23,3,FALSE)),"")</f>
        <v/>
      </c>
      <c r="U188" s="46" t="n"/>
      <c r="V188" s="46" t="n"/>
    </row>
    <row r="189">
      <c r="A189" s="53">
        <f>IF(ISBLANK(B189),"",COUNTA($B$18:B189))</f>
        <v/>
      </c>
      <c r="B189" s="54" t="n"/>
      <c r="C189" s="55" t="n"/>
      <c r="D189" s="55" t="n"/>
      <c r="E189" s="53" t="n"/>
      <c r="F189" s="56" t="n"/>
      <c r="G189" s="56" t="n"/>
      <c r="H189" s="56" t="n"/>
      <c r="I189" s="56" t="n"/>
      <c r="J189" s="56" t="n"/>
      <c r="K189" s="56" t="n"/>
      <c r="L189" s="57" t="n"/>
      <c r="M189" s="56" t="n"/>
      <c r="N189" s="55" t="n"/>
      <c r="O189" s="58">
        <f>IFERROR(IF(OR(ISBLANK(G189),ISBLANK(I189)),"",ABS(G189-I189)/VLOOKUP(C189,設定!$B$9:$D$23,2,FALSE)),"")</f>
        <v/>
      </c>
      <c r="P189" s="57">
        <f>IFERROR(IF(OR(ISBLANK(F189),ISBLANK(H189),ISBLANK(J189)),"",ABS(J189-F189)/ABS(F189-H189)),"")</f>
        <v/>
      </c>
      <c r="Q189" s="59">
        <f>IFERROR(IF(OR(ISBLANK(M189),ISBLANK(D189),ISBLANK(G189)),"",IF(D189="Long",(M189-G189),(G189-M189))/VLOOKUP(C189,設定!$B$9:$D$23,2,FALSE)),"")</f>
        <v/>
      </c>
      <c r="R189" s="60">
        <f>IFERROR(IF(OR(ISBLANK(Q189),O189=0),"",Q189/O189),"")</f>
        <v/>
      </c>
      <c r="S189" s="60">
        <f>IFERROR(IF(ISBLANK(R189),S188,IF(ISNUMBER(S188),S188,0)+R189),"")</f>
        <v/>
      </c>
      <c r="T189" s="61">
        <f>IFERROR(IF(OR(ISBLANK(Q189),ISBLANK(L189)),"",Q189*L189*VLOOKUP(C189,設定!$B$9:$D$23,3,FALSE)),"")</f>
        <v/>
      </c>
      <c r="U189" s="55" t="n"/>
      <c r="V189" s="55" t="n"/>
    </row>
    <row r="190">
      <c r="A190" s="44">
        <f>IF(ISBLANK(B190),"",COUNTA($B$18:B190))</f>
        <v/>
      </c>
      <c r="B190" s="45" t="n"/>
      <c r="C190" s="46" t="n"/>
      <c r="D190" s="46" t="n"/>
      <c r="E190" s="44" t="n"/>
      <c r="F190" s="47" t="n"/>
      <c r="G190" s="47" t="n"/>
      <c r="H190" s="47" t="n"/>
      <c r="I190" s="47" t="n"/>
      <c r="J190" s="47" t="n"/>
      <c r="K190" s="47" t="n"/>
      <c r="L190" s="48" t="n"/>
      <c r="M190" s="47" t="n"/>
      <c r="N190" s="46" t="n"/>
      <c r="O190" s="49">
        <f>IFERROR(IF(OR(ISBLANK(G190),ISBLANK(I190)),"",ABS(G190-I190)/VLOOKUP(C190,設定!$B$9:$D$23,2,FALSE)),"")</f>
        <v/>
      </c>
      <c r="P190" s="48">
        <f>IFERROR(IF(OR(ISBLANK(F190),ISBLANK(H190),ISBLANK(J190)),"",ABS(J190-F190)/ABS(F190-H190)),"")</f>
        <v/>
      </c>
      <c r="Q190" s="50">
        <f>IFERROR(IF(OR(ISBLANK(M190),ISBLANK(D190),ISBLANK(G190)),"",IF(D190="Long",(M190-G190),(G190-M190))/VLOOKUP(C190,設定!$B$9:$D$23,2,FALSE)),"")</f>
        <v/>
      </c>
      <c r="R190" s="51">
        <f>IFERROR(IF(OR(ISBLANK(Q190),O190=0),"",Q190/O190),"")</f>
        <v/>
      </c>
      <c r="S190" s="51">
        <f>IFERROR(IF(ISBLANK(R190),S189,IF(ISNUMBER(S189),S189,0)+R190),"")</f>
        <v/>
      </c>
      <c r="T190" s="52">
        <f>IFERROR(IF(OR(ISBLANK(Q190),ISBLANK(L190)),"",Q190*L190*VLOOKUP(C190,設定!$B$9:$D$23,3,FALSE)),"")</f>
        <v/>
      </c>
      <c r="U190" s="46" t="n"/>
      <c r="V190" s="46" t="n"/>
    </row>
    <row r="191">
      <c r="A191" s="53">
        <f>IF(ISBLANK(B191),"",COUNTA($B$18:B191))</f>
        <v/>
      </c>
      <c r="B191" s="54" t="n"/>
      <c r="C191" s="55" t="n"/>
      <c r="D191" s="55" t="n"/>
      <c r="E191" s="53" t="n"/>
      <c r="F191" s="56" t="n"/>
      <c r="G191" s="56" t="n"/>
      <c r="H191" s="56" t="n"/>
      <c r="I191" s="56" t="n"/>
      <c r="J191" s="56" t="n"/>
      <c r="K191" s="56" t="n"/>
      <c r="L191" s="57" t="n"/>
      <c r="M191" s="56" t="n"/>
      <c r="N191" s="55" t="n"/>
      <c r="O191" s="58">
        <f>IFERROR(IF(OR(ISBLANK(G191),ISBLANK(I191)),"",ABS(G191-I191)/VLOOKUP(C191,設定!$B$9:$D$23,2,FALSE)),"")</f>
        <v/>
      </c>
      <c r="P191" s="57">
        <f>IFERROR(IF(OR(ISBLANK(F191),ISBLANK(H191),ISBLANK(J191)),"",ABS(J191-F191)/ABS(F191-H191)),"")</f>
        <v/>
      </c>
      <c r="Q191" s="59">
        <f>IFERROR(IF(OR(ISBLANK(M191),ISBLANK(D191),ISBLANK(G191)),"",IF(D191="Long",(M191-G191),(G191-M191))/VLOOKUP(C191,設定!$B$9:$D$23,2,FALSE)),"")</f>
        <v/>
      </c>
      <c r="R191" s="60">
        <f>IFERROR(IF(OR(ISBLANK(Q191),O191=0),"",Q191/O191),"")</f>
        <v/>
      </c>
      <c r="S191" s="60">
        <f>IFERROR(IF(ISBLANK(R191),S190,IF(ISNUMBER(S190),S190,0)+R191),"")</f>
        <v/>
      </c>
      <c r="T191" s="61">
        <f>IFERROR(IF(OR(ISBLANK(Q191),ISBLANK(L191)),"",Q191*L191*VLOOKUP(C191,設定!$B$9:$D$23,3,FALSE)),"")</f>
        <v/>
      </c>
      <c r="U191" s="55" t="n"/>
      <c r="V191" s="55" t="n"/>
    </row>
    <row r="192">
      <c r="A192" s="44">
        <f>IF(ISBLANK(B192),"",COUNTA($B$18:B192))</f>
        <v/>
      </c>
      <c r="B192" s="45" t="n"/>
      <c r="C192" s="46" t="n"/>
      <c r="D192" s="46" t="n"/>
      <c r="E192" s="44" t="n"/>
      <c r="F192" s="47" t="n"/>
      <c r="G192" s="47" t="n"/>
      <c r="H192" s="47" t="n"/>
      <c r="I192" s="47" t="n"/>
      <c r="J192" s="47" t="n"/>
      <c r="K192" s="47" t="n"/>
      <c r="L192" s="48" t="n"/>
      <c r="M192" s="47" t="n"/>
      <c r="N192" s="46" t="n"/>
      <c r="O192" s="49">
        <f>IFERROR(IF(OR(ISBLANK(G192),ISBLANK(I192)),"",ABS(G192-I192)/VLOOKUP(C192,設定!$B$9:$D$23,2,FALSE)),"")</f>
        <v/>
      </c>
      <c r="P192" s="48">
        <f>IFERROR(IF(OR(ISBLANK(F192),ISBLANK(H192),ISBLANK(J192)),"",ABS(J192-F192)/ABS(F192-H192)),"")</f>
        <v/>
      </c>
      <c r="Q192" s="50">
        <f>IFERROR(IF(OR(ISBLANK(M192),ISBLANK(D192),ISBLANK(G192)),"",IF(D192="Long",(M192-G192),(G192-M192))/VLOOKUP(C192,設定!$B$9:$D$23,2,FALSE)),"")</f>
        <v/>
      </c>
      <c r="R192" s="51">
        <f>IFERROR(IF(OR(ISBLANK(Q192),O192=0),"",Q192/O192),"")</f>
        <v/>
      </c>
      <c r="S192" s="51">
        <f>IFERROR(IF(ISBLANK(R192),S191,IF(ISNUMBER(S191),S191,0)+R192),"")</f>
        <v/>
      </c>
      <c r="T192" s="52">
        <f>IFERROR(IF(OR(ISBLANK(Q192),ISBLANK(L192)),"",Q192*L192*VLOOKUP(C192,設定!$B$9:$D$23,3,FALSE)),"")</f>
        <v/>
      </c>
      <c r="U192" s="46" t="n"/>
      <c r="V192" s="46" t="n"/>
    </row>
    <row r="193">
      <c r="A193" s="53">
        <f>IF(ISBLANK(B193),"",COUNTA($B$18:B193))</f>
        <v/>
      </c>
      <c r="B193" s="54" t="n"/>
      <c r="C193" s="55" t="n"/>
      <c r="D193" s="55" t="n"/>
      <c r="E193" s="53" t="n"/>
      <c r="F193" s="56" t="n"/>
      <c r="G193" s="56" t="n"/>
      <c r="H193" s="56" t="n"/>
      <c r="I193" s="56" t="n"/>
      <c r="J193" s="56" t="n"/>
      <c r="K193" s="56" t="n"/>
      <c r="L193" s="57" t="n"/>
      <c r="M193" s="56" t="n"/>
      <c r="N193" s="55" t="n"/>
      <c r="O193" s="58">
        <f>IFERROR(IF(OR(ISBLANK(G193),ISBLANK(I193)),"",ABS(G193-I193)/VLOOKUP(C193,設定!$B$9:$D$23,2,FALSE)),"")</f>
        <v/>
      </c>
      <c r="P193" s="57">
        <f>IFERROR(IF(OR(ISBLANK(F193),ISBLANK(H193),ISBLANK(J193)),"",ABS(J193-F193)/ABS(F193-H193)),"")</f>
        <v/>
      </c>
      <c r="Q193" s="59">
        <f>IFERROR(IF(OR(ISBLANK(M193),ISBLANK(D193),ISBLANK(G193)),"",IF(D193="Long",(M193-G193),(G193-M193))/VLOOKUP(C193,設定!$B$9:$D$23,2,FALSE)),"")</f>
        <v/>
      </c>
      <c r="R193" s="60">
        <f>IFERROR(IF(OR(ISBLANK(Q193),O193=0),"",Q193/O193),"")</f>
        <v/>
      </c>
      <c r="S193" s="60">
        <f>IFERROR(IF(ISBLANK(R193),S192,IF(ISNUMBER(S192),S192,0)+R193),"")</f>
        <v/>
      </c>
      <c r="T193" s="61">
        <f>IFERROR(IF(OR(ISBLANK(Q193),ISBLANK(L193)),"",Q193*L193*VLOOKUP(C193,設定!$B$9:$D$23,3,FALSE)),"")</f>
        <v/>
      </c>
      <c r="U193" s="55" t="n"/>
      <c r="V193" s="55" t="n"/>
    </row>
    <row r="194">
      <c r="A194" s="44">
        <f>IF(ISBLANK(B194),"",COUNTA($B$18:B194))</f>
        <v/>
      </c>
      <c r="B194" s="45" t="n"/>
      <c r="C194" s="46" t="n"/>
      <c r="D194" s="46" t="n"/>
      <c r="E194" s="44" t="n"/>
      <c r="F194" s="47" t="n"/>
      <c r="G194" s="47" t="n"/>
      <c r="H194" s="47" t="n"/>
      <c r="I194" s="47" t="n"/>
      <c r="J194" s="47" t="n"/>
      <c r="K194" s="47" t="n"/>
      <c r="L194" s="48" t="n"/>
      <c r="M194" s="47" t="n"/>
      <c r="N194" s="46" t="n"/>
      <c r="O194" s="49">
        <f>IFERROR(IF(OR(ISBLANK(G194),ISBLANK(I194)),"",ABS(G194-I194)/VLOOKUP(C194,設定!$B$9:$D$23,2,FALSE)),"")</f>
        <v/>
      </c>
      <c r="P194" s="48">
        <f>IFERROR(IF(OR(ISBLANK(F194),ISBLANK(H194),ISBLANK(J194)),"",ABS(J194-F194)/ABS(F194-H194)),"")</f>
        <v/>
      </c>
      <c r="Q194" s="50">
        <f>IFERROR(IF(OR(ISBLANK(M194),ISBLANK(D194),ISBLANK(G194)),"",IF(D194="Long",(M194-G194),(G194-M194))/VLOOKUP(C194,設定!$B$9:$D$23,2,FALSE)),"")</f>
        <v/>
      </c>
      <c r="R194" s="51">
        <f>IFERROR(IF(OR(ISBLANK(Q194),O194=0),"",Q194/O194),"")</f>
        <v/>
      </c>
      <c r="S194" s="51">
        <f>IFERROR(IF(ISBLANK(R194),S193,IF(ISNUMBER(S193),S193,0)+R194),"")</f>
        <v/>
      </c>
      <c r="T194" s="52">
        <f>IFERROR(IF(OR(ISBLANK(Q194),ISBLANK(L194)),"",Q194*L194*VLOOKUP(C194,設定!$B$9:$D$23,3,FALSE)),"")</f>
        <v/>
      </c>
      <c r="U194" s="46" t="n"/>
      <c r="V194" s="46" t="n"/>
    </row>
    <row r="195">
      <c r="A195" s="53">
        <f>IF(ISBLANK(B195),"",COUNTA($B$18:B195))</f>
        <v/>
      </c>
      <c r="B195" s="54" t="n"/>
      <c r="C195" s="55" t="n"/>
      <c r="D195" s="55" t="n"/>
      <c r="E195" s="53" t="n"/>
      <c r="F195" s="56" t="n"/>
      <c r="G195" s="56" t="n"/>
      <c r="H195" s="56" t="n"/>
      <c r="I195" s="56" t="n"/>
      <c r="J195" s="56" t="n"/>
      <c r="K195" s="56" t="n"/>
      <c r="L195" s="57" t="n"/>
      <c r="M195" s="56" t="n"/>
      <c r="N195" s="55" t="n"/>
      <c r="O195" s="58">
        <f>IFERROR(IF(OR(ISBLANK(G195),ISBLANK(I195)),"",ABS(G195-I195)/VLOOKUP(C195,設定!$B$9:$D$23,2,FALSE)),"")</f>
        <v/>
      </c>
      <c r="P195" s="57">
        <f>IFERROR(IF(OR(ISBLANK(F195),ISBLANK(H195),ISBLANK(J195)),"",ABS(J195-F195)/ABS(F195-H195)),"")</f>
        <v/>
      </c>
      <c r="Q195" s="59">
        <f>IFERROR(IF(OR(ISBLANK(M195),ISBLANK(D195),ISBLANK(G195)),"",IF(D195="Long",(M195-G195),(G195-M195))/VLOOKUP(C195,設定!$B$9:$D$23,2,FALSE)),"")</f>
        <v/>
      </c>
      <c r="R195" s="60">
        <f>IFERROR(IF(OR(ISBLANK(Q195),O195=0),"",Q195/O195),"")</f>
        <v/>
      </c>
      <c r="S195" s="60">
        <f>IFERROR(IF(ISBLANK(R195),S194,IF(ISNUMBER(S194),S194,0)+R195),"")</f>
        <v/>
      </c>
      <c r="T195" s="61">
        <f>IFERROR(IF(OR(ISBLANK(Q195),ISBLANK(L195)),"",Q195*L195*VLOOKUP(C195,設定!$B$9:$D$23,3,FALSE)),"")</f>
        <v/>
      </c>
      <c r="U195" s="55" t="n"/>
      <c r="V195" s="55" t="n"/>
    </row>
    <row r="196">
      <c r="A196" s="44">
        <f>IF(ISBLANK(B196),"",COUNTA($B$18:B196))</f>
        <v/>
      </c>
      <c r="B196" s="45" t="n"/>
      <c r="C196" s="46" t="n"/>
      <c r="D196" s="46" t="n"/>
      <c r="E196" s="44" t="n"/>
      <c r="F196" s="47" t="n"/>
      <c r="G196" s="47" t="n"/>
      <c r="H196" s="47" t="n"/>
      <c r="I196" s="47" t="n"/>
      <c r="J196" s="47" t="n"/>
      <c r="K196" s="47" t="n"/>
      <c r="L196" s="48" t="n"/>
      <c r="M196" s="47" t="n"/>
      <c r="N196" s="46" t="n"/>
      <c r="O196" s="49">
        <f>IFERROR(IF(OR(ISBLANK(G196),ISBLANK(I196)),"",ABS(G196-I196)/VLOOKUP(C196,設定!$B$9:$D$23,2,FALSE)),"")</f>
        <v/>
      </c>
      <c r="P196" s="48">
        <f>IFERROR(IF(OR(ISBLANK(F196),ISBLANK(H196),ISBLANK(J196)),"",ABS(J196-F196)/ABS(F196-H196)),"")</f>
        <v/>
      </c>
      <c r="Q196" s="50">
        <f>IFERROR(IF(OR(ISBLANK(M196),ISBLANK(D196),ISBLANK(G196)),"",IF(D196="Long",(M196-G196),(G196-M196))/VLOOKUP(C196,設定!$B$9:$D$23,2,FALSE)),"")</f>
        <v/>
      </c>
      <c r="R196" s="51">
        <f>IFERROR(IF(OR(ISBLANK(Q196),O196=0),"",Q196/O196),"")</f>
        <v/>
      </c>
      <c r="S196" s="51">
        <f>IFERROR(IF(ISBLANK(R196),S195,IF(ISNUMBER(S195),S195,0)+R196),"")</f>
        <v/>
      </c>
      <c r="T196" s="52">
        <f>IFERROR(IF(OR(ISBLANK(Q196),ISBLANK(L196)),"",Q196*L196*VLOOKUP(C196,設定!$B$9:$D$23,3,FALSE)),"")</f>
        <v/>
      </c>
      <c r="U196" s="46" t="n"/>
      <c r="V196" s="46" t="n"/>
    </row>
    <row r="197">
      <c r="A197" s="53">
        <f>IF(ISBLANK(B197),"",COUNTA($B$18:B197))</f>
        <v/>
      </c>
      <c r="B197" s="54" t="n"/>
      <c r="C197" s="55" t="n"/>
      <c r="D197" s="55" t="n"/>
      <c r="E197" s="53" t="n"/>
      <c r="F197" s="56" t="n"/>
      <c r="G197" s="56" t="n"/>
      <c r="H197" s="56" t="n"/>
      <c r="I197" s="56" t="n"/>
      <c r="J197" s="56" t="n"/>
      <c r="K197" s="56" t="n"/>
      <c r="L197" s="57" t="n"/>
      <c r="M197" s="56" t="n"/>
      <c r="N197" s="55" t="n"/>
      <c r="O197" s="58">
        <f>IFERROR(IF(OR(ISBLANK(G197),ISBLANK(I197)),"",ABS(G197-I197)/VLOOKUP(C197,設定!$B$9:$D$23,2,FALSE)),"")</f>
        <v/>
      </c>
      <c r="P197" s="57">
        <f>IFERROR(IF(OR(ISBLANK(F197),ISBLANK(H197),ISBLANK(J197)),"",ABS(J197-F197)/ABS(F197-H197)),"")</f>
        <v/>
      </c>
      <c r="Q197" s="59">
        <f>IFERROR(IF(OR(ISBLANK(M197),ISBLANK(D197),ISBLANK(G197)),"",IF(D197="Long",(M197-G197),(G197-M197))/VLOOKUP(C197,設定!$B$9:$D$23,2,FALSE)),"")</f>
        <v/>
      </c>
      <c r="R197" s="60">
        <f>IFERROR(IF(OR(ISBLANK(Q197),O197=0),"",Q197/O197),"")</f>
        <v/>
      </c>
      <c r="S197" s="60">
        <f>IFERROR(IF(ISBLANK(R197),S196,IF(ISNUMBER(S196),S196,0)+R197),"")</f>
        <v/>
      </c>
      <c r="T197" s="61">
        <f>IFERROR(IF(OR(ISBLANK(Q197),ISBLANK(L197)),"",Q197*L197*VLOOKUP(C197,設定!$B$9:$D$23,3,FALSE)),"")</f>
        <v/>
      </c>
      <c r="U197" s="55" t="n"/>
      <c r="V197" s="55" t="n"/>
    </row>
    <row r="198">
      <c r="A198" s="44">
        <f>IF(ISBLANK(B198),"",COUNTA($B$18:B198))</f>
        <v/>
      </c>
      <c r="B198" s="45" t="n"/>
      <c r="C198" s="46" t="n"/>
      <c r="D198" s="46" t="n"/>
      <c r="E198" s="44" t="n"/>
      <c r="F198" s="47" t="n"/>
      <c r="G198" s="47" t="n"/>
      <c r="H198" s="47" t="n"/>
      <c r="I198" s="47" t="n"/>
      <c r="J198" s="47" t="n"/>
      <c r="K198" s="47" t="n"/>
      <c r="L198" s="48" t="n"/>
      <c r="M198" s="47" t="n"/>
      <c r="N198" s="46" t="n"/>
      <c r="O198" s="49">
        <f>IFERROR(IF(OR(ISBLANK(G198),ISBLANK(I198)),"",ABS(G198-I198)/VLOOKUP(C198,設定!$B$9:$D$23,2,FALSE)),"")</f>
        <v/>
      </c>
      <c r="P198" s="48">
        <f>IFERROR(IF(OR(ISBLANK(F198),ISBLANK(H198),ISBLANK(J198)),"",ABS(J198-F198)/ABS(F198-H198)),"")</f>
        <v/>
      </c>
      <c r="Q198" s="50">
        <f>IFERROR(IF(OR(ISBLANK(M198),ISBLANK(D198),ISBLANK(G198)),"",IF(D198="Long",(M198-G198),(G198-M198))/VLOOKUP(C198,設定!$B$9:$D$23,2,FALSE)),"")</f>
        <v/>
      </c>
      <c r="R198" s="51">
        <f>IFERROR(IF(OR(ISBLANK(Q198),O198=0),"",Q198/O198),"")</f>
        <v/>
      </c>
      <c r="S198" s="51">
        <f>IFERROR(IF(ISBLANK(R198),S197,IF(ISNUMBER(S197),S197,0)+R198),"")</f>
        <v/>
      </c>
      <c r="T198" s="52">
        <f>IFERROR(IF(OR(ISBLANK(Q198),ISBLANK(L198)),"",Q198*L198*VLOOKUP(C198,設定!$B$9:$D$23,3,FALSE)),"")</f>
        <v/>
      </c>
      <c r="U198" s="46" t="n"/>
      <c r="V198" s="46" t="n"/>
    </row>
    <row r="199">
      <c r="A199" s="53">
        <f>IF(ISBLANK(B199),"",COUNTA($B$18:B199))</f>
        <v/>
      </c>
      <c r="B199" s="54" t="n"/>
      <c r="C199" s="55" t="n"/>
      <c r="D199" s="55" t="n"/>
      <c r="E199" s="53" t="n"/>
      <c r="F199" s="56" t="n"/>
      <c r="G199" s="56" t="n"/>
      <c r="H199" s="56" t="n"/>
      <c r="I199" s="56" t="n"/>
      <c r="J199" s="56" t="n"/>
      <c r="K199" s="56" t="n"/>
      <c r="L199" s="57" t="n"/>
      <c r="M199" s="56" t="n"/>
      <c r="N199" s="55" t="n"/>
      <c r="O199" s="58">
        <f>IFERROR(IF(OR(ISBLANK(G199),ISBLANK(I199)),"",ABS(G199-I199)/VLOOKUP(C199,設定!$B$9:$D$23,2,FALSE)),"")</f>
        <v/>
      </c>
      <c r="P199" s="57">
        <f>IFERROR(IF(OR(ISBLANK(F199),ISBLANK(H199),ISBLANK(J199)),"",ABS(J199-F199)/ABS(F199-H199)),"")</f>
        <v/>
      </c>
      <c r="Q199" s="59">
        <f>IFERROR(IF(OR(ISBLANK(M199),ISBLANK(D199),ISBLANK(G199)),"",IF(D199="Long",(M199-G199),(G199-M199))/VLOOKUP(C199,設定!$B$9:$D$23,2,FALSE)),"")</f>
        <v/>
      </c>
      <c r="R199" s="60">
        <f>IFERROR(IF(OR(ISBLANK(Q199),O199=0),"",Q199/O199),"")</f>
        <v/>
      </c>
      <c r="S199" s="60">
        <f>IFERROR(IF(ISBLANK(R199),S198,IF(ISNUMBER(S198),S198,0)+R199),"")</f>
        <v/>
      </c>
      <c r="T199" s="61">
        <f>IFERROR(IF(OR(ISBLANK(Q199),ISBLANK(L199)),"",Q199*L199*VLOOKUP(C199,設定!$B$9:$D$23,3,FALSE)),"")</f>
        <v/>
      </c>
      <c r="U199" s="55" t="n"/>
      <c r="V199" s="55" t="n"/>
    </row>
    <row r="200">
      <c r="A200" s="44">
        <f>IF(ISBLANK(B200),"",COUNTA($B$18:B200))</f>
        <v/>
      </c>
      <c r="B200" s="45" t="n"/>
      <c r="C200" s="46" t="n"/>
      <c r="D200" s="46" t="n"/>
      <c r="E200" s="44" t="n"/>
      <c r="F200" s="47" t="n"/>
      <c r="G200" s="47" t="n"/>
      <c r="H200" s="47" t="n"/>
      <c r="I200" s="47" t="n"/>
      <c r="J200" s="47" t="n"/>
      <c r="K200" s="47" t="n"/>
      <c r="L200" s="48" t="n"/>
      <c r="M200" s="47" t="n"/>
      <c r="N200" s="46" t="n"/>
      <c r="O200" s="49">
        <f>IFERROR(IF(OR(ISBLANK(G200),ISBLANK(I200)),"",ABS(G200-I200)/VLOOKUP(C200,設定!$B$9:$D$23,2,FALSE)),"")</f>
        <v/>
      </c>
      <c r="P200" s="48">
        <f>IFERROR(IF(OR(ISBLANK(F200),ISBLANK(H200),ISBLANK(J200)),"",ABS(J200-F200)/ABS(F200-H200)),"")</f>
        <v/>
      </c>
      <c r="Q200" s="50">
        <f>IFERROR(IF(OR(ISBLANK(M200),ISBLANK(D200),ISBLANK(G200)),"",IF(D200="Long",(M200-G200),(G200-M200))/VLOOKUP(C200,設定!$B$9:$D$23,2,FALSE)),"")</f>
        <v/>
      </c>
      <c r="R200" s="51">
        <f>IFERROR(IF(OR(ISBLANK(Q200),O200=0),"",Q200/O200),"")</f>
        <v/>
      </c>
      <c r="S200" s="51">
        <f>IFERROR(IF(ISBLANK(R200),S199,IF(ISNUMBER(S199),S199,0)+R200),"")</f>
        <v/>
      </c>
      <c r="T200" s="52">
        <f>IFERROR(IF(OR(ISBLANK(Q200),ISBLANK(L200)),"",Q200*L200*VLOOKUP(C200,設定!$B$9:$D$23,3,FALSE)),"")</f>
        <v/>
      </c>
      <c r="U200" s="46" t="n"/>
      <c r="V200" s="46" t="n"/>
    </row>
    <row r="201">
      <c r="A201" s="53">
        <f>IF(ISBLANK(B201),"",COUNTA($B$18:B201))</f>
        <v/>
      </c>
      <c r="B201" s="54" t="n"/>
      <c r="C201" s="55" t="n"/>
      <c r="D201" s="55" t="n"/>
      <c r="E201" s="53" t="n"/>
      <c r="F201" s="56" t="n"/>
      <c r="G201" s="56" t="n"/>
      <c r="H201" s="56" t="n"/>
      <c r="I201" s="56" t="n"/>
      <c r="J201" s="56" t="n"/>
      <c r="K201" s="56" t="n"/>
      <c r="L201" s="57" t="n"/>
      <c r="M201" s="56" t="n"/>
      <c r="N201" s="55" t="n"/>
      <c r="O201" s="58">
        <f>IFERROR(IF(OR(ISBLANK(G201),ISBLANK(I201)),"",ABS(G201-I201)/VLOOKUP(C201,設定!$B$9:$D$23,2,FALSE)),"")</f>
        <v/>
      </c>
      <c r="P201" s="57">
        <f>IFERROR(IF(OR(ISBLANK(F201),ISBLANK(H201),ISBLANK(J201)),"",ABS(J201-F201)/ABS(F201-H201)),"")</f>
        <v/>
      </c>
      <c r="Q201" s="59">
        <f>IFERROR(IF(OR(ISBLANK(M201),ISBLANK(D201),ISBLANK(G201)),"",IF(D201="Long",(M201-G201),(G201-M201))/VLOOKUP(C201,設定!$B$9:$D$23,2,FALSE)),"")</f>
        <v/>
      </c>
      <c r="R201" s="60">
        <f>IFERROR(IF(OR(ISBLANK(Q201),O201=0),"",Q201/O201),"")</f>
        <v/>
      </c>
      <c r="S201" s="60">
        <f>IFERROR(IF(ISBLANK(R201),S200,IF(ISNUMBER(S200),S200,0)+R201),"")</f>
        <v/>
      </c>
      <c r="T201" s="61">
        <f>IFERROR(IF(OR(ISBLANK(Q201),ISBLANK(L201)),"",Q201*L201*VLOOKUP(C201,設定!$B$9:$D$23,3,FALSE)),"")</f>
        <v/>
      </c>
      <c r="U201" s="55" t="n"/>
      <c r="V201" s="55" t="n"/>
    </row>
    <row r="202">
      <c r="A202" s="44">
        <f>IF(ISBLANK(B202),"",COUNTA($B$18:B202))</f>
        <v/>
      </c>
      <c r="B202" s="45" t="n"/>
      <c r="C202" s="46" t="n"/>
      <c r="D202" s="46" t="n"/>
      <c r="E202" s="44" t="n"/>
      <c r="F202" s="47" t="n"/>
      <c r="G202" s="47" t="n"/>
      <c r="H202" s="47" t="n"/>
      <c r="I202" s="47" t="n"/>
      <c r="J202" s="47" t="n"/>
      <c r="K202" s="47" t="n"/>
      <c r="L202" s="48" t="n"/>
      <c r="M202" s="47" t="n"/>
      <c r="N202" s="46" t="n"/>
      <c r="O202" s="49">
        <f>IFERROR(IF(OR(ISBLANK(G202),ISBLANK(I202)),"",ABS(G202-I202)/VLOOKUP(C202,設定!$B$9:$D$23,2,FALSE)),"")</f>
        <v/>
      </c>
      <c r="P202" s="48">
        <f>IFERROR(IF(OR(ISBLANK(F202),ISBLANK(H202),ISBLANK(J202)),"",ABS(J202-F202)/ABS(F202-H202)),"")</f>
        <v/>
      </c>
      <c r="Q202" s="50">
        <f>IFERROR(IF(OR(ISBLANK(M202),ISBLANK(D202),ISBLANK(G202)),"",IF(D202="Long",(M202-G202),(G202-M202))/VLOOKUP(C202,設定!$B$9:$D$23,2,FALSE)),"")</f>
        <v/>
      </c>
      <c r="R202" s="51">
        <f>IFERROR(IF(OR(ISBLANK(Q202),O202=0),"",Q202/O202),"")</f>
        <v/>
      </c>
      <c r="S202" s="51">
        <f>IFERROR(IF(ISBLANK(R202),S201,IF(ISNUMBER(S201),S201,0)+R202),"")</f>
        <v/>
      </c>
      <c r="T202" s="52">
        <f>IFERROR(IF(OR(ISBLANK(Q202),ISBLANK(L202)),"",Q202*L202*VLOOKUP(C202,設定!$B$9:$D$23,3,FALSE)),"")</f>
        <v/>
      </c>
      <c r="U202" s="46" t="n"/>
      <c r="V202" s="46" t="n"/>
    </row>
    <row r="203">
      <c r="A203" s="53">
        <f>IF(ISBLANK(B203),"",COUNTA($B$18:B203))</f>
        <v/>
      </c>
      <c r="B203" s="54" t="n"/>
      <c r="C203" s="55" t="n"/>
      <c r="D203" s="55" t="n"/>
      <c r="E203" s="53" t="n"/>
      <c r="F203" s="56" t="n"/>
      <c r="G203" s="56" t="n"/>
      <c r="H203" s="56" t="n"/>
      <c r="I203" s="56" t="n"/>
      <c r="J203" s="56" t="n"/>
      <c r="K203" s="56" t="n"/>
      <c r="L203" s="57" t="n"/>
      <c r="M203" s="56" t="n"/>
      <c r="N203" s="55" t="n"/>
      <c r="O203" s="58">
        <f>IFERROR(IF(OR(ISBLANK(G203),ISBLANK(I203)),"",ABS(G203-I203)/VLOOKUP(C203,設定!$B$9:$D$23,2,FALSE)),"")</f>
        <v/>
      </c>
      <c r="P203" s="57">
        <f>IFERROR(IF(OR(ISBLANK(F203),ISBLANK(H203),ISBLANK(J203)),"",ABS(J203-F203)/ABS(F203-H203)),"")</f>
        <v/>
      </c>
      <c r="Q203" s="59">
        <f>IFERROR(IF(OR(ISBLANK(M203),ISBLANK(D203),ISBLANK(G203)),"",IF(D203="Long",(M203-G203),(G203-M203))/VLOOKUP(C203,設定!$B$9:$D$23,2,FALSE)),"")</f>
        <v/>
      </c>
      <c r="R203" s="60">
        <f>IFERROR(IF(OR(ISBLANK(Q203),O203=0),"",Q203/O203),"")</f>
        <v/>
      </c>
      <c r="S203" s="60">
        <f>IFERROR(IF(ISBLANK(R203),S202,IF(ISNUMBER(S202),S202,0)+R203),"")</f>
        <v/>
      </c>
      <c r="T203" s="61">
        <f>IFERROR(IF(OR(ISBLANK(Q203),ISBLANK(L203)),"",Q203*L203*VLOOKUP(C203,設定!$B$9:$D$23,3,FALSE)),"")</f>
        <v/>
      </c>
      <c r="U203" s="55" t="n"/>
      <c r="V203" s="55" t="n"/>
    </row>
    <row r="204">
      <c r="A204" s="44">
        <f>IF(ISBLANK(B204),"",COUNTA($B$18:B204))</f>
        <v/>
      </c>
      <c r="B204" s="45" t="n"/>
      <c r="C204" s="46" t="n"/>
      <c r="D204" s="46" t="n"/>
      <c r="E204" s="44" t="n"/>
      <c r="F204" s="47" t="n"/>
      <c r="G204" s="47" t="n"/>
      <c r="H204" s="47" t="n"/>
      <c r="I204" s="47" t="n"/>
      <c r="J204" s="47" t="n"/>
      <c r="K204" s="47" t="n"/>
      <c r="L204" s="48" t="n"/>
      <c r="M204" s="47" t="n"/>
      <c r="N204" s="46" t="n"/>
      <c r="O204" s="49">
        <f>IFERROR(IF(OR(ISBLANK(G204),ISBLANK(I204)),"",ABS(G204-I204)/VLOOKUP(C204,設定!$B$9:$D$23,2,FALSE)),"")</f>
        <v/>
      </c>
      <c r="P204" s="48">
        <f>IFERROR(IF(OR(ISBLANK(F204),ISBLANK(H204),ISBLANK(J204)),"",ABS(J204-F204)/ABS(F204-H204)),"")</f>
        <v/>
      </c>
      <c r="Q204" s="50">
        <f>IFERROR(IF(OR(ISBLANK(M204),ISBLANK(D204),ISBLANK(G204)),"",IF(D204="Long",(M204-G204),(G204-M204))/VLOOKUP(C204,設定!$B$9:$D$23,2,FALSE)),"")</f>
        <v/>
      </c>
      <c r="R204" s="51">
        <f>IFERROR(IF(OR(ISBLANK(Q204),O204=0),"",Q204/O204),"")</f>
        <v/>
      </c>
      <c r="S204" s="51">
        <f>IFERROR(IF(ISBLANK(R204),S203,IF(ISNUMBER(S203),S203,0)+R204),"")</f>
        <v/>
      </c>
      <c r="T204" s="52">
        <f>IFERROR(IF(OR(ISBLANK(Q204),ISBLANK(L204)),"",Q204*L204*VLOOKUP(C204,設定!$B$9:$D$23,3,FALSE)),"")</f>
        <v/>
      </c>
      <c r="U204" s="46" t="n"/>
      <c r="V204" s="46" t="n"/>
    </row>
    <row r="205">
      <c r="A205" s="53">
        <f>IF(ISBLANK(B205),"",COUNTA($B$18:B205))</f>
        <v/>
      </c>
      <c r="B205" s="54" t="n"/>
      <c r="C205" s="55" t="n"/>
      <c r="D205" s="55" t="n"/>
      <c r="E205" s="53" t="n"/>
      <c r="F205" s="56" t="n"/>
      <c r="G205" s="56" t="n"/>
      <c r="H205" s="56" t="n"/>
      <c r="I205" s="56" t="n"/>
      <c r="J205" s="56" t="n"/>
      <c r="K205" s="56" t="n"/>
      <c r="L205" s="57" t="n"/>
      <c r="M205" s="56" t="n"/>
      <c r="N205" s="55" t="n"/>
      <c r="O205" s="58">
        <f>IFERROR(IF(OR(ISBLANK(G205),ISBLANK(I205)),"",ABS(G205-I205)/VLOOKUP(C205,設定!$B$9:$D$23,2,FALSE)),"")</f>
        <v/>
      </c>
      <c r="P205" s="57">
        <f>IFERROR(IF(OR(ISBLANK(F205),ISBLANK(H205),ISBLANK(J205)),"",ABS(J205-F205)/ABS(F205-H205)),"")</f>
        <v/>
      </c>
      <c r="Q205" s="59">
        <f>IFERROR(IF(OR(ISBLANK(M205),ISBLANK(D205),ISBLANK(G205)),"",IF(D205="Long",(M205-G205),(G205-M205))/VLOOKUP(C205,設定!$B$9:$D$23,2,FALSE)),"")</f>
        <v/>
      </c>
      <c r="R205" s="60">
        <f>IFERROR(IF(OR(ISBLANK(Q205),O205=0),"",Q205/O205),"")</f>
        <v/>
      </c>
      <c r="S205" s="60">
        <f>IFERROR(IF(ISBLANK(R205),S204,IF(ISNUMBER(S204),S204,0)+R205),"")</f>
        <v/>
      </c>
      <c r="T205" s="61">
        <f>IFERROR(IF(OR(ISBLANK(Q205),ISBLANK(L205)),"",Q205*L205*VLOOKUP(C205,設定!$B$9:$D$23,3,FALSE)),"")</f>
        <v/>
      </c>
      <c r="U205" s="55" t="n"/>
      <c r="V205" s="55" t="n"/>
    </row>
    <row r="206">
      <c r="A206" s="44">
        <f>IF(ISBLANK(B206),"",COUNTA($B$18:B206))</f>
        <v/>
      </c>
      <c r="B206" s="45" t="n"/>
      <c r="C206" s="46" t="n"/>
      <c r="D206" s="46" t="n"/>
      <c r="E206" s="44" t="n"/>
      <c r="F206" s="47" t="n"/>
      <c r="G206" s="47" t="n"/>
      <c r="H206" s="47" t="n"/>
      <c r="I206" s="47" t="n"/>
      <c r="J206" s="47" t="n"/>
      <c r="K206" s="47" t="n"/>
      <c r="L206" s="48" t="n"/>
      <c r="M206" s="47" t="n"/>
      <c r="N206" s="46" t="n"/>
      <c r="O206" s="49">
        <f>IFERROR(IF(OR(ISBLANK(G206),ISBLANK(I206)),"",ABS(G206-I206)/VLOOKUP(C206,設定!$B$9:$D$23,2,FALSE)),"")</f>
        <v/>
      </c>
      <c r="P206" s="48">
        <f>IFERROR(IF(OR(ISBLANK(F206),ISBLANK(H206),ISBLANK(J206)),"",ABS(J206-F206)/ABS(F206-H206)),"")</f>
        <v/>
      </c>
      <c r="Q206" s="50">
        <f>IFERROR(IF(OR(ISBLANK(M206),ISBLANK(D206),ISBLANK(G206)),"",IF(D206="Long",(M206-G206),(G206-M206))/VLOOKUP(C206,設定!$B$9:$D$23,2,FALSE)),"")</f>
        <v/>
      </c>
      <c r="R206" s="51">
        <f>IFERROR(IF(OR(ISBLANK(Q206),O206=0),"",Q206/O206),"")</f>
        <v/>
      </c>
      <c r="S206" s="51">
        <f>IFERROR(IF(ISBLANK(R206),S205,IF(ISNUMBER(S205),S205,0)+R206),"")</f>
        <v/>
      </c>
      <c r="T206" s="52">
        <f>IFERROR(IF(OR(ISBLANK(Q206),ISBLANK(L206)),"",Q206*L206*VLOOKUP(C206,設定!$B$9:$D$23,3,FALSE)),"")</f>
        <v/>
      </c>
      <c r="U206" s="46" t="n"/>
      <c r="V206" s="46" t="n"/>
    </row>
    <row r="207">
      <c r="A207" s="53">
        <f>IF(ISBLANK(B207),"",COUNTA($B$18:B207))</f>
        <v/>
      </c>
      <c r="B207" s="54" t="n"/>
      <c r="C207" s="55" t="n"/>
      <c r="D207" s="55" t="n"/>
      <c r="E207" s="53" t="n"/>
      <c r="F207" s="56" t="n"/>
      <c r="G207" s="56" t="n"/>
      <c r="H207" s="56" t="n"/>
      <c r="I207" s="56" t="n"/>
      <c r="J207" s="56" t="n"/>
      <c r="K207" s="56" t="n"/>
      <c r="L207" s="57" t="n"/>
      <c r="M207" s="56" t="n"/>
      <c r="N207" s="55" t="n"/>
      <c r="O207" s="58">
        <f>IFERROR(IF(OR(ISBLANK(G207),ISBLANK(I207)),"",ABS(G207-I207)/VLOOKUP(C207,設定!$B$9:$D$23,2,FALSE)),"")</f>
        <v/>
      </c>
      <c r="P207" s="57">
        <f>IFERROR(IF(OR(ISBLANK(F207),ISBLANK(H207),ISBLANK(J207)),"",ABS(J207-F207)/ABS(F207-H207)),"")</f>
        <v/>
      </c>
      <c r="Q207" s="59">
        <f>IFERROR(IF(OR(ISBLANK(M207),ISBLANK(D207),ISBLANK(G207)),"",IF(D207="Long",(M207-G207),(G207-M207))/VLOOKUP(C207,設定!$B$9:$D$23,2,FALSE)),"")</f>
        <v/>
      </c>
      <c r="R207" s="60">
        <f>IFERROR(IF(OR(ISBLANK(Q207),O207=0),"",Q207/O207),"")</f>
        <v/>
      </c>
      <c r="S207" s="60">
        <f>IFERROR(IF(ISBLANK(R207),S206,IF(ISNUMBER(S206),S206,0)+R207),"")</f>
        <v/>
      </c>
      <c r="T207" s="61">
        <f>IFERROR(IF(OR(ISBLANK(Q207),ISBLANK(L207)),"",Q207*L207*VLOOKUP(C207,設定!$B$9:$D$23,3,FALSE)),"")</f>
        <v/>
      </c>
      <c r="U207" s="55" t="n"/>
      <c r="V207" s="55" t="n"/>
    </row>
    <row r="208">
      <c r="A208" s="44">
        <f>IF(ISBLANK(B208),"",COUNTA($B$18:B208))</f>
        <v/>
      </c>
      <c r="B208" s="45" t="n"/>
      <c r="C208" s="46" t="n"/>
      <c r="D208" s="46" t="n"/>
      <c r="E208" s="44" t="n"/>
      <c r="F208" s="47" t="n"/>
      <c r="G208" s="47" t="n"/>
      <c r="H208" s="47" t="n"/>
      <c r="I208" s="47" t="n"/>
      <c r="J208" s="47" t="n"/>
      <c r="K208" s="47" t="n"/>
      <c r="L208" s="48" t="n"/>
      <c r="M208" s="47" t="n"/>
      <c r="N208" s="46" t="n"/>
      <c r="O208" s="49">
        <f>IFERROR(IF(OR(ISBLANK(G208),ISBLANK(I208)),"",ABS(G208-I208)/VLOOKUP(C208,設定!$B$9:$D$23,2,FALSE)),"")</f>
        <v/>
      </c>
      <c r="P208" s="48">
        <f>IFERROR(IF(OR(ISBLANK(F208),ISBLANK(H208),ISBLANK(J208)),"",ABS(J208-F208)/ABS(F208-H208)),"")</f>
        <v/>
      </c>
      <c r="Q208" s="50">
        <f>IFERROR(IF(OR(ISBLANK(M208),ISBLANK(D208),ISBLANK(G208)),"",IF(D208="Long",(M208-G208),(G208-M208))/VLOOKUP(C208,設定!$B$9:$D$23,2,FALSE)),"")</f>
        <v/>
      </c>
      <c r="R208" s="51">
        <f>IFERROR(IF(OR(ISBLANK(Q208),O208=0),"",Q208/O208),"")</f>
        <v/>
      </c>
      <c r="S208" s="51">
        <f>IFERROR(IF(ISBLANK(R208),S207,IF(ISNUMBER(S207),S207,0)+R208),"")</f>
        <v/>
      </c>
      <c r="T208" s="52">
        <f>IFERROR(IF(OR(ISBLANK(Q208),ISBLANK(L208)),"",Q208*L208*VLOOKUP(C208,設定!$B$9:$D$23,3,FALSE)),"")</f>
        <v/>
      </c>
      <c r="U208" s="46" t="n"/>
      <c r="V208" s="46" t="n"/>
    </row>
    <row r="209">
      <c r="A209" s="53">
        <f>IF(ISBLANK(B209),"",COUNTA($B$18:B209))</f>
        <v/>
      </c>
      <c r="B209" s="54" t="n"/>
      <c r="C209" s="55" t="n"/>
      <c r="D209" s="55" t="n"/>
      <c r="E209" s="53" t="n"/>
      <c r="F209" s="56" t="n"/>
      <c r="G209" s="56" t="n"/>
      <c r="H209" s="56" t="n"/>
      <c r="I209" s="56" t="n"/>
      <c r="J209" s="56" t="n"/>
      <c r="K209" s="56" t="n"/>
      <c r="L209" s="57" t="n"/>
      <c r="M209" s="56" t="n"/>
      <c r="N209" s="55" t="n"/>
      <c r="O209" s="58">
        <f>IFERROR(IF(OR(ISBLANK(G209),ISBLANK(I209)),"",ABS(G209-I209)/VLOOKUP(C209,設定!$B$9:$D$23,2,FALSE)),"")</f>
        <v/>
      </c>
      <c r="P209" s="57">
        <f>IFERROR(IF(OR(ISBLANK(F209),ISBLANK(H209),ISBLANK(J209)),"",ABS(J209-F209)/ABS(F209-H209)),"")</f>
        <v/>
      </c>
      <c r="Q209" s="59">
        <f>IFERROR(IF(OR(ISBLANK(M209),ISBLANK(D209),ISBLANK(G209)),"",IF(D209="Long",(M209-G209),(G209-M209))/VLOOKUP(C209,設定!$B$9:$D$23,2,FALSE)),"")</f>
        <v/>
      </c>
      <c r="R209" s="60">
        <f>IFERROR(IF(OR(ISBLANK(Q209),O209=0),"",Q209/O209),"")</f>
        <v/>
      </c>
      <c r="S209" s="60">
        <f>IFERROR(IF(ISBLANK(R209),S208,IF(ISNUMBER(S208),S208,0)+R209),"")</f>
        <v/>
      </c>
      <c r="T209" s="61">
        <f>IFERROR(IF(OR(ISBLANK(Q209),ISBLANK(L209)),"",Q209*L209*VLOOKUP(C209,設定!$B$9:$D$23,3,FALSE)),"")</f>
        <v/>
      </c>
      <c r="U209" s="55" t="n"/>
      <c r="V209" s="55" t="n"/>
    </row>
    <row r="210">
      <c r="A210" s="44">
        <f>IF(ISBLANK(B210),"",COUNTA($B$18:B210))</f>
        <v/>
      </c>
      <c r="B210" s="45" t="n"/>
      <c r="C210" s="46" t="n"/>
      <c r="D210" s="46" t="n"/>
      <c r="E210" s="44" t="n"/>
      <c r="F210" s="47" t="n"/>
      <c r="G210" s="47" t="n"/>
      <c r="H210" s="47" t="n"/>
      <c r="I210" s="47" t="n"/>
      <c r="J210" s="47" t="n"/>
      <c r="K210" s="47" t="n"/>
      <c r="L210" s="48" t="n"/>
      <c r="M210" s="47" t="n"/>
      <c r="N210" s="46" t="n"/>
      <c r="O210" s="49">
        <f>IFERROR(IF(OR(ISBLANK(G210),ISBLANK(I210)),"",ABS(G210-I210)/VLOOKUP(C210,設定!$B$9:$D$23,2,FALSE)),"")</f>
        <v/>
      </c>
      <c r="P210" s="48">
        <f>IFERROR(IF(OR(ISBLANK(F210),ISBLANK(H210),ISBLANK(J210)),"",ABS(J210-F210)/ABS(F210-H210)),"")</f>
        <v/>
      </c>
      <c r="Q210" s="50">
        <f>IFERROR(IF(OR(ISBLANK(M210),ISBLANK(D210),ISBLANK(G210)),"",IF(D210="Long",(M210-G210),(G210-M210))/VLOOKUP(C210,設定!$B$9:$D$23,2,FALSE)),"")</f>
        <v/>
      </c>
      <c r="R210" s="51">
        <f>IFERROR(IF(OR(ISBLANK(Q210),O210=0),"",Q210/O210),"")</f>
        <v/>
      </c>
      <c r="S210" s="51">
        <f>IFERROR(IF(ISBLANK(R210),S209,IF(ISNUMBER(S209),S209,0)+R210),"")</f>
        <v/>
      </c>
      <c r="T210" s="52">
        <f>IFERROR(IF(OR(ISBLANK(Q210),ISBLANK(L210)),"",Q210*L210*VLOOKUP(C210,設定!$B$9:$D$23,3,FALSE)),"")</f>
        <v/>
      </c>
      <c r="U210" s="46" t="n"/>
      <c r="V210" s="46" t="n"/>
    </row>
    <row r="211">
      <c r="A211" s="53">
        <f>IF(ISBLANK(B211),"",COUNTA($B$18:B211))</f>
        <v/>
      </c>
      <c r="B211" s="54" t="n"/>
      <c r="C211" s="55" t="n"/>
      <c r="D211" s="55" t="n"/>
      <c r="E211" s="53" t="n"/>
      <c r="F211" s="56" t="n"/>
      <c r="G211" s="56" t="n"/>
      <c r="H211" s="56" t="n"/>
      <c r="I211" s="56" t="n"/>
      <c r="J211" s="56" t="n"/>
      <c r="K211" s="56" t="n"/>
      <c r="L211" s="57" t="n"/>
      <c r="M211" s="56" t="n"/>
      <c r="N211" s="55" t="n"/>
      <c r="O211" s="58">
        <f>IFERROR(IF(OR(ISBLANK(G211),ISBLANK(I211)),"",ABS(G211-I211)/VLOOKUP(C211,設定!$B$9:$D$23,2,FALSE)),"")</f>
        <v/>
      </c>
      <c r="P211" s="57">
        <f>IFERROR(IF(OR(ISBLANK(F211),ISBLANK(H211),ISBLANK(J211)),"",ABS(J211-F211)/ABS(F211-H211)),"")</f>
        <v/>
      </c>
      <c r="Q211" s="59">
        <f>IFERROR(IF(OR(ISBLANK(M211),ISBLANK(D211),ISBLANK(G211)),"",IF(D211="Long",(M211-G211),(G211-M211))/VLOOKUP(C211,設定!$B$9:$D$23,2,FALSE)),"")</f>
        <v/>
      </c>
      <c r="R211" s="60">
        <f>IFERROR(IF(OR(ISBLANK(Q211),O211=0),"",Q211/O211),"")</f>
        <v/>
      </c>
      <c r="S211" s="60">
        <f>IFERROR(IF(ISBLANK(R211),S210,IF(ISNUMBER(S210),S210,0)+R211),"")</f>
        <v/>
      </c>
      <c r="T211" s="61">
        <f>IFERROR(IF(OR(ISBLANK(Q211),ISBLANK(L211)),"",Q211*L211*VLOOKUP(C211,設定!$B$9:$D$23,3,FALSE)),"")</f>
        <v/>
      </c>
      <c r="U211" s="55" t="n"/>
      <c r="V211" s="55" t="n"/>
    </row>
    <row r="212">
      <c r="A212" s="44">
        <f>IF(ISBLANK(B212),"",COUNTA($B$18:B212))</f>
        <v/>
      </c>
      <c r="B212" s="45" t="n"/>
      <c r="C212" s="46" t="n"/>
      <c r="D212" s="46" t="n"/>
      <c r="E212" s="44" t="n"/>
      <c r="F212" s="47" t="n"/>
      <c r="G212" s="47" t="n"/>
      <c r="H212" s="47" t="n"/>
      <c r="I212" s="47" t="n"/>
      <c r="J212" s="47" t="n"/>
      <c r="K212" s="47" t="n"/>
      <c r="L212" s="48" t="n"/>
      <c r="M212" s="47" t="n"/>
      <c r="N212" s="46" t="n"/>
      <c r="O212" s="49">
        <f>IFERROR(IF(OR(ISBLANK(G212),ISBLANK(I212)),"",ABS(G212-I212)/VLOOKUP(C212,設定!$B$9:$D$23,2,FALSE)),"")</f>
        <v/>
      </c>
      <c r="P212" s="48">
        <f>IFERROR(IF(OR(ISBLANK(F212),ISBLANK(H212),ISBLANK(J212)),"",ABS(J212-F212)/ABS(F212-H212)),"")</f>
        <v/>
      </c>
      <c r="Q212" s="50">
        <f>IFERROR(IF(OR(ISBLANK(M212),ISBLANK(D212),ISBLANK(G212)),"",IF(D212="Long",(M212-G212),(G212-M212))/VLOOKUP(C212,設定!$B$9:$D$23,2,FALSE)),"")</f>
        <v/>
      </c>
      <c r="R212" s="51">
        <f>IFERROR(IF(OR(ISBLANK(Q212),O212=0),"",Q212/O212),"")</f>
        <v/>
      </c>
      <c r="S212" s="51">
        <f>IFERROR(IF(ISBLANK(R212),S211,IF(ISNUMBER(S211),S211,0)+R212),"")</f>
        <v/>
      </c>
      <c r="T212" s="52">
        <f>IFERROR(IF(OR(ISBLANK(Q212),ISBLANK(L212)),"",Q212*L212*VLOOKUP(C212,設定!$B$9:$D$23,3,FALSE)),"")</f>
        <v/>
      </c>
      <c r="U212" s="46" t="n"/>
      <c r="V212" s="46" t="n"/>
    </row>
    <row r="213">
      <c r="A213" s="53">
        <f>IF(ISBLANK(B213),"",COUNTA($B$18:B213))</f>
        <v/>
      </c>
      <c r="B213" s="54" t="n"/>
      <c r="C213" s="55" t="n"/>
      <c r="D213" s="55" t="n"/>
      <c r="E213" s="53" t="n"/>
      <c r="F213" s="56" t="n"/>
      <c r="G213" s="56" t="n"/>
      <c r="H213" s="56" t="n"/>
      <c r="I213" s="56" t="n"/>
      <c r="J213" s="56" t="n"/>
      <c r="K213" s="56" t="n"/>
      <c r="L213" s="57" t="n"/>
      <c r="M213" s="56" t="n"/>
      <c r="N213" s="55" t="n"/>
      <c r="O213" s="58">
        <f>IFERROR(IF(OR(ISBLANK(G213),ISBLANK(I213)),"",ABS(G213-I213)/VLOOKUP(C213,設定!$B$9:$D$23,2,FALSE)),"")</f>
        <v/>
      </c>
      <c r="P213" s="57">
        <f>IFERROR(IF(OR(ISBLANK(F213),ISBLANK(H213),ISBLANK(J213)),"",ABS(J213-F213)/ABS(F213-H213)),"")</f>
        <v/>
      </c>
      <c r="Q213" s="59">
        <f>IFERROR(IF(OR(ISBLANK(M213),ISBLANK(D213),ISBLANK(G213)),"",IF(D213="Long",(M213-G213),(G213-M213))/VLOOKUP(C213,設定!$B$9:$D$23,2,FALSE)),"")</f>
        <v/>
      </c>
      <c r="R213" s="60">
        <f>IFERROR(IF(OR(ISBLANK(Q213),O213=0),"",Q213/O213),"")</f>
        <v/>
      </c>
      <c r="S213" s="60">
        <f>IFERROR(IF(ISBLANK(R213),S212,IF(ISNUMBER(S212),S212,0)+R213),"")</f>
        <v/>
      </c>
      <c r="T213" s="61">
        <f>IFERROR(IF(OR(ISBLANK(Q213),ISBLANK(L213)),"",Q213*L213*VLOOKUP(C213,設定!$B$9:$D$23,3,FALSE)),"")</f>
        <v/>
      </c>
      <c r="U213" s="55" t="n"/>
      <c r="V213" s="55" t="n"/>
    </row>
    <row r="214">
      <c r="A214" s="44">
        <f>IF(ISBLANK(B214),"",COUNTA($B$18:B214))</f>
        <v/>
      </c>
      <c r="B214" s="45" t="n"/>
      <c r="C214" s="46" t="n"/>
      <c r="D214" s="46" t="n"/>
      <c r="E214" s="44" t="n"/>
      <c r="F214" s="47" t="n"/>
      <c r="G214" s="47" t="n"/>
      <c r="H214" s="47" t="n"/>
      <c r="I214" s="47" t="n"/>
      <c r="J214" s="47" t="n"/>
      <c r="K214" s="47" t="n"/>
      <c r="L214" s="48" t="n"/>
      <c r="M214" s="47" t="n"/>
      <c r="N214" s="46" t="n"/>
      <c r="O214" s="49">
        <f>IFERROR(IF(OR(ISBLANK(G214),ISBLANK(I214)),"",ABS(G214-I214)/VLOOKUP(C214,設定!$B$9:$D$23,2,FALSE)),"")</f>
        <v/>
      </c>
      <c r="P214" s="48">
        <f>IFERROR(IF(OR(ISBLANK(F214),ISBLANK(H214),ISBLANK(J214)),"",ABS(J214-F214)/ABS(F214-H214)),"")</f>
        <v/>
      </c>
      <c r="Q214" s="50">
        <f>IFERROR(IF(OR(ISBLANK(M214),ISBLANK(D214),ISBLANK(G214)),"",IF(D214="Long",(M214-G214),(G214-M214))/VLOOKUP(C214,設定!$B$9:$D$23,2,FALSE)),"")</f>
        <v/>
      </c>
      <c r="R214" s="51">
        <f>IFERROR(IF(OR(ISBLANK(Q214),O214=0),"",Q214/O214),"")</f>
        <v/>
      </c>
      <c r="S214" s="51">
        <f>IFERROR(IF(ISBLANK(R214),S213,IF(ISNUMBER(S213),S213,0)+R214),"")</f>
        <v/>
      </c>
      <c r="T214" s="52">
        <f>IFERROR(IF(OR(ISBLANK(Q214),ISBLANK(L214)),"",Q214*L214*VLOOKUP(C214,設定!$B$9:$D$23,3,FALSE)),"")</f>
        <v/>
      </c>
      <c r="U214" s="46" t="n"/>
      <c r="V214" s="46" t="n"/>
    </row>
    <row r="215">
      <c r="A215" s="53">
        <f>IF(ISBLANK(B215),"",COUNTA($B$18:B215))</f>
        <v/>
      </c>
      <c r="B215" s="54" t="n"/>
      <c r="C215" s="55" t="n"/>
      <c r="D215" s="55" t="n"/>
      <c r="E215" s="53" t="n"/>
      <c r="F215" s="56" t="n"/>
      <c r="G215" s="56" t="n"/>
      <c r="H215" s="56" t="n"/>
      <c r="I215" s="56" t="n"/>
      <c r="J215" s="56" t="n"/>
      <c r="K215" s="56" t="n"/>
      <c r="L215" s="57" t="n"/>
      <c r="M215" s="56" t="n"/>
      <c r="N215" s="55" t="n"/>
      <c r="O215" s="58">
        <f>IFERROR(IF(OR(ISBLANK(G215),ISBLANK(I215)),"",ABS(G215-I215)/VLOOKUP(C215,設定!$B$9:$D$23,2,FALSE)),"")</f>
        <v/>
      </c>
      <c r="P215" s="57">
        <f>IFERROR(IF(OR(ISBLANK(F215),ISBLANK(H215),ISBLANK(J215)),"",ABS(J215-F215)/ABS(F215-H215)),"")</f>
        <v/>
      </c>
      <c r="Q215" s="59">
        <f>IFERROR(IF(OR(ISBLANK(M215),ISBLANK(D215),ISBLANK(G215)),"",IF(D215="Long",(M215-G215),(G215-M215))/VLOOKUP(C215,設定!$B$9:$D$23,2,FALSE)),"")</f>
        <v/>
      </c>
      <c r="R215" s="60">
        <f>IFERROR(IF(OR(ISBLANK(Q215),O215=0),"",Q215/O215),"")</f>
        <v/>
      </c>
      <c r="S215" s="60">
        <f>IFERROR(IF(ISBLANK(R215),S214,IF(ISNUMBER(S214),S214,0)+R215),"")</f>
        <v/>
      </c>
      <c r="T215" s="61">
        <f>IFERROR(IF(OR(ISBLANK(Q215),ISBLANK(L215)),"",Q215*L215*VLOOKUP(C215,設定!$B$9:$D$23,3,FALSE)),"")</f>
        <v/>
      </c>
      <c r="U215" s="55" t="n"/>
      <c r="V215" s="55" t="n"/>
    </row>
    <row r="216">
      <c r="A216" s="44">
        <f>IF(ISBLANK(B216),"",COUNTA($B$18:B216))</f>
        <v/>
      </c>
      <c r="B216" s="45" t="n"/>
      <c r="C216" s="46" t="n"/>
      <c r="D216" s="46" t="n"/>
      <c r="E216" s="44" t="n"/>
      <c r="F216" s="47" t="n"/>
      <c r="G216" s="47" t="n"/>
      <c r="H216" s="47" t="n"/>
      <c r="I216" s="47" t="n"/>
      <c r="J216" s="47" t="n"/>
      <c r="K216" s="47" t="n"/>
      <c r="L216" s="48" t="n"/>
      <c r="M216" s="47" t="n"/>
      <c r="N216" s="46" t="n"/>
      <c r="O216" s="49">
        <f>IFERROR(IF(OR(ISBLANK(G216),ISBLANK(I216)),"",ABS(G216-I216)/VLOOKUP(C216,設定!$B$9:$D$23,2,FALSE)),"")</f>
        <v/>
      </c>
      <c r="P216" s="48">
        <f>IFERROR(IF(OR(ISBLANK(F216),ISBLANK(H216),ISBLANK(J216)),"",ABS(J216-F216)/ABS(F216-H216)),"")</f>
        <v/>
      </c>
      <c r="Q216" s="50">
        <f>IFERROR(IF(OR(ISBLANK(M216),ISBLANK(D216),ISBLANK(G216)),"",IF(D216="Long",(M216-G216),(G216-M216))/VLOOKUP(C216,設定!$B$9:$D$23,2,FALSE)),"")</f>
        <v/>
      </c>
      <c r="R216" s="51">
        <f>IFERROR(IF(OR(ISBLANK(Q216),O216=0),"",Q216/O216),"")</f>
        <v/>
      </c>
      <c r="S216" s="51">
        <f>IFERROR(IF(ISBLANK(R216),S215,IF(ISNUMBER(S215),S215,0)+R216),"")</f>
        <v/>
      </c>
      <c r="T216" s="52">
        <f>IFERROR(IF(OR(ISBLANK(Q216),ISBLANK(L216)),"",Q216*L216*VLOOKUP(C216,設定!$B$9:$D$23,3,FALSE)),"")</f>
        <v/>
      </c>
      <c r="U216" s="46" t="n"/>
      <c r="V216" s="46" t="n"/>
    </row>
    <row r="217">
      <c r="A217" s="53">
        <f>IF(ISBLANK(B217),"",COUNTA($B$18:B217))</f>
        <v/>
      </c>
      <c r="B217" s="54" t="n"/>
      <c r="C217" s="55" t="n"/>
      <c r="D217" s="55" t="n"/>
      <c r="E217" s="53" t="n"/>
      <c r="F217" s="56" t="n"/>
      <c r="G217" s="56" t="n"/>
      <c r="H217" s="56" t="n"/>
      <c r="I217" s="56" t="n"/>
      <c r="J217" s="56" t="n"/>
      <c r="K217" s="56" t="n"/>
      <c r="L217" s="57" t="n"/>
      <c r="M217" s="56" t="n"/>
      <c r="N217" s="55" t="n"/>
      <c r="O217" s="58">
        <f>IFERROR(IF(OR(ISBLANK(G217),ISBLANK(I217)),"",ABS(G217-I217)/VLOOKUP(C217,設定!$B$9:$D$23,2,FALSE)),"")</f>
        <v/>
      </c>
      <c r="P217" s="57">
        <f>IFERROR(IF(OR(ISBLANK(F217),ISBLANK(H217),ISBLANK(J217)),"",ABS(J217-F217)/ABS(F217-H217)),"")</f>
        <v/>
      </c>
      <c r="Q217" s="59">
        <f>IFERROR(IF(OR(ISBLANK(M217),ISBLANK(D217),ISBLANK(G217)),"",IF(D217="Long",(M217-G217),(G217-M217))/VLOOKUP(C217,設定!$B$9:$D$23,2,FALSE)),"")</f>
        <v/>
      </c>
      <c r="R217" s="60">
        <f>IFERROR(IF(OR(ISBLANK(Q217),O217=0),"",Q217/O217),"")</f>
        <v/>
      </c>
      <c r="S217" s="60">
        <f>IFERROR(IF(ISBLANK(R217),S216,IF(ISNUMBER(S216),S216,0)+R217),"")</f>
        <v/>
      </c>
      <c r="T217" s="61">
        <f>IFERROR(IF(OR(ISBLANK(Q217),ISBLANK(L217)),"",Q217*L217*VLOOKUP(C217,設定!$B$9:$D$23,3,FALSE)),"")</f>
        <v/>
      </c>
      <c r="U217" s="55" t="n"/>
      <c r="V217" s="55" t="n"/>
    </row>
  </sheetData>
  <mergeCells count="6">
    <mergeCell ref="A2:V2"/>
    <mergeCell ref="I3:V3"/>
    <mergeCell ref="E3:H3"/>
    <mergeCell ref="B3:C3"/>
    <mergeCell ref="A1:V1"/>
    <mergeCell ref="I4:V15"/>
  </mergeCells>
  <conditionalFormatting sqref="R18:R2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18:N217">
    <cfRule type="expression" priority="3" dxfId="0">
      <formula>$N18="TP"</formula>
    </cfRule>
    <cfRule type="expression" priority="4" dxfId="1">
      <formula>$N18="SL"</formula>
    </cfRule>
  </conditionalFormatting>
  <conditionalFormatting sqref="U18:U217">
    <cfRule type="expression" priority="5" dxfId="4">
      <formula>$U18="S"</formula>
    </cfRule>
    <cfRule type="expression" priority="6" dxfId="0">
      <formula>$U18="A"</formula>
    </cfRule>
    <cfRule type="expression" priority="7" dxfId="1">
      <formula>$U18="D"</formula>
    </cfRule>
  </conditionalFormatting>
  <dataValidations count="4">
    <dataValidation sqref="C18:C217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18:D217" showDropDown="0" showInputMessage="0" showErrorMessage="0" allowBlank="1" type="list">
      <formula1>"Long,Short"</formula1>
    </dataValidation>
    <dataValidation sqref="N18:N217" showDropDown="0" showInputMessage="0" showErrorMessage="0" allowBlank="1" type="list">
      <formula1>"TP,SL,手動,強制,建値撤退"</formula1>
    </dataValidation>
    <dataValidation sqref="U18:U21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7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11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35" customWidth="1" min="22" max="22"/>
  </cols>
  <sheetData>
    <row r="1" ht="36" customHeight="1">
      <c r="A1" s="65" t="inlineStr">
        <is>
          <t>PDHL  ·  手動トレード履歴</t>
        </is>
      </c>
    </row>
    <row r="2" ht="32" customHeight="1">
      <c r="A2" s="66" t="inlineStr">
        <is>
          <t>前日高値 (PDH) / 前日安値 (PDL) のブレイク → リテスト → フラッグ → プライスアクション → トリガー の 5 段階確認型。ダマシ回避が核心。</t>
        </is>
      </c>
    </row>
    <row r="3">
      <c r="B3" s="4" t="inlineStr">
        <is>
          <t>📊 集計サマリ</t>
        </is>
      </c>
      <c r="C3" s="28" t="n"/>
      <c r="E3" s="4" t="inlineStr">
        <is>
          <t>🏅 トレード評価分布</t>
        </is>
      </c>
      <c r="I3" s="4" t="inlineStr">
        <is>
          <t>📝 PDHL で学んだこと · 観察メモ</t>
        </is>
      </c>
    </row>
    <row r="4">
      <c r="B4" s="10" t="inlineStr">
        <is>
          <t>件数</t>
        </is>
      </c>
      <c r="C4" s="29">
        <f>COUNT(R18:R217)</f>
        <v/>
      </c>
      <c r="E4" s="10" t="inlineStr">
        <is>
          <t>S ランク</t>
        </is>
      </c>
      <c r="F4" s="30">
        <f>COUNTIF(U18:U217,"S")</f>
        <v/>
      </c>
      <c r="G4" s="31">
        <f>IFERROR(F4/COUNTA(U18:U217),0)</f>
        <v/>
      </c>
      <c r="H4" s="32" t="inlineStr">
        <is>
          <t>完璧 (計画通り + 理想的展開)</t>
        </is>
      </c>
      <c r="I4" s="67" t="inlineStr">
        <is>
          <t>(ここに PDHL で気づいたこと・パターン・反省を自由記述。例:
 ・東京時間の発火は勝率が低い、ロンドン時間に絞ると改善
 ・スコア 80+ のシグナルだけ取ると勝率が劇的に上がる
 ・SL を少しタイトめにすると RR 向上)</t>
        </is>
      </c>
    </row>
    <row r="5">
      <c r="B5" s="10" t="inlineStr">
        <is>
          <t>勝率</t>
        </is>
      </c>
      <c r="C5" s="34">
        <f>IFERROR(COUNTIF(R18:R217,"&gt;0")/COUNT(R18:R217),0)</f>
        <v/>
      </c>
      <c r="E5" s="10" t="inlineStr">
        <is>
          <t>A ランク</t>
        </is>
      </c>
      <c r="F5" s="35">
        <f>COUNTIF(U18:U217,"A")</f>
        <v/>
      </c>
      <c r="G5" s="31">
        <f>IFERROR(F5/COUNTA(U18:U217),0)</f>
        <v/>
      </c>
      <c r="H5" s="32" t="inlineStr">
        <is>
          <t>良い (利益確保)</t>
        </is>
      </c>
    </row>
    <row r="6">
      <c r="B6" s="10" t="inlineStr">
        <is>
          <t>平均 RR (計画)</t>
        </is>
      </c>
      <c r="C6" s="36">
        <f>IFERROR(AVERAGE(P18:P217),0)</f>
        <v/>
      </c>
      <c r="E6" s="10" t="inlineStr">
        <is>
          <t>B ランク</t>
        </is>
      </c>
      <c r="F6" s="37">
        <f>COUNTIF(U18:U217,"B")</f>
        <v/>
      </c>
      <c r="G6" s="31">
        <f>IFERROR(F6/COUNTA(U18:U217),0)</f>
        <v/>
      </c>
      <c r="H6" s="32" t="inlineStr">
        <is>
          <t>普通 (微益微損)</t>
        </is>
      </c>
    </row>
    <row r="7">
      <c r="B7" s="10" t="inlineStr">
        <is>
          <t>PF</t>
        </is>
      </c>
      <c r="C7" s="36">
        <f>IFERROR(SUMIF(R18:R217,"&gt;0")/-SUMIF(R18:R217,"&lt;0"),0)</f>
        <v/>
      </c>
      <c r="E7" s="10" t="inlineStr">
        <is>
          <t>C ランク</t>
        </is>
      </c>
      <c r="F7" s="38">
        <f>COUNTIF(U18:U217,"C")</f>
        <v/>
      </c>
      <c r="G7" s="31">
        <f>IFERROR(F7/COUNTA(U18:U217),0)</f>
        <v/>
      </c>
      <c r="H7" s="32" t="inlineStr">
        <is>
          <t>悪い (損失だが学びあり)</t>
        </is>
      </c>
    </row>
    <row r="8">
      <c r="B8" s="10" t="inlineStr">
        <is>
          <t>期待値 (R)</t>
        </is>
      </c>
      <c r="C8" s="39">
        <f>IFERROR(AVERAGE(R18:R217),0)</f>
        <v/>
      </c>
      <c r="E8" s="10" t="inlineStr">
        <is>
          <t>D ランク</t>
        </is>
      </c>
      <c r="F8" s="40">
        <f>COUNTIF(U18:U217,"D")</f>
        <v/>
      </c>
      <c r="G8" s="31">
        <f>IFERROR(F8/COUNTA(U18:U217),0)</f>
        <v/>
      </c>
      <c r="H8" s="32" t="inlineStr">
        <is>
          <t>失敗 (規律違反含む)</t>
        </is>
      </c>
    </row>
    <row r="9">
      <c r="B9" s="10" t="inlineStr">
        <is>
          <t>累計 R</t>
        </is>
      </c>
      <c r="C9" s="22">
        <f>SUM(R18:R217)</f>
        <v/>
      </c>
    </row>
    <row r="10">
      <c r="B10" s="10" t="inlineStr">
        <is>
          <t>累計損益 ¥</t>
        </is>
      </c>
      <c r="C10" s="23">
        <f>SUM(T18:T217)</f>
        <v/>
      </c>
    </row>
    <row r="11">
      <c r="B11" s="10" t="inlineStr">
        <is>
          <t>最大 DD (R)</t>
        </is>
      </c>
      <c r="C11" s="41">
        <f>IFERROR(MAX(S18:S217)-MIN(S18:S217),0)</f>
        <v/>
      </c>
    </row>
    <row r="12">
      <c r="B12" s="10" t="inlineStr">
        <is>
          <t>勝ち平均 R</t>
        </is>
      </c>
      <c r="C12" s="42">
        <f>IFERROR(AVERAGEIF(R18:R217,"&gt;0"),0)</f>
        <v/>
      </c>
    </row>
    <row r="13">
      <c r="B13" s="10" t="inlineStr">
        <is>
          <t>負け平均 R</t>
        </is>
      </c>
      <c r="C13" s="42">
        <f>IFERROR(AVERAGEIF(R18:R217,"&lt;0"),0)</f>
        <v/>
      </c>
    </row>
    <row r="14">
      <c r="B14" s="10" t="inlineStr">
        <is>
          <t>評価 S 件数</t>
        </is>
      </c>
      <c r="C14" s="29">
        <f>COUNTIF(U18:U217,"S")</f>
        <v/>
      </c>
    </row>
    <row r="15">
      <c r="B15" s="10" t="inlineStr">
        <is>
          <t>評価 D 件数</t>
        </is>
      </c>
      <c r="C15" s="29">
        <f>COUNTIF(U18:U217,"D")</f>
        <v/>
      </c>
    </row>
    <row r="17" ht="28" customHeight="1">
      <c r="A17" s="43" t="inlineStr">
        <is>
          <t>#</t>
        </is>
      </c>
      <c r="B17" s="43" t="inlineStr">
        <is>
          <t>日付</t>
        </is>
      </c>
      <c r="C17" s="43" t="inlineStr">
        <is>
          <t>通貨ペア</t>
        </is>
      </c>
      <c r="D17" s="43" t="inlineStr">
        <is>
          <t>方向</t>
        </is>
      </c>
      <c r="E17" s="43" t="inlineStr">
        <is>
          <t>スコア</t>
        </is>
      </c>
      <c r="F17" s="43" t="inlineStr">
        <is>
          <t>計画Entry</t>
        </is>
      </c>
      <c r="G17" s="43" t="inlineStr">
        <is>
          <t>実Entry</t>
        </is>
      </c>
      <c r="H17" s="43" t="inlineStr">
        <is>
          <t>計画SL</t>
        </is>
      </c>
      <c r="I17" s="43" t="inlineStr">
        <is>
          <t>実SL</t>
        </is>
      </c>
      <c r="J17" s="43" t="inlineStr">
        <is>
          <t>計画TP</t>
        </is>
      </c>
      <c r="K17" s="43" t="inlineStr">
        <is>
          <t>実TP</t>
        </is>
      </c>
      <c r="L17" s="43" t="inlineStr">
        <is>
          <t>ロット</t>
        </is>
      </c>
      <c r="M17" s="43" t="inlineStr">
        <is>
          <t>決済価格</t>
        </is>
      </c>
      <c r="N17" s="43" t="inlineStr">
        <is>
          <t>決済理由</t>
        </is>
      </c>
      <c r="O17" s="43" t="inlineStr">
        <is>
          <t>実SL pips</t>
        </is>
      </c>
      <c r="P17" s="43" t="inlineStr">
        <is>
          <t>計画RR</t>
        </is>
      </c>
      <c r="Q17" s="43" t="inlineStr">
        <is>
          <t>損益 pips</t>
        </is>
      </c>
      <c r="R17" s="43" t="inlineStr">
        <is>
          <t>R-mult</t>
        </is>
      </c>
      <c r="S17" s="43" t="inlineStr">
        <is>
          <t>累計R</t>
        </is>
      </c>
      <c r="T17" s="43" t="inlineStr">
        <is>
          <t>損益 ¥</t>
        </is>
      </c>
      <c r="U17" s="43" t="inlineStr">
        <is>
          <t>評価</t>
        </is>
      </c>
      <c r="V17" s="43" t="inlineStr">
        <is>
          <t>学び / 反省</t>
        </is>
      </c>
    </row>
    <row r="18">
      <c r="A18" s="44">
        <f>IF(ISBLANK(B18),"",COUNTA($B$18:B18))</f>
        <v/>
      </c>
      <c r="B18" s="45" t="n"/>
      <c r="C18" s="46" t="n"/>
      <c r="D18" s="46" t="n"/>
      <c r="E18" s="44" t="n"/>
      <c r="F18" s="47" t="n"/>
      <c r="G18" s="47" t="n"/>
      <c r="H18" s="47" t="n"/>
      <c r="I18" s="47" t="n"/>
      <c r="J18" s="47" t="n"/>
      <c r="K18" s="47" t="n"/>
      <c r="L18" s="48" t="n"/>
      <c r="M18" s="47" t="n"/>
      <c r="N18" s="46" t="n"/>
      <c r="O18" s="49">
        <f>IFERROR(IF(OR(ISBLANK(G18),ISBLANK(I18)),"",ABS(G18-I18)/VLOOKUP(C18,設定!$B$9:$D$23,2,FALSE)),"")</f>
        <v/>
      </c>
      <c r="P18" s="48">
        <f>IFERROR(IF(OR(ISBLANK(F18),ISBLANK(H18),ISBLANK(J18)),"",ABS(J18-F18)/ABS(F18-H18)),"")</f>
        <v/>
      </c>
      <c r="Q18" s="50">
        <f>IFERROR(IF(OR(ISBLANK(M18),ISBLANK(D18),ISBLANK(G18)),"",IF(D18="Long",(M18-G18),(G18-M18))/VLOOKUP(C18,設定!$B$9:$D$23,2,FALSE)),"")</f>
        <v/>
      </c>
      <c r="R18" s="51">
        <f>IFERROR(IF(OR(ISBLANK(Q18),O18=0),"",Q18/O18),"")</f>
        <v/>
      </c>
      <c r="S18" s="51">
        <f>IFERROR(IF(ISBLANK(R18),"",R18),"")</f>
        <v/>
      </c>
      <c r="T18" s="52">
        <f>IFERROR(IF(OR(ISBLANK(Q18),ISBLANK(L18)),"",Q18*L18*VLOOKUP(C18,設定!$B$9:$D$23,3,FALSE)),"")</f>
        <v/>
      </c>
      <c r="U18" s="46" t="n"/>
      <c r="V18" s="46" t="n"/>
    </row>
    <row r="19">
      <c r="A19" s="53">
        <f>IF(ISBLANK(B19),"",COUNTA($B$18:B19))</f>
        <v/>
      </c>
      <c r="B19" s="54" t="n"/>
      <c r="C19" s="55" t="n"/>
      <c r="D19" s="55" t="n"/>
      <c r="E19" s="53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5" t="n"/>
      <c r="O19" s="58">
        <f>IFERROR(IF(OR(ISBLANK(G19),ISBLANK(I19)),"",ABS(G19-I19)/VLOOKUP(C19,設定!$B$9:$D$23,2,FALSE)),"")</f>
        <v/>
      </c>
      <c r="P19" s="57">
        <f>IFERROR(IF(OR(ISBLANK(F19),ISBLANK(H19),ISBLANK(J19)),"",ABS(J19-F19)/ABS(F19-H19)),"")</f>
        <v/>
      </c>
      <c r="Q19" s="59">
        <f>IFERROR(IF(OR(ISBLANK(M19),ISBLANK(D19),ISBLANK(G19)),"",IF(D19="Long",(M19-G19),(G19-M19))/VLOOKUP(C19,設定!$B$9:$D$23,2,FALSE)),"")</f>
        <v/>
      </c>
      <c r="R19" s="60">
        <f>IFERROR(IF(OR(ISBLANK(Q19),O19=0),"",Q19/O19),"")</f>
        <v/>
      </c>
      <c r="S19" s="60">
        <f>IFERROR(IF(ISBLANK(R19),S18,IF(ISNUMBER(S18),S18,0)+R19),"")</f>
        <v/>
      </c>
      <c r="T19" s="61">
        <f>IFERROR(IF(OR(ISBLANK(Q19),ISBLANK(L19)),"",Q19*L19*VLOOKUP(C19,設定!$B$9:$D$23,3,FALSE)),"")</f>
        <v/>
      </c>
      <c r="U19" s="55" t="n"/>
      <c r="V19" s="55" t="n"/>
    </row>
    <row r="20">
      <c r="A20" s="44">
        <f>IF(ISBLANK(B20),"",COUNTA($B$18:B20))</f>
        <v/>
      </c>
      <c r="B20" s="45" t="n"/>
      <c r="C20" s="46" t="n"/>
      <c r="D20" s="46" t="n"/>
      <c r="E20" s="44" t="n"/>
      <c r="F20" s="47" t="n"/>
      <c r="G20" s="47" t="n"/>
      <c r="H20" s="47" t="n"/>
      <c r="I20" s="47" t="n"/>
      <c r="J20" s="47" t="n"/>
      <c r="K20" s="47" t="n"/>
      <c r="L20" s="48" t="n"/>
      <c r="M20" s="47" t="n"/>
      <c r="N20" s="46" t="n"/>
      <c r="O20" s="49">
        <f>IFERROR(IF(OR(ISBLANK(G20),ISBLANK(I20)),"",ABS(G20-I20)/VLOOKUP(C20,設定!$B$9:$D$23,2,FALSE)),"")</f>
        <v/>
      </c>
      <c r="P20" s="48">
        <f>IFERROR(IF(OR(ISBLANK(F20),ISBLANK(H20),ISBLANK(J20)),"",ABS(J20-F20)/ABS(F20-H20)),"")</f>
        <v/>
      </c>
      <c r="Q20" s="50">
        <f>IFERROR(IF(OR(ISBLANK(M20),ISBLANK(D20),ISBLANK(G20)),"",IF(D20="Long",(M20-G20),(G20-M20))/VLOOKUP(C20,設定!$B$9:$D$23,2,FALSE)),"")</f>
        <v/>
      </c>
      <c r="R20" s="51">
        <f>IFERROR(IF(OR(ISBLANK(Q20),O20=0),"",Q20/O20),"")</f>
        <v/>
      </c>
      <c r="S20" s="51">
        <f>IFERROR(IF(ISBLANK(R20),S19,IF(ISNUMBER(S19),S19,0)+R20),"")</f>
        <v/>
      </c>
      <c r="T20" s="52">
        <f>IFERROR(IF(OR(ISBLANK(Q20),ISBLANK(L20)),"",Q20*L20*VLOOKUP(C20,設定!$B$9:$D$23,3,FALSE)),"")</f>
        <v/>
      </c>
      <c r="U20" s="46" t="n"/>
      <c r="V20" s="46" t="n"/>
    </row>
    <row r="21">
      <c r="A21" s="53">
        <f>IF(ISBLANK(B21),"",COUNTA($B$18:B21))</f>
        <v/>
      </c>
      <c r="B21" s="54" t="n"/>
      <c r="C21" s="55" t="n"/>
      <c r="D21" s="55" t="n"/>
      <c r="E21" s="53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5" t="n"/>
      <c r="O21" s="58">
        <f>IFERROR(IF(OR(ISBLANK(G21),ISBLANK(I21)),"",ABS(G21-I21)/VLOOKUP(C21,設定!$B$9:$D$23,2,FALSE)),"")</f>
        <v/>
      </c>
      <c r="P21" s="57">
        <f>IFERROR(IF(OR(ISBLANK(F21),ISBLANK(H21),ISBLANK(J21)),"",ABS(J21-F21)/ABS(F21-H21)),"")</f>
        <v/>
      </c>
      <c r="Q21" s="59">
        <f>IFERROR(IF(OR(ISBLANK(M21),ISBLANK(D21),ISBLANK(G21)),"",IF(D21="Long",(M21-G21),(G21-M21))/VLOOKUP(C21,設定!$B$9:$D$23,2,FALSE)),"")</f>
        <v/>
      </c>
      <c r="R21" s="60">
        <f>IFERROR(IF(OR(ISBLANK(Q21),O21=0),"",Q21/O21),"")</f>
        <v/>
      </c>
      <c r="S21" s="60">
        <f>IFERROR(IF(ISBLANK(R21),S20,IF(ISNUMBER(S20),S20,0)+R21),"")</f>
        <v/>
      </c>
      <c r="T21" s="61">
        <f>IFERROR(IF(OR(ISBLANK(Q21),ISBLANK(L21)),"",Q21*L21*VLOOKUP(C21,設定!$B$9:$D$23,3,FALSE)),"")</f>
        <v/>
      </c>
      <c r="U21" s="55" t="n"/>
      <c r="V21" s="55" t="n"/>
    </row>
    <row r="22">
      <c r="A22" s="44">
        <f>IF(ISBLANK(B22),"",COUNTA($B$18:B22))</f>
        <v/>
      </c>
      <c r="B22" s="45" t="n"/>
      <c r="C22" s="46" t="n"/>
      <c r="D22" s="46" t="n"/>
      <c r="E22" s="44" t="n"/>
      <c r="F22" s="47" t="n"/>
      <c r="G22" s="47" t="n"/>
      <c r="H22" s="47" t="n"/>
      <c r="I22" s="47" t="n"/>
      <c r="J22" s="47" t="n"/>
      <c r="K22" s="47" t="n"/>
      <c r="L22" s="48" t="n"/>
      <c r="M22" s="47" t="n"/>
      <c r="N22" s="46" t="n"/>
      <c r="O22" s="49">
        <f>IFERROR(IF(OR(ISBLANK(G22),ISBLANK(I22)),"",ABS(G22-I22)/VLOOKUP(C22,設定!$B$9:$D$23,2,FALSE)),"")</f>
        <v/>
      </c>
      <c r="P22" s="48">
        <f>IFERROR(IF(OR(ISBLANK(F22),ISBLANK(H22),ISBLANK(J22)),"",ABS(J22-F22)/ABS(F22-H22)),"")</f>
        <v/>
      </c>
      <c r="Q22" s="50">
        <f>IFERROR(IF(OR(ISBLANK(M22),ISBLANK(D22),ISBLANK(G22)),"",IF(D22="Long",(M22-G22),(G22-M22))/VLOOKUP(C22,設定!$B$9:$D$23,2,FALSE)),"")</f>
        <v/>
      </c>
      <c r="R22" s="51">
        <f>IFERROR(IF(OR(ISBLANK(Q22),O22=0),"",Q22/O22),"")</f>
        <v/>
      </c>
      <c r="S22" s="51">
        <f>IFERROR(IF(ISBLANK(R22),S21,IF(ISNUMBER(S21),S21,0)+R22),"")</f>
        <v/>
      </c>
      <c r="T22" s="52">
        <f>IFERROR(IF(OR(ISBLANK(Q22),ISBLANK(L22)),"",Q22*L22*VLOOKUP(C22,設定!$B$9:$D$23,3,FALSE)),"")</f>
        <v/>
      </c>
      <c r="U22" s="46" t="n"/>
      <c r="V22" s="46" t="n"/>
    </row>
    <row r="23">
      <c r="A23" s="53">
        <f>IF(ISBLANK(B23),"",COUNTA($B$18:B23))</f>
        <v/>
      </c>
      <c r="B23" s="54" t="n"/>
      <c r="C23" s="55" t="n"/>
      <c r="D23" s="55" t="n"/>
      <c r="E23" s="53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5" t="n"/>
      <c r="O23" s="58">
        <f>IFERROR(IF(OR(ISBLANK(G23),ISBLANK(I23)),"",ABS(G23-I23)/VLOOKUP(C23,設定!$B$9:$D$23,2,FALSE)),"")</f>
        <v/>
      </c>
      <c r="P23" s="57">
        <f>IFERROR(IF(OR(ISBLANK(F23),ISBLANK(H23),ISBLANK(J23)),"",ABS(J23-F23)/ABS(F23-H23)),"")</f>
        <v/>
      </c>
      <c r="Q23" s="59">
        <f>IFERROR(IF(OR(ISBLANK(M23),ISBLANK(D23),ISBLANK(G23)),"",IF(D23="Long",(M23-G23),(G23-M23))/VLOOKUP(C23,設定!$B$9:$D$23,2,FALSE)),"")</f>
        <v/>
      </c>
      <c r="R23" s="60">
        <f>IFERROR(IF(OR(ISBLANK(Q23),O23=0),"",Q23/O23),"")</f>
        <v/>
      </c>
      <c r="S23" s="60">
        <f>IFERROR(IF(ISBLANK(R23),S22,IF(ISNUMBER(S22),S22,0)+R23),"")</f>
        <v/>
      </c>
      <c r="T23" s="61">
        <f>IFERROR(IF(OR(ISBLANK(Q23),ISBLANK(L23)),"",Q23*L23*VLOOKUP(C23,設定!$B$9:$D$23,3,FALSE)),"")</f>
        <v/>
      </c>
      <c r="U23" s="55" t="n"/>
      <c r="V23" s="55" t="n"/>
    </row>
    <row r="24">
      <c r="A24" s="44">
        <f>IF(ISBLANK(B24),"",COUNTA($B$18:B24))</f>
        <v/>
      </c>
      <c r="B24" s="45" t="n"/>
      <c r="C24" s="46" t="n"/>
      <c r="D24" s="46" t="n"/>
      <c r="E24" s="44" t="n"/>
      <c r="F24" s="47" t="n"/>
      <c r="G24" s="47" t="n"/>
      <c r="H24" s="47" t="n"/>
      <c r="I24" s="47" t="n"/>
      <c r="J24" s="47" t="n"/>
      <c r="K24" s="47" t="n"/>
      <c r="L24" s="48" t="n"/>
      <c r="M24" s="47" t="n"/>
      <c r="N24" s="46" t="n"/>
      <c r="O24" s="49">
        <f>IFERROR(IF(OR(ISBLANK(G24),ISBLANK(I24)),"",ABS(G24-I24)/VLOOKUP(C24,設定!$B$9:$D$23,2,FALSE)),"")</f>
        <v/>
      </c>
      <c r="P24" s="48">
        <f>IFERROR(IF(OR(ISBLANK(F24),ISBLANK(H24),ISBLANK(J24)),"",ABS(J24-F24)/ABS(F24-H24)),"")</f>
        <v/>
      </c>
      <c r="Q24" s="50">
        <f>IFERROR(IF(OR(ISBLANK(M24),ISBLANK(D24),ISBLANK(G24)),"",IF(D24="Long",(M24-G24),(G24-M24))/VLOOKUP(C24,設定!$B$9:$D$23,2,FALSE)),"")</f>
        <v/>
      </c>
      <c r="R24" s="51">
        <f>IFERROR(IF(OR(ISBLANK(Q24),O24=0),"",Q24/O24),"")</f>
        <v/>
      </c>
      <c r="S24" s="51">
        <f>IFERROR(IF(ISBLANK(R24),S23,IF(ISNUMBER(S23),S23,0)+R24),"")</f>
        <v/>
      </c>
      <c r="T24" s="52">
        <f>IFERROR(IF(OR(ISBLANK(Q24),ISBLANK(L24)),"",Q24*L24*VLOOKUP(C24,設定!$B$9:$D$23,3,FALSE)),"")</f>
        <v/>
      </c>
      <c r="U24" s="46" t="n"/>
      <c r="V24" s="46" t="n"/>
    </row>
    <row r="25">
      <c r="A25" s="53">
        <f>IF(ISBLANK(B25),"",COUNTA($B$18:B25))</f>
        <v/>
      </c>
      <c r="B25" s="54" t="n"/>
      <c r="C25" s="55" t="n"/>
      <c r="D25" s="55" t="n"/>
      <c r="E25" s="53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5" t="n"/>
      <c r="O25" s="58">
        <f>IFERROR(IF(OR(ISBLANK(G25),ISBLANK(I25)),"",ABS(G25-I25)/VLOOKUP(C25,設定!$B$9:$D$23,2,FALSE)),"")</f>
        <v/>
      </c>
      <c r="P25" s="57">
        <f>IFERROR(IF(OR(ISBLANK(F25),ISBLANK(H25),ISBLANK(J25)),"",ABS(J25-F25)/ABS(F25-H25)),"")</f>
        <v/>
      </c>
      <c r="Q25" s="59">
        <f>IFERROR(IF(OR(ISBLANK(M25),ISBLANK(D25),ISBLANK(G25)),"",IF(D25="Long",(M25-G25),(G25-M25))/VLOOKUP(C25,設定!$B$9:$D$23,2,FALSE)),"")</f>
        <v/>
      </c>
      <c r="R25" s="60">
        <f>IFERROR(IF(OR(ISBLANK(Q25),O25=0),"",Q25/O25),"")</f>
        <v/>
      </c>
      <c r="S25" s="60">
        <f>IFERROR(IF(ISBLANK(R25),S24,IF(ISNUMBER(S24),S24,0)+R25),"")</f>
        <v/>
      </c>
      <c r="T25" s="61">
        <f>IFERROR(IF(OR(ISBLANK(Q25),ISBLANK(L25)),"",Q25*L25*VLOOKUP(C25,設定!$B$9:$D$23,3,FALSE)),"")</f>
        <v/>
      </c>
      <c r="U25" s="55" t="n"/>
      <c r="V25" s="55" t="n"/>
    </row>
    <row r="26">
      <c r="A26" s="44">
        <f>IF(ISBLANK(B26),"",COUNTA($B$18:B26))</f>
        <v/>
      </c>
      <c r="B26" s="45" t="n"/>
      <c r="C26" s="46" t="n"/>
      <c r="D26" s="46" t="n"/>
      <c r="E26" s="44" t="n"/>
      <c r="F26" s="47" t="n"/>
      <c r="G26" s="47" t="n"/>
      <c r="H26" s="47" t="n"/>
      <c r="I26" s="47" t="n"/>
      <c r="J26" s="47" t="n"/>
      <c r="K26" s="47" t="n"/>
      <c r="L26" s="48" t="n"/>
      <c r="M26" s="47" t="n"/>
      <c r="N26" s="46" t="n"/>
      <c r="O26" s="49">
        <f>IFERROR(IF(OR(ISBLANK(G26),ISBLANK(I26)),"",ABS(G26-I26)/VLOOKUP(C26,設定!$B$9:$D$23,2,FALSE)),"")</f>
        <v/>
      </c>
      <c r="P26" s="48">
        <f>IFERROR(IF(OR(ISBLANK(F26),ISBLANK(H26),ISBLANK(J26)),"",ABS(J26-F26)/ABS(F26-H26)),"")</f>
        <v/>
      </c>
      <c r="Q26" s="50">
        <f>IFERROR(IF(OR(ISBLANK(M26),ISBLANK(D26),ISBLANK(G26)),"",IF(D26="Long",(M26-G26),(G26-M26))/VLOOKUP(C26,設定!$B$9:$D$23,2,FALSE)),"")</f>
        <v/>
      </c>
      <c r="R26" s="51">
        <f>IFERROR(IF(OR(ISBLANK(Q26),O26=0),"",Q26/O26),"")</f>
        <v/>
      </c>
      <c r="S26" s="51">
        <f>IFERROR(IF(ISBLANK(R26),S25,IF(ISNUMBER(S25),S25,0)+R26),"")</f>
        <v/>
      </c>
      <c r="T26" s="52">
        <f>IFERROR(IF(OR(ISBLANK(Q26),ISBLANK(L26)),"",Q26*L26*VLOOKUP(C26,設定!$B$9:$D$23,3,FALSE)),"")</f>
        <v/>
      </c>
      <c r="U26" s="46" t="n"/>
      <c r="V26" s="46" t="n"/>
    </row>
    <row r="27">
      <c r="A27" s="53">
        <f>IF(ISBLANK(B27),"",COUNTA($B$18:B27))</f>
        <v/>
      </c>
      <c r="B27" s="54" t="n"/>
      <c r="C27" s="55" t="n"/>
      <c r="D27" s="55" t="n"/>
      <c r="E27" s="53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5" t="n"/>
      <c r="O27" s="58">
        <f>IFERROR(IF(OR(ISBLANK(G27),ISBLANK(I27)),"",ABS(G27-I27)/VLOOKUP(C27,設定!$B$9:$D$23,2,FALSE)),"")</f>
        <v/>
      </c>
      <c r="P27" s="57">
        <f>IFERROR(IF(OR(ISBLANK(F27),ISBLANK(H27),ISBLANK(J27)),"",ABS(J27-F27)/ABS(F27-H27)),"")</f>
        <v/>
      </c>
      <c r="Q27" s="59">
        <f>IFERROR(IF(OR(ISBLANK(M27),ISBLANK(D27),ISBLANK(G27)),"",IF(D27="Long",(M27-G27),(G27-M27))/VLOOKUP(C27,設定!$B$9:$D$23,2,FALSE)),"")</f>
        <v/>
      </c>
      <c r="R27" s="60">
        <f>IFERROR(IF(OR(ISBLANK(Q27),O27=0),"",Q27/O27),"")</f>
        <v/>
      </c>
      <c r="S27" s="60">
        <f>IFERROR(IF(ISBLANK(R27),S26,IF(ISNUMBER(S26),S26,0)+R27),"")</f>
        <v/>
      </c>
      <c r="T27" s="61">
        <f>IFERROR(IF(OR(ISBLANK(Q27),ISBLANK(L27)),"",Q27*L27*VLOOKUP(C27,設定!$B$9:$D$23,3,FALSE)),"")</f>
        <v/>
      </c>
      <c r="U27" s="55" t="n"/>
      <c r="V27" s="55" t="n"/>
    </row>
    <row r="28">
      <c r="A28" s="44">
        <f>IF(ISBLANK(B28),"",COUNTA($B$18:B28))</f>
        <v/>
      </c>
      <c r="B28" s="45" t="n"/>
      <c r="C28" s="46" t="n"/>
      <c r="D28" s="46" t="n"/>
      <c r="E28" s="44" t="n"/>
      <c r="F28" s="47" t="n"/>
      <c r="G28" s="47" t="n"/>
      <c r="H28" s="47" t="n"/>
      <c r="I28" s="47" t="n"/>
      <c r="J28" s="47" t="n"/>
      <c r="K28" s="47" t="n"/>
      <c r="L28" s="48" t="n"/>
      <c r="M28" s="47" t="n"/>
      <c r="N28" s="46" t="n"/>
      <c r="O28" s="49">
        <f>IFERROR(IF(OR(ISBLANK(G28),ISBLANK(I28)),"",ABS(G28-I28)/VLOOKUP(C28,設定!$B$9:$D$23,2,FALSE)),"")</f>
        <v/>
      </c>
      <c r="P28" s="48">
        <f>IFERROR(IF(OR(ISBLANK(F28),ISBLANK(H28),ISBLANK(J28)),"",ABS(J28-F28)/ABS(F28-H28)),"")</f>
        <v/>
      </c>
      <c r="Q28" s="50">
        <f>IFERROR(IF(OR(ISBLANK(M28),ISBLANK(D28),ISBLANK(G28)),"",IF(D28="Long",(M28-G28),(G28-M28))/VLOOKUP(C28,設定!$B$9:$D$23,2,FALSE)),"")</f>
        <v/>
      </c>
      <c r="R28" s="51">
        <f>IFERROR(IF(OR(ISBLANK(Q28),O28=0),"",Q28/O28),"")</f>
        <v/>
      </c>
      <c r="S28" s="51">
        <f>IFERROR(IF(ISBLANK(R28),S27,IF(ISNUMBER(S27),S27,0)+R28),"")</f>
        <v/>
      </c>
      <c r="T28" s="52">
        <f>IFERROR(IF(OR(ISBLANK(Q28),ISBLANK(L28)),"",Q28*L28*VLOOKUP(C28,設定!$B$9:$D$23,3,FALSE)),"")</f>
        <v/>
      </c>
      <c r="U28" s="46" t="n"/>
      <c r="V28" s="46" t="n"/>
    </row>
    <row r="29">
      <c r="A29" s="53">
        <f>IF(ISBLANK(B29),"",COUNTA($B$18:B29))</f>
        <v/>
      </c>
      <c r="B29" s="54" t="n"/>
      <c r="C29" s="55" t="n"/>
      <c r="D29" s="55" t="n"/>
      <c r="E29" s="53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5" t="n"/>
      <c r="O29" s="58">
        <f>IFERROR(IF(OR(ISBLANK(G29),ISBLANK(I29)),"",ABS(G29-I29)/VLOOKUP(C29,設定!$B$9:$D$23,2,FALSE)),"")</f>
        <v/>
      </c>
      <c r="P29" s="57">
        <f>IFERROR(IF(OR(ISBLANK(F29),ISBLANK(H29),ISBLANK(J29)),"",ABS(J29-F29)/ABS(F29-H29)),"")</f>
        <v/>
      </c>
      <c r="Q29" s="59">
        <f>IFERROR(IF(OR(ISBLANK(M29),ISBLANK(D29),ISBLANK(G29)),"",IF(D29="Long",(M29-G29),(G29-M29))/VLOOKUP(C29,設定!$B$9:$D$23,2,FALSE)),"")</f>
        <v/>
      </c>
      <c r="R29" s="60">
        <f>IFERROR(IF(OR(ISBLANK(Q29),O29=0),"",Q29/O29),"")</f>
        <v/>
      </c>
      <c r="S29" s="60">
        <f>IFERROR(IF(ISBLANK(R29),S28,IF(ISNUMBER(S28),S28,0)+R29),"")</f>
        <v/>
      </c>
      <c r="T29" s="61">
        <f>IFERROR(IF(OR(ISBLANK(Q29),ISBLANK(L29)),"",Q29*L29*VLOOKUP(C29,設定!$B$9:$D$23,3,FALSE)),"")</f>
        <v/>
      </c>
      <c r="U29" s="55" t="n"/>
      <c r="V29" s="55" t="n"/>
    </row>
    <row r="30">
      <c r="A30" s="44">
        <f>IF(ISBLANK(B30),"",COUNTA($B$18:B30))</f>
        <v/>
      </c>
      <c r="B30" s="45" t="n"/>
      <c r="C30" s="46" t="n"/>
      <c r="D30" s="46" t="n"/>
      <c r="E30" s="44" t="n"/>
      <c r="F30" s="47" t="n"/>
      <c r="G30" s="47" t="n"/>
      <c r="H30" s="47" t="n"/>
      <c r="I30" s="47" t="n"/>
      <c r="J30" s="47" t="n"/>
      <c r="K30" s="47" t="n"/>
      <c r="L30" s="48" t="n"/>
      <c r="M30" s="47" t="n"/>
      <c r="N30" s="46" t="n"/>
      <c r="O30" s="49">
        <f>IFERROR(IF(OR(ISBLANK(G30),ISBLANK(I30)),"",ABS(G30-I30)/VLOOKUP(C30,設定!$B$9:$D$23,2,FALSE)),"")</f>
        <v/>
      </c>
      <c r="P30" s="48">
        <f>IFERROR(IF(OR(ISBLANK(F30),ISBLANK(H30),ISBLANK(J30)),"",ABS(J30-F30)/ABS(F30-H30)),"")</f>
        <v/>
      </c>
      <c r="Q30" s="50">
        <f>IFERROR(IF(OR(ISBLANK(M30),ISBLANK(D30),ISBLANK(G30)),"",IF(D30="Long",(M30-G30),(G30-M30))/VLOOKUP(C30,設定!$B$9:$D$23,2,FALSE)),"")</f>
        <v/>
      </c>
      <c r="R30" s="51">
        <f>IFERROR(IF(OR(ISBLANK(Q30),O30=0),"",Q30/O30),"")</f>
        <v/>
      </c>
      <c r="S30" s="51">
        <f>IFERROR(IF(ISBLANK(R30),S29,IF(ISNUMBER(S29),S29,0)+R30),"")</f>
        <v/>
      </c>
      <c r="T30" s="52">
        <f>IFERROR(IF(OR(ISBLANK(Q30),ISBLANK(L30)),"",Q30*L30*VLOOKUP(C30,設定!$B$9:$D$23,3,FALSE)),"")</f>
        <v/>
      </c>
      <c r="U30" s="46" t="n"/>
      <c r="V30" s="46" t="n"/>
    </row>
    <row r="31">
      <c r="A31" s="53">
        <f>IF(ISBLANK(B31),"",COUNTA($B$18:B31))</f>
        <v/>
      </c>
      <c r="B31" s="54" t="n"/>
      <c r="C31" s="55" t="n"/>
      <c r="D31" s="55" t="n"/>
      <c r="E31" s="53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5" t="n"/>
      <c r="O31" s="58">
        <f>IFERROR(IF(OR(ISBLANK(G31),ISBLANK(I31)),"",ABS(G31-I31)/VLOOKUP(C31,設定!$B$9:$D$23,2,FALSE)),"")</f>
        <v/>
      </c>
      <c r="P31" s="57">
        <f>IFERROR(IF(OR(ISBLANK(F31),ISBLANK(H31),ISBLANK(J31)),"",ABS(J31-F31)/ABS(F31-H31)),"")</f>
        <v/>
      </c>
      <c r="Q31" s="59">
        <f>IFERROR(IF(OR(ISBLANK(M31),ISBLANK(D31),ISBLANK(G31)),"",IF(D31="Long",(M31-G31),(G31-M31))/VLOOKUP(C31,設定!$B$9:$D$23,2,FALSE)),"")</f>
        <v/>
      </c>
      <c r="R31" s="60">
        <f>IFERROR(IF(OR(ISBLANK(Q31),O31=0),"",Q31/O31),"")</f>
        <v/>
      </c>
      <c r="S31" s="60">
        <f>IFERROR(IF(ISBLANK(R31),S30,IF(ISNUMBER(S30),S30,0)+R31),"")</f>
        <v/>
      </c>
      <c r="T31" s="61">
        <f>IFERROR(IF(OR(ISBLANK(Q31),ISBLANK(L31)),"",Q31*L31*VLOOKUP(C31,設定!$B$9:$D$23,3,FALSE)),"")</f>
        <v/>
      </c>
      <c r="U31" s="55" t="n"/>
      <c r="V31" s="55" t="n"/>
    </row>
    <row r="32">
      <c r="A32" s="44">
        <f>IF(ISBLANK(B32),"",COUNTA($B$18:B32))</f>
        <v/>
      </c>
      <c r="B32" s="45" t="n"/>
      <c r="C32" s="46" t="n"/>
      <c r="D32" s="46" t="n"/>
      <c r="E32" s="44" t="n"/>
      <c r="F32" s="47" t="n"/>
      <c r="G32" s="47" t="n"/>
      <c r="H32" s="47" t="n"/>
      <c r="I32" s="47" t="n"/>
      <c r="J32" s="47" t="n"/>
      <c r="K32" s="47" t="n"/>
      <c r="L32" s="48" t="n"/>
      <c r="M32" s="47" t="n"/>
      <c r="N32" s="46" t="n"/>
      <c r="O32" s="49">
        <f>IFERROR(IF(OR(ISBLANK(G32),ISBLANK(I32)),"",ABS(G32-I32)/VLOOKUP(C32,設定!$B$9:$D$23,2,FALSE)),"")</f>
        <v/>
      </c>
      <c r="P32" s="48">
        <f>IFERROR(IF(OR(ISBLANK(F32),ISBLANK(H32),ISBLANK(J32)),"",ABS(J32-F32)/ABS(F32-H32)),"")</f>
        <v/>
      </c>
      <c r="Q32" s="50">
        <f>IFERROR(IF(OR(ISBLANK(M32),ISBLANK(D32),ISBLANK(G32)),"",IF(D32="Long",(M32-G32),(G32-M32))/VLOOKUP(C32,設定!$B$9:$D$23,2,FALSE)),"")</f>
        <v/>
      </c>
      <c r="R32" s="51">
        <f>IFERROR(IF(OR(ISBLANK(Q32),O32=0),"",Q32/O32),"")</f>
        <v/>
      </c>
      <c r="S32" s="51">
        <f>IFERROR(IF(ISBLANK(R32),S31,IF(ISNUMBER(S31),S31,0)+R32),"")</f>
        <v/>
      </c>
      <c r="T32" s="52">
        <f>IFERROR(IF(OR(ISBLANK(Q32),ISBLANK(L32)),"",Q32*L32*VLOOKUP(C32,設定!$B$9:$D$23,3,FALSE)),"")</f>
        <v/>
      </c>
      <c r="U32" s="46" t="n"/>
      <c r="V32" s="46" t="n"/>
    </row>
    <row r="33">
      <c r="A33" s="53">
        <f>IF(ISBLANK(B33),"",COUNTA($B$18:B33))</f>
        <v/>
      </c>
      <c r="B33" s="54" t="n"/>
      <c r="C33" s="55" t="n"/>
      <c r="D33" s="55" t="n"/>
      <c r="E33" s="53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5" t="n"/>
      <c r="O33" s="58">
        <f>IFERROR(IF(OR(ISBLANK(G33),ISBLANK(I33)),"",ABS(G33-I33)/VLOOKUP(C33,設定!$B$9:$D$23,2,FALSE)),"")</f>
        <v/>
      </c>
      <c r="P33" s="57">
        <f>IFERROR(IF(OR(ISBLANK(F33),ISBLANK(H33),ISBLANK(J33)),"",ABS(J33-F33)/ABS(F33-H33)),"")</f>
        <v/>
      </c>
      <c r="Q33" s="59">
        <f>IFERROR(IF(OR(ISBLANK(M33),ISBLANK(D33),ISBLANK(G33)),"",IF(D33="Long",(M33-G33),(G33-M33))/VLOOKUP(C33,設定!$B$9:$D$23,2,FALSE)),"")</f>
        <v/>
      </c>
      <c r="R33" s="60">
        <f>IFERROR(IF(OR(ISBLANK(Q33),O33=0),"",Q33/O33),"")</f>
        <v/>
      </c>
      <c r="S33" s="60">
        <f>IFERROR(IF(ISBLANK(R33),S32,IF(ISNUMBER(S32),S32,0)+R33),"")</f>
        <v/>
      </c>
      <c r="T33" s="61">
        <f>IFERROR(IF(OR(ISBLANK(Q33),ISBLANK(L33)),"",Q33*L33*VLOOKUP(C33,設定!$B$9:$D$23,3,FALSE)),"")</f>
        <v/>
      </c>
      <c r="U33" s="55" t="n"/>
      <c r="V33" s="55" t="n"/>
    </row>
    <row r="34">
      <c r="A34" s="44">
        <f>IF(ISBLANK(B34),"",COUNTA($B$18:B34))</f>
        <v/>
      </c>
      <c r="B34" s="45" t="n"/>
      <c r="C34" s="46" t="n"/>
      <c r="D34" s="46" t="n"/>
      <c r="E34" s="44" t="n"/>
      <c r="F34" s="47" t="n"/>
      <c r="G34" s="47" t="n"/>
      <c r="H34" s="47" t="n"/>
      <c r="I34" s="47" t="n"/>
      <c r="J34" s="47" t="n"/>
      <c r="K34" s="47" t="n"/>
      <c r="L34" s="48" t="n"/>
      <c r="M34" s="47" t="n"/>
      <c r="N34" s="46" t="n"/>
      <c r="O34" s="49">
        <f>IFERROR(IF(OR(ISBLANK(G34),ISBLANK(I34)),"",ABS(G34-I34)/VLOOKUP(C34,設定!$B$9:$D$23,2,FALSE)),"")</f>
        <v/>
      </c>
      <c r="P34" s="48">
        <f>IFERROR(IF(OR(ISBLANK(F34),ISBLANK(H34),ISBLANK(J34)),"",ABS(J34-F34)/ABS(F34-H34)),"")</f>
        <v/>
      </c>
      <c r="Q34" s="50">
        <f>IFERROR(IF(OR(ISBLANK(M34),ISBLANK(D34),ISBLANK(G34)),"",IF(D34="Long",(M34-G34),(G34-M34))/VLOOKUP(C34,設定!$B$9:$D$23,2,FALSE)),"")</f>
        <v/>
      </c>
      <c r="R34" s="51">
        <f>IFERROR(IF(OR(ISBLANK(Q34),O34=0),"",Q34/O34),"")</f>
        <v/>
      </c>
      <c r="S34" s="51">
        <f>IFERROR(IF(ISBLANK(R34),S33,IF(ISNUMBER(S33),S33,0)+R34),"")</f>
        <v/>
      </c>
      <c r="T34" s="52">
        <f>IFERROR(IF(OR(ISBLANK(Q34),ISBLANK(L34)),"",Q34*L34*VLOOKUP(C34,設定!$B$9:$D$23,3,FALSE)),"")</f>
        <v/>
      </c>
      <c r="U34" s="46" t="n"/>
      <c r="V34" s="46" t="n"/>
    </row>
    <row r="35">
      <c r="A35" s="53">
        <f>IF(ISBLANK(B35),"",COUNTA($B$18:B35))</f>
        <v/>
      </c>
      <c r="B35" s="54" t="n"/>
      <c r="C35" s="55" t="n"/>
      <c r="D35" s="55" t="n"/>
      <c r="E35" s="53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5" t="n"/>
      <c r="O35" s="58">
        <f>IFERROR(IF(OR(ISBLANK(G35),ISBLANK(I35)),"",ABS(G35-I35)/VLOOKUP(C35,設定!$B$9:$D$23,2,FALSE)),"")</f>
        <v/>
      </c>
      <c r="P35" s="57">
        <f>IFERROR(IF(OR(ISBLANK(F35),ISBLANK(H35),ISBLANK(J35)),"",ABS(J35-F35)/ABS(F35-H35)),"")</f>
        <v/>
      </c>
      <c r="Q35" s="59">
        <f>IFERROR(IF(OR(ISBLANK(M35),ISBLANK(D35),ISBLANK(G35)),"",IF(D35="Long",(M35-G35),(G35-M35))/VLOOKUP(C35,設定!$B$9:$D$23,2,FALSE)),"")</f>
        <v/>
      </c>
      <c r="R35" s="60">
        <f>IFERROR(IF(OR(ISBLANK(Q35),O35=0),"",Q35/O35),"")</f>
        <v/>
      </c>
      <c r="S35" s="60">
        <f>IFERROR(IF(ISBLANK(R35),S34,IF(ISNUMBER(S34),S34,0)+R35),"")</f>
        <v/>
      </c>
      <c r="T35" s="61">
        <f>IFERROR(IF(OR(ISBLANK(Q35),ISBLANK(L35)),"",Q35*L35*VLOOKUP(C35,設定!$B$9:$D$23,3,FALSE)),"")</f>
        <v/>
      </c>
      <c r="U35" s="55" t="n"/>
      <c r="V35" s="55" t="n"/>
    </row>
    <row r="36">
      <c r="A36" s="44">
        <f>IF(ISBLANK(B36),"",COUNTA($B$18:B36))</f>
        <v/>
      </c>
      <c r="B36" s="45" t="n"/>
      <c r="C36" s="46" t="n"/>
      <c r="D36" s="46" t="n"/>
      <c r="E36" s="44" t="n"/>
      <c r="F36" s="47" t="n"/>
      <c r="G36" s="47" t="n"/>
      <c r="H36" s="47" t="n"/>
      <c r="I36" s="47" t="n"/>
      <c r="J36" s="47" t="n"/>
      <c r="K36" s="47" t="n"/>
      <c r="L36" s="48" t="n"/>
      <c r="M36" s="47" t="n"/>
      <c r="N36" s="46" t="n"/>
      <c r="O36" s="49">
        <f>IFERROR(IF(OR(ISBLANK(G36),ISBLANK(I36)),"",ABS(G36-I36)/VLOOKUP(C36,設定!$B$9:$D$23,2,FALSE)),"")</f>
        <v/>
      </c>
      <c r="P36" s="48">
        <f>IFERROR(IF(OR(ISBLANK(F36),ISBLANK(H36),ISBLANK(J36)),"",ABS(J36-F36)/ABS(F36-H36)),"")</f>
        <v/>
      </c>
      <c r="Q36" s="50">
        <f>IFERROR(IF(OR(ISBLANK(M36),ISBLANK(D36),ISBLANK(G36)),"",IF(D36="Long",(M36-G36),(G36-M36))/VLOOKUP(C36,設定!$B$9:$D$23,2,FALSE)),"")</f>
        <v/>
      </c>
      <c r="R36" s="51">
        <f>IFERROR(IF(OR(ISBLANK(Q36),O36=0),"",Q36/O36),"")</f>
        <v/>
      </c>
      <c r="S36" s="51">
        <f>IFERROR(IF(ISBLANK(R36),S35,IF(ISNUMBER(S35),S35,0)+R36),"")</f>
        <v/>
      </c>
      <c r="T36" s="52">
        <f>IFERROR(IF(OR(ISBLANK(Q36),ISBLANK(L36)),"",Q36*L36*VLOOKUP(C36,設定!$B$9:$D$23,3,FALSE)),"")</f>
        <v/>
      </c>
      <c r="U36" s="46" t="n"/>
      <c r="V36" s="46" t="n"/>
    </row>
    <row r="37">
      <c r="A37" s="53">
        <f>IF(ISBLANK(B37),"",COUNTA($B$18:B37))</f>
        <v/>
      </c>
      <c r="B37" s="54" t="n"/>
      <c r="C37" s="55" t="n"/>
      <c r="D37" s="55" t="n"/>
      <c r="E37" s="53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5" t="n"/>
      <c r="O37" s="58">
        <f>IFERROR(IF(OR(ISBLANK(G37),ISBLANK(I37)),"",ABS(G37-I37)/VLOOKUP(C37,設定!$B$9:$D$23,2,FALSE)),"")</f>
        <v/>
      </c>
      <c r="P37" s="57">
        <f>IFERROR(IF(OR(ISBLANK(F37),ISBLANK(H37),ISBLANK(J37)),"",ABS(J37-F37)/ABS(F37-H37)),"")</f>
        <v/>
      </c>
      <c r="Q37" s="59">
        <f>IFERROR(IF(OR(ISBLANK(M37),ISBLANK(D37),ISBLANK(G37)),"",IF(D37="Long",(M37-G37),(G37-M37))/VLOOKUP(C37,設定!$B$9:$D$23,2,FALSE)),"")</f>
        <v/>
      </c>
      <c r="R37" s="60">
        <f>IFERROR(IF(OR(ISBLANK(Q37),O37=0),"",Q37/O37),"")</f>
        <v/>
      </c>
      <c r="S37" s="60">
        <f>IFERROR(IF(ISBLANK(R37),S36,IF(ISNUMBER(S36),S36,0)+R37),"")</f>
        <v/>
      </c>
      <c r="T37" s="61">
        <f>IFERROR(IF(OR(ISBLANK(Q37),ISBLANK(L37)),"",Q37*L37*VLOOKUP(C37,設定!$B$9:$D$23,3,FALSE)),"")</f>
        <v/>
      </c>
      <c r="U37" s="55" t="n"/>
      <c r="V37" s="55" t="n"/>
    </row>
    <row r="38">
      <c r="A38" s="44">
        <f>IF(ISBLANK(B38),"",COUNTA($B$18:B38))</f>
        <v/>
      </c>
      <c r="B38" s="45" t="n"/>
      <c r="C38" s="46" t="n"/>
      <c r="D38" s="46" t="n"/>
      <c r="E38" s="44" t="n"/>
      <c r="F38" s="47" t="n"/>
      <c r="G38" s="47" t="n"/>
      <c r="H38" s="47" t="n"/>
      <c r="I38" s="47" t="n"/>
      <c r="J38" s="47" t="n"/>
      <c r="K38" s="47" t="n"/>
      <c r="L38" s="48" t="n"/>
      <c r="M38" s="47" t="n"/>
      <c r="N38" s="46" t="n"/>
      <c r="O38" s="49">
        <f>IFERROR(IF(OR(ISBLANK(G38),ISBLANK(I38)),"",ABS(G38-I38)/VLOOKUP(C38,設定!$B$9:$D$23,2,FALSE)),"")</f>
        <v/>
      </c>
      <c r="P38" s="48">
        <f>IFERROR(IF(OR(ISBLANK(F38),ISBLANK(H38),ISBLANK(J38)),"",ABS(J38-F38)/ABS(F38-H38)),"")</f>
        <v/>
      </c>
      <c r="Q38" s="50">
        <f>IFERROR(IF(OR(ISBLANK(M38),ISBLANK(D38),ISBLANK(G38)),"",IF(D38="Long",(M38-G38),(G38-M38))/VLOOKUP(C38,設定!$B$9:$D$23,2,FALSE)),"")</f>
        <v/>
      </c>
      <c r="R38" s="51">
        <f>IFERROR(IF(OR(ISBLANK(Q38),O38=0),"",Q38/O38),"")</f>
        <v/>
      </c>
      <c r="S38" s="51">
        <f>IFERROR(IF(ISBLANK(R38),S37,IF(ISNUMBER(S37),S37,0)+R38),"")</f>
        <v/>
      </c>
      <c r="T38" s="52">
        <f>IFERROR(IF(OR(ISBLANK(Q38),ISBLANK(L38)),"",Q38*L38*VLOOKUP(C38,設定!$B$9:$D$23,3,FALSE)),"")</f>
        <v/>
      </c>
      <c r="U38" s="46" t="n"/>
      <c r="V38" s="46" t="n"/>
    </row>
    <row r="39">
      <c r="A39" s="53">
        <f>IF(ISBLANK(B39),"",COUNTA($B$18:B39))</f>
        <v/>
      </c>
      <c r="B39" s="54" t="n"/>
      <c r="C39" s="55" t="n"/>
      <c r="D39" s="55" t="n"/>
      <c r="E39" s="53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5" t="n"/>
      <c r="O39" s="58">
        <f>IFERROR(IF(OR(ISBLANK(G39),ISBLANK(I39)),"",ABS(G39-I39)/VLOOKUP(C39,設定!$B$9:$D$23,2,FALSE)),"")</f>
        <v/>
      </c>
      <c r="P39" s="57">
        <f>IFERROR(IF(OR(ISBLANK(F39),ISBLANK(H39),ISBLANK(J39)),"",ABS(J39-F39)/ABS(F39-H39)),"")</f>
        <v/>
      </c>
      <c r="Q39" s="59">
        <f>IFERROR(IF(OR(ISBLANK(M39),ISBLANK(D39),ISBLANK(G39)),"",IF(D39="Long",(M39-G39),(G39-M39))/VLOOKUP(C39,設定!$B$9:$D$23,2,FALSE)),"")</f>
        <v/>
      </c>
      <c r="R39" s="60">
        <f>IFERROR(IF(OR(ISBLANK(Q39),O39=0),"",Q39/O39),"")</f>
        <v/>
      </c>
      <c r="S39" s="60">
        <f>IFERROR(IF(ISBLANK(R39),S38,IF(ISNUMBER(S38),S38,0)+R39),"")</f>
        <v/>
      </c>
      <c r="T39" s="61">
        <f>IFERROR(IF(OR(ISBLANK(Q39),ISBLANK(L39)),"",Q39*L39*VLOOKUP(C39,設定!$B$9:$D$23,3,FALSE)),"")</f>
        <v/>
      </c>
      <c r="U39" s="55" t="n"/>
      <c r="V39" s="55" t="n"/>
    </row>
    <row r="40">
      <c r="A40" s="44">
        <f>IF(ISBLANK(B40),"",COUNTA($B$18:B40))</f>
        <v/>
      </c>
      <c r="B40" s="45" t="n"/>
      <c r="C40" s="46" t="n"/>
      <c r="D40" s="46" t="n"/>
      <c r="E40" s="44" t="n"/>
      <c r="F40" s="47" t="n"/>
      <c r="G40" s="47" t="n"/>
      <c r="H40" s="47" t="n"/>
      <c r="I40" s="47" t="n"/>
      <c r="J40" s="47" t="n"/>
      <c r="K40" s="47" t="n"/>
      <c r="L40" s="48" t="n"/>
      <c r="M40" s="47" t="n"/>
      <c r="N40" s="46" t="n"/>
      <c r="O40" s="49">
        <f>IFERROR(IF(OR(ISBLANK(G40),ISBLANK(I40)),"",ABS(G40-I40)/VLOOKUP(C40,設定!$B$9:$D$23,2,FALSE)),"")</f>
        <v/>
      </c>
      <c r="P40" s="48">
        <f>IFERROR(IF(OR(ISBLANK(F40),ISBLANK(H40),ISBLANK(J40)),"",ABS(J40-F40)/ABS(F40-H40)),"")</f>
        <v/>
      </c>
      <c r="Q40" s="50">
        <f>IFERROR(IF(OR(ISBLANK(M40),ISBLANK(D40),ISBLANK(G40)),"",IF(D40="Long",(M40-G40),(G40-M40))/VLOOKUP(C40,設定!$B$9:$D$23,2,FALSE)),"")</f>
        <v/>
      </c>
      <c r="R40" s="51">
        <f>IFERROR(IF(OR(ISBLANK(Q40),O40=0),"",Q40/O40),"")</f>
        <v/>
      </c>
      <c r="S40" s="51">
        <f>IFERROR(IF(ISBLANK(R40),S39,IF(ISNUMBER(S39),S39,0)+R40),"")</f>
        <v/>
      </c>
      <c r="T40" s="52">
        <f>IFERROR(IF(OR(ISBLANK(Q40),ISBLANK(L40)),"",Q40*L40*VLOOKUP(C40,設定!$B$9:$D$23,3,FALSE)),"")</f>
        <v/>
      </c>
      <c r="U40" s="46" t="n"/>
      <c r="V40" s="46" t="n"/>
    </row>
    <row r="41">
      <c r="A41" s="53">
        <f>IF(ISBLANK(B41),"",COUNTA($B$18:B41))</f>
        <v/>
      </c>
      <c r="B41" s="54" t="n"/>
      <c r="C41" s="55" t="n"/>
      <c r="D41" s="55" t="n"/>
      <c r="E41" s="53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5" t="n"/>
      <c r="O41" s="58">
        <f>IFERROR(IF(OR(ISBLANK(G41),ISBLANK(I41)),"",ABS(G41-I41)/VLOOKUP(C41,設定!$B$9:$D$23,2,FALSE)),"")</f>
        <v/>
      </c>
      <c r="P41" s="57">
        <f>IFERROR(IF(OR(ISBLANK(F41),ISBLANK(H41),ISBLANK(J41)),"",ABS(J41-F41)/ABS(F41-H41)),"")</f>
        <v/>
      </c>
      <c r="Q41" s="59">
        <f>IFERROR(IF(OR(ISBLANK(M41),ISBLANK(D41),ISBLANK(G41)),"",IF(D41="Long",(M41-G41),(G41-M41))/VLOOKUP(C41,設定!$B$9:$D$23,2,FALSE)),"")</f>
        <v/>
      </c>
      <c r="R41" s="60">
        <f>IFERROR(IF(OR(ISBLANK(Q41),O41=0),"",Q41/O41),"")</f>
        <v/>
      </c>
      <c r="S41" s="60">
        <f>IFERROR(IF(ISBLANK(R41),S40,IF(ISNUMBER(S40),S40,0)+R41),"")</f>
        <v/>
      </c>
      <c r="T41" s="61">
        <f>IFERROR(IF(OR(ISBLANK(Q41),ISBLANK(L41)),"",Q41*L41*VLOOKUP(C41,設定!$B$9:$D$23,3,FALSE)),"")</f>
        <v/>
      </c>
      <c r="U41" s="55" t="n"/>
      <c r="V41" s="55" t="n"/>
    </row>
    <row r="42">
      <c r="A42" s="44">
        <f>IF(ISBLANK(B42),"",COUNTA($B$18:B42))</f>
        <v/>
      </c>
      <c r="B42" s="45" t="n"/>
      <c r="C42" s="46" t="n"/>
      <c r="D42" s="46" t="n"/>
      <c r="E42" s="44" t="n"/>
      <c r="F42" s="47" t="n"/>
      <c r="G42" s="47" t="n"/>
      <c r="H42" s="47" t="n"/>
      <c r="I42" s="47" t="n"/>
      <c r="J42" s="47" t="n"/>
      <c r="K42" s="47" t="n"/>
      <c r="L42" s="48" t="n"/>
      <c r="M42" s="47" t="n"/>
      <c r="N42" s="46" t="n"/>
      <c r="O42" s="49">
        <f>IFERROR(IF(OR(ISBLANK(G42),ISBLANK(I42)),"",ABS(G42-I42)/VLOOKUP(C42,設定!$B$9:$D$23,2,FALSE)),"")</f>
        <v/>
      </c>
      <c r="P42" s="48">
        <f>IFERROR(IF(OR(ISBLANK(F42),ISBLANK(H42),ISBLANK(J42)),"",ABS(J42-F42)/ABS(F42-H42)),"")</f>
        <v/>
      </c>
      <c r="Q42" s="50">
        <f>IFERROR(IF(OR(ISBLANK(M42),ISBLANK(D42),ISBLANK(G42)),"",IF(D42="Long",(M42-G42),(G42-M42))/VLOOKUP(C42,設定!$B$9:$D$23,2,FALSE)),"")</f>
        <v/>
      </c>
      <c r="R42" s="51">
        <f>IFERROR(IF(OR(ISBLANK(Q42),O42=0),"",Q42/O42),"")</f>
        <v/>
      </c>
      <c r="S42" s="51">
        <f>IFERROR(IF(ISBLANK(R42),S41,IF(ISNUMBER(S41),S41,0)+R42),"")</f>
        <v/>
      </c>
      <c r="T42" s="52">
        <f>IFERROR(IF(OR(ISBLANK(Q42),ISBLANK(L42)),"",Q42*L42*VLOOKUP(C42,設定!$B$9:$D$23,3,FALSE)),"")</f>
        <v/>
      </c>
      <c r="U42" s="46" t="n"/>
      <c r="V42" s="46" t="n"/>
    </row>
    <row r="43">
      <c r="A43" s="53">
        <f>IF(ISBLANK(B43),"",COUNTA($B$18:B43))</f>
        <v/>
      </c>
      <c r="B43" s="54" t="n"/>
      <c r="C43" s="55" t="n"/>
      <c r="D43" s="55" t="n"/>
      <c r="E43" s="53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5" t="n"/>
      <c r="O43" s="58">
        <f>IFERROR(IF(OR(ISBLANK(G43),ISBLANK(I43)),"",ABS(G43-I43)/VLOOKUP(C43,設定!$B$9:$D$23,2,FALSE)),"")</f>
        <v/>
      </c>
      <c r="P43" s="57">
        <f>IFERROR(IF(OR(ISBLANK(F43),ISBLANK(H43),ISBLANK(J43)),"",ABS(J43-F43)/ABS(F43-H43)),"")</f>
        <v/>
      </c>
      <c r="Q43" s="59">
        <f>IFERROR(IF(OR(ISBLANK(M43),ISBLANK(D43),ISBLANK(G43)),"",IF(D43="Long",(M43-G43),(G43-M43))/VLOOKUP(C43,設定!$B$9:$D$23,2,FALSE)),"")</f>
        <v/>
      </c>
      <c r="R43" s="60">
        <f>IFERROR(IF(OR(ISBLANK(Q43),O43=0),"",Q43/O43),"")</f>
        <v/>
      </c>
      <c r="S43" s="60">
        <f>IFERROR(IF(ISBLANK(R43),S42,IF(ISNUMBER(S42),S42,0)+R43),"")</f>
        <v/>
      </c>
      <c r="T43" s="61">
        <f>IFERROR(IF(OR(ISBLANK(Q43),ISBLANK(L43)),"",Q43*L43*VLOOKUP(C43,設定!$B$9:$D$23,3,FALSE)),"")</f>
        <v/>
      </c>
      <c r="U43" s="55" t="n"/>
      <c r="V43" s="55" t="n"/>
    </row>
    <row r="44">
      <c r="A44" s="44">
        <f>IF(ISBLANK(B44),"",COUNTA($B$18:B44))</f>
        <v/>
      </c>
      <c r="B44" s="45" t="n"/>
      <c r="C44" s="46" t="n"/>
      <c r="D44" s="46" t="n"/>
      <c r="E44" s="44" t="n"/>
      <c r="F44" s="47" t="n"/>
      <c r="G44" s="47" t="n"/>
      <c r="H44" s="47" t="n"/>
      <c r="I44" s="47" t="n"/>
      <c r="J44" s="47" t="n"/>
      <c r="K44" s="47" t="n"/>
      <c r="L44" s="48" t="n"/>
      <c r="M44" s="47" t="n"/>
      <c r="N44" s="46" t="n"/>
      <c r="O44" s="49">
        <f>IFERROR(IF(OR(ISBLANK(G44),ISBLANK(I44)),"",ABS(G44-I44)/VLOOKUP(C44,設定!$B$9:$D$23,2,FALSE)),"")</f>
        <v/>
      </c>
      <c r="P44" s="48">
        <f>IFERROR(IF(OR(ISBLANK(F44),ISBLANK(H44),ISBLANK(J44)),"",ABS(J44-F44)/ABS(F44-H44)),"")</f>
        <v/>
      </c>
      <c r="Q44" s="50">
        <f>IFERROR(IF(OR(ISBLANK(M44),ISBLANK(D44),ISBLANK(G44)),"",IF(D44="Long",(M44-G44),(G44-M44))/VLOOKUP(C44,設定!$B$9:$D$23,2,FALSE)),"")</f>
        <v/>
      </c>
      <c r="R44" s="51">
        <f>IFERROR(IF(OR(ISBLANK(Q44),O44=0),"",Q44/O44),"")</f>
        <v/>
      </c>
      <c r="S44" s="51">
        <f>IFERROR(IF(ISBLANK(R44),S43,IF(ISNUMBER(S43),S43,0)+R44),"")</f>
        <v/>
      </c>
      <c r="T44" s="52">
        <f>IFERROR(IF(OR(ISBLANK(Q44),ISBLANK(L44)),"",Q44*L44*VLOOKUP(C44,設定!$B$9:$D$23,3,FALSE)),"")</f>
        <v/>
      </c>
      <c r="U44" s="46" t="n"/>
      <c r="V44" s="46" t="n"/>
    </row>
    <row r="45">
      <c r="A45" s="53">
        <f>IF(ISBLANK(B45),"",COUNTA($B$18:B45))</f>
        <v/>
      </c>
      <c r="B45" s="54" t="n"/>
      <c r="C45" s="55" t="n"/>
      <c r="D45" s="55" t="n"/>
      <c r="E45" s="53" t="n"/>
      <c r="F45" s="56" t="n"/>
      <c r="G45" s="56" t="n"/>
      <c r="H45" s="56" t="n"/>
      <c r="I45" s="56" t="n"/>
      <c r="J45" s="56" t="n"/>
      <c r="K45" s="56" t="n"/>
      <c r="L45" s="57" t="n"/>
      <c r="M45" s="56" t="n"/>
      <c r="N45" s="55" t="n"/>
      <c r="O45" s="58">
        <f>IFERROR(IF(OR(ISBLANK(G45),ISBLANK(I45)),"",ABS(G45-I45)/VLOOKUP(C45,設定!$B$9:$D$23,2,FALSE)),"")</f>
        <v/>
      </c>
      <c r="P45" s="57">
        <f>IFERROR(IF(OR(ISBLANK(F45),ISBLANK(H45),ISBLANK(J45)),"",ABS(J45-F45)/ABS(F45-H45)),"")</f>
        <v/>
      </c>
      <c r="Q45" s="59">
        <f>IFERROR(IF(OR(ISBLANK(M45),ISBLANK(D45),ISBLANK(G45)),"",IF(D45="Long",(M45-G45),(G45-M45))/VLOOKUP(C45,設定!$B$9:$D$23,2,FALSE)),"")</f>
        <v/>
      </c>
      <c r="R45" s="60">
        <f>IFERROR(IF(OR(ISBLANK(Q45),O45=0),"",Q45/O45),"")</f>
        <v/>
      </c>
      <c r="S45" s="60">
        <f>IFERROR(IF(ISBLANK(R45),S44,IF(ISNUMBER(S44),S44,0)+R45),"")</f>
        <v/>
      </c>
      <c r="T45" s="61">
        <f>IFERROR(IF(OR(ISBLANK(Q45),ISBLANK(L45)),"",Q45*L45*VLOOKUP(C45,設定!$B$9:$D$23,3,FALSE)),"")</f>
        <v/>
      </c>
      <c r="U45" s="55" t="n"/>
      <c r="V45" s="55" t="n"/>
    </row>
    <row r="46">
      <c r="A46" s="44">
        <f>IF(ISBLANK(B46),"",COUNTA($B$18:B46))</f>
        <v/>
      </c>
      <c r="B46" s="45" t="n"/>
      <c r="C46" s="46" t="n"/>
      <c r="D46" s="46" t="n"/>
      <c r="E46" s="44" t="n"/>
      <c r="F46" s="47" t="n"/>
      <c r="G46" s="47" t="n"/>
      <c r="H46" s="47" t="n"/>
      <c r="I46" s="47" t="n"/>
      <c r="J46" s="47" t="n"/>
      <c r="K46" s="47" t="n"/>
      <c r="L46" s="48" t="n"/>
      <c r="M46" s="47" t="n"/>
      <c r="N46" s="46" t="n"/>
      <c r="O46" s="49">
        <f>IFERROR(IF(OR(ISBLANK(G46),ISBLANK(I46)),"",ABS(G46-I46)/VLOOKUP(C46,設定!$B$9:$D$23,2,FALSE)),"")</f>
        <v/>
      </c>
      <c r="P46" s="48">
        <f>IFERROR(IF(OR(ISBLANK(F46),ISBLANK(H46),ISBLANK(J46)),"",ABS(J46-F46)/ABS(F46-H46)),"")</f>
        <v/>
      </c>
      <c r="Q46" s="50">
        <f>IFERROR(IF(OR(ISBLANK(M46),ISBLANK(D46),ISBLANK(G46)),"",IF(D46="Long",(M46-G46),(G46-M46))/VLOOKUP(C46,設定!$B$9:$D$23,2,FALSE)),"")</f>
        <v/>
      </c>
      <c r="R46" s="51">
        <f>IFERROR(IF(OR(ISBLANK(Q46),O46=0),"",Q46/O46),"")</f>
        <v/>
      </c>
      <c r="S46" s="51">
        <f>IFERROR(IF(ISBLANK(R46),S45,IF(ISNUMBER(S45),S45,0)+R46),"")</f>
        <v/>
      </c>
      <c r="T46" s="52">
        <f>IFERROR(IF(OR(ISBLANK(Q46),ISBLANK(L46)),"",Q46*L46*VLOOKUP(C46,設定!$B$9:$D$23,3,FALSE)),"")</f>
        <v/>
      </c>
      <c r="U46" s="46" t="n"/>
      <c r="V46" s="46" t="n"/>
    </row>
    <row r="47">
      <c r="A47" s="53">
        <f>IF(ISBLANK(B47),"",COUNTA($B$18:B47))</f>
        <v/>
      </c>
      <c r="B47" s="54" t="n"/>
      <c r="C47" s="55" t="n"/>
      <c r="D47" s="55" t="n"/>
      <c r="E47" s="53" t="n"/>
      <c r="F47" s="56" t="n"/>
      <c r="G47" s="56" t="n"/>
      <c r="H47" s="56" t="n"/>
      <c r="I47" s="56" t="n"/>
      <c r="J47" s="56" t="n"/>
      <c r="K47" s="56" t="n"/>
      <c r="L47" s="57" t="n"/>
      <c r="M47" s="56" t="n"/>
      <c r="N47" s="55" t="n"/>
      <c r="O47" s="58">
        <f>IFERROR(IF(OR(ISBLANK(G47),ISBLANK(I47)),"",ABS(G47-I47)/VLOOKUP(C47,設定!$B$9:$D$23,2,FALSE)),"")</f>
        <v/>
      </c>
      <c r="P47" s="57">
        <f>IFERROR(IF(OR(ISBLANK(F47),ISBLANK(H47),ISBLANK(J47)),"",ABS(J47-F47)/ABS(F47-H47)),"")</f>
        <v/>
      </c>
      <c r="Q47" s="59">
        <f>IFERROR(IF(OR(ISBLANK(M47),ISBLANK(D47),ISBLANK(G47)),"",IF(D47="Long",(M47-G47),(G47-M47))/VLOOKUP(C47,設定!$B$9:$D$23,2,FALSE)),"")</f>
        <v/>
      </c>
      <c r="R47" s="60">
        <f>IFERROR(IF(OR(ISBLANK(Q47),O47=0),"",Q47/O47),"")</f>
        <v/>
      </c>
      <c r="S47" s="60">
        <f>IFERROR(IF(ISBLANK(R47),S46,IF(ISNUMBER(S46),S46,0)+R47),"")</f>
        <v/>
      </c>
      <c r="T47" s="61">
        <f>IFERROR(IF(OR(ISBLANK(Q47),ISBLANK(L47)),"",Q47*L47*VLOOKUP(C47,設定!$B$9:$D$23,3,FALSE)),"")</f>
        <v/>
      </c>
      <c r="U47" s="55" t="n"/>
      <c r="V47" s="55" t="n"/>
    </row>
    <row r="48">
      <c r="A48" s="44">
        <f>IF(ISBLANK(B48),"",COUNTA($B$18:B48))</f>
        <v/>
      </c>
      <c r="B48" s="45" t="n"/>
      <c r="C48" s="46" t="n"/>
      <c r="D48" s="46" t="n"/>
      <c r="E48" s="44" t="n"/>
      <c r="F48" s="47" t="n"/>
      <c r="G48" s="47" t="n"/>
      <c r="H48" s="47" t="n"/>
      <c r="I48" s="47" t="n"/>
      <c r="J48" s="47" t="n"/>
      <c r="K48" s="47" t="n"/>
      <c r="L48" s="48" t="n"/>
      <c r="M48" s="47" t="n"/>
      <c r="N48" s="46" t="n"/>
      <c r="O48" s="49">
        <f>IFERROR(IF(OR(ISBLANK(G48),ISBLANK(I48)),"",ABS(G48-I48)/VLOOKUP(C48,設定!$B$9:$D$23,2,FALSE)),"")</f>
        <v/>
      </c>
      <c r="P48" s="48">
        <f>IFERROR(IF(OR(ISBLANK(F48),ISBLANK(H48),ISBLANK(J48)),"",ABS(J48-F48)/ABS(F48-H48)),"")</f>
        <v/>
      </c>
      <c r="Q48" s="50">
        <f>IFERROR(IF(OR(ISBLANK(M48),ISBLANK(D48),ISBLANK(G48)),"",IF(D48="Long",(M48-G48),(G48-M48))/VLOOKUP(C48,設定!$B$9:$D$23,2,FALSE)),"")</f>
        <v/>
      </c>
      <c r="R48" s="51">
        <f>IFERROR(IF(OR(ISBLANK(Q48),O48=0),"",Q48/O48),"")</f>
        <v/>
      </c>
      <c r="S48" s="51">
        <f>IFERROR(IF(ISBLANK(R48),S47,IF(ISNUMBER(S47),S47,0)+R48),"")</f>
        <v/>
      </c>
      <c r="T48" s="52">
        <f>IFERROR(IF(OR(ISBLANK(Q48),ISBLANK(L48)),"",Q48*L48*VLOOKUP(C48,設定!$B$9:$D$23,3,FALSE)),"")</f>
        <v/>
      </c>
      <c r="U48" s="46" t="n"/>
      <c r="V48" s="46" t="n"/>
    </row>
    <row r="49">
      <c r="A49" s="53">
        <f>IF(ISBLANK(B49),"",COUNTA($B$18:B49))</f>
        <v/>
      </c>
      <c r="B49" s="54" t="n"/>
      <c r="C49" s="55" t="n"/>
      <c r="D49" s="55" t="n"/>
      <c r="E49" s="53" t="n"/>
      <c r="F49" s="56" t="n"/>
      <c r="G49" s="56" t="n"/>
      <c r="H49" s="56" t="n"/>
      <c r="I49" s="56" t="n"/>
      <c r="J49" s="56" t="n"/>
      <c r="K49" s="56" t="n"/>
      <c r="L49" s="57" t="n"/>
      <c r="M49" s="56" t="n"/>
      <c r="N49" s="55" t="n"/>
      <c r="O49" s="58">
        <f>IFERROR(IF(OR(ISBLANK(G49),ISBLANK(I49)),"",ABS(G49-I49)/VLOOKUP(C49,設定!$B$9:$D$23,2,FALSE)),"")</f>
        <v/>
      </c>
      <c r="P49" s="57">
        <f>IFERROR(IF(OR(ISBLANK(F49),ISBLANK(H49),ISBLANK(J49)),"",ABS(J49-F49)/ABS(F49-H49)),"")</f>
        <v/>
      </c>
      <c r="Q49" s="59">
        <f>IFERROR(IF(OR(ISBLANK(M49),ISBLANK(D49),ISBLANK(G49)),"",IF(D49="Long",(M49-G49),(G49-M49))/VLOOKUP(C49,設定!$B$9:$D$23,2,FALSE)),"")</f>
        <v/>
      </c>
      <c r="R49" s="60">
        <f>IFERROR(IF(OR(ISBLANK(Q49),O49=0),"",Q49/O49),"")</f>
        <v/>
      </c>
      <c r="S49" s="60">
        <f>IFERROR(IF(ISBLANK(R49),S48,IF(ISNUMBER(S48),S48,0)+R49),"")</f>
        <v/>
      </c>
      <c r="T49" s="61">
        <f>IFERROR(IF(OR(ISBLANK(Q49),ISBLANK(L49)),"",Q49*L49*VLOOKUP(C49,設定!$B$9:$D$23,3,FALSE)),"")</f>
        <v/>
      </c>
      <c r="U49" s="55" t="n"/>
      <c r="V49" s="55" t="n"/>
    </row>
    <row r="50">
      <c r="A50" s="44">
        <f>IF(ISBLANK(B50),"",COUNTA($B$18:B50))</f>
        <v/>
      </c>
      <c r="B50" s="45" t="n"/>
      <c r="C50" s="46" t="n"/>
      <c r="D50" s="46" t="n"/>
      <c r="E50" s="44" t="n"/>
      <c r="F50" s="47" t="n"/>
      <c r="G50" s="47" t="n"/>
      <c r="H50" s="47" t="n"/>
      <c r="I50" s="47" t="n"/>
      <c r="J50" s="47" t="n"/>
      <c r="K50" s="47" t="n"/>
      <c r="L50" s="48" t="n"/>
      <c r="M50" s="47" t="n"/>
      <c r="N50" s="46" t="n"/>
      <c r="O50" s="49">
        <f>IFERROR(IF(OR(ISBLANK(G50),ISBLANK(I50)),"",ABS(G50-I50)/VLOOKUP(C50,設定!$B$9:$D$23,2,FALSE)),"")</f>
        <v/>
      </c>
      <c r="P50" s="48">
        <f>IFERROR(IF(OR(ISBLANK(F50),ISBLANK(H50),ISBLANK(J50)),"",ABS(J50-F50)/ABS(F50-H50)),"")</f>
        <v/>
      </c>
      <c r="Q50" s="50">
        <f>IFERROR(IF(OR(ISBLANK(M50),ISBLANK(D50),ISBLANK(G50)),"",IF(D50="Long",(M50-G50),(G50-M50))/VLOOKUP(C50,設定!$B$9:$D$23,2,FALSE)),"")</f>
        <v/>
      </c>
      <c r="R50" s="51">
        <f>IFERROR(IF(OR(ISBLANK(Q50),O50=0),"",Q50/O50),"")</f>
        <v/>
      </c>
      <c r="S50" s="51">
        <f>IFERROR(IF(ISBLANK(R50),S49,IF(ISNUMBER(S49),S49,0)+R50),"")</f>
        <v/>
      </c>
      <c r="T50" s="52">
        <f>IFERROR(IF(OR(ISBLANK(Q50),ISBLANK(L50)),"",Q50*L50*VLOOKUP(C50,設定!$B$9:$D$23,3,FALSE)),"")</f>
        <v/>
      </c>
      <c r="U50" s="46" t="n"/>
      <c r="V50" s="46" t="n"/>
    </row>
    <row r="51">
      <c r="A51" s="53">
        <f>IF(ISBLANK(B51),"",COUNTA($B$18:B51))</f>
        <v/>
      </c>
      <c r="B51" s="54" t="n"/>
      <c r="C51" s="55" t="n"/>
      <c r="D51" s="55" t="n"/>
      <c r="E51" s="53" t="n"/>
      <c r="F51" s="56" t="n"/>
      <c r="G51" s="56" t="n"/>
      <c r="H51" s="56" t="n"/>
      <c r="I51" s="56" t="n"/>
      <c r="J51" s="56" t="n"/>
      <c r="K51" s="56" t="n"/>
      <c r="L51" s="57" t="n"/>
      <c r="M51" s="56" t="n"/>
      <c r="N51" s="55" t="n"/>
      <c r="O51" s="58">
        <f>IFERROR(IF(OR(ISBLANK(G51),ISBLANK(I51)),"",ABS(G51-I51)/VLOOKUP(C51,設定!$B$9:$D$23,2,FALSE)),"")</f>
        <v/>
      </c>
      <c r="P51" s="57">
        <f>IFERROR(IF(OR(ISBLANK(F51),ISBLANK(H51),ISBLANK(J51)),"",ABS(J51-F51)/ABS(F51-H51)),"")</f>
        <v/>
      </c>
      <c r="Q51" s="59">
        <f>IFERROR(IF(OR(ISBLANK(M51),ISBLANK(D51),ISBLANK(G51)),"",IF(D51="Long",(M51-G51),(G51-M51))/VLOOKUP(C51,設定!$B$9:$D$23,2,FALSE)),"")</f>
        <v/>
      </c>
      <c r="R51" s="60">
        <f>IFERROR(IF(OR(ISBLANK(Q51),O51=0),"",Q51/O51),"")</f>
        <v/>
      </c>
      <c r="S51" s="60">
        <f>IFERROR(IF(ISBLANK(R51),S50,IF(ISNUMBER(S50),S50,0)+R51),"")</f>
        <v/>
      </c>
      <c r="T51" s="61">
        <f>IFERROR(IF(OR(ISBLANK(Q51),ISBLANK(L51)),"",Q51*L51*VLOOKUP(C51,設定!$B$9:$D$23,3,FALSE)),"")</f>
        <v/>
      </c>
      <c r="U51" s="55" t="n"/>
      <c r="V51" s="55" t="n"/>
    </row>
    <row r="52">
      <c r="A52" s="44">
        <f>IF(ISBLANK(B52),"",COUNTA($B$18:B52))</f>
        <v/>
      </c>
      <c r="B52" s="45" t="n"/>
      <c r="C52" s="46" t="n"/>
      <c r="D52" s="46" t="n"/>
      <c r="E52" s="44" t="n"/>
      <c r="F52" s="47" t="n"/>
      <c r="G52" s="47" t="n"/>
      <c r="H52" s="47" t="n"/>
      <c r="I52" s="47" t="n"/>
      <c r="J52" s="47" t="n"/>
      <c r="K52" s="47" t="n"/>
      <c r="L52" s="48" t="n"/>
      <c r="M52" s="47" t="n"/>
      <c r="N52" s="46" t="n"/>
      <c r="O52" s="49">
        <f>IFERROR(IF(OR(ISBLANK(G52),ISBLANK(I52)),"",ABS(G52-I52)/VLOOKUP(C52,設定!$B$9:$D$23,2,FALSE)),"")</f>
        <v/>
      </c>
      <c r="P52" s="48">
        <f>IFERROR(IF(OR(ISBLANK(F52),ISBLANK(H52),ISBLANK(J52)),"",ABS(J52-F52)/ABS(F52-H52)),"")</f>
        <v/>
      </c>
      <c r="Q52" s="50">
        <f>IFERROR(IF(OR(ISBLANK(M52),ISBLANK(D52),ISBLANK(G52)),"",IF(D52="Long",(M52-G52),(G52-M52))/VLOOKUP(C52,設定!$B$9:$D$23,2,FALSE)),"")</f>
        <v/>
      </c>
      <c r="R52" s="51">
        <f>IFERROR(IF(OR(ISBLANK(Q52),O52=0),"",Q52/O52),"")</f>
        <v/>
      </c>
      <c r="S52" s="51">
        <f>IFERROR(IF(ISBLANK(R52),S51,IF(ISNUMBER(S51),S51,0)+R52),"")</f>
        <v/>
      </c>
      <c r="T52" s="52">
        <f>IFERROR(IF(OR(ISBLANK(Q52),ISBLANK(L52)),"",Q52*L52*VLOOKUP(C52,設定!$B$9:$D$23,3,FALSE)),"")</f>
        <v/>
      </c>
      <c r="U52" s="46" t="n"/>
      <c r="V52" s="46" t="n"/>
    </row>
    <row r="53">
      <c r="A53" s="53">
        <f>IF(ISBLANK(B53),"",COUNTA($B$18:B53))</f>
        <v/>
      </c>
      <c r="B53" s="54" t="n"/>
      <c r="C53" s="55" t="n"/>
      <c r="D53" s="55" t="n"/>
      <c r="E53" s="53" t="n"/>
      <c r="F53" s="56" t="n"/>
      <c r="G53" s="56" t="n"/>
      <c r="H53" s="56" t="n"/>
      <c r="I53" s="56" t="n"/>
      <c r="J53" s="56" t="n"/>
      <c r="K53" s="56" t="n"/>
      <c r="L53" s="57" t="n"/>
      <c r="M53" s="56" t="n"/>
      <c r="N53" s="55" t="n"/>
      <c r="O53" s="58">
        <f>IFERROR(IF(OR(ISBLANK(G53),ISBLANK(I53)),"",ABS(G53-I53)/VLOOKUP(C53,設定!$B$9:$D$23,2,FALSE)),"")</f>
        <v/>
      </c>
      <c r="P53" s="57">
        <f>IFERROR(IF(OR(ISBLANK(F53),ISBLANK(H53),ISBLANK(J53)),"",ABS(J53-F53)/ABS(F53-H53)),"")</f>
        <v/>
      </c>
      <c r="Q53" s="59">
        <f>IFERROR(IF(OR(ISBLANK(M53),ISBLANK(D53),ISBLANK(G53)),"",IF(D53="Long",(M53-G53),(G53-M53))/VLOOKUP(C53,設定!$B$9:$D$23,2,FALSE)),"")</f>
        <v/>
      </c>
      <c r="R53" s="60">
        <f>IFERROR(IF(OR(ISBLANK(Q53),O53=0),"",Q53/O53),"")</f>
        <v/>
      </c>
      <c r="S53" s="60">
        <f>IFERROR(IF(ISBLANK(R53),S52,IF(ISNUMBER(S52),S52,0)+R53),"")</f>
        <v/>
      </c>
      <c r="T53" s="61">
        <f>IFERROR(IF(OR(ISBLANK(Q53),ISBLANK(L53)),"",Q53*L53*VLOOKUP(C53,設定!$B$9:$D$23,3,FALSE)),"")</f>
        <v/>
      </c>
      <c r="U53" s="55" t="n"/>
      <c r="V53" s="55" t="n"/>
    </row>
    <row r="54">
      <c r="A54" s="44">
        <f>IF(ISBLANK(B54),"",COUNTA($B$18:B54))</f>
        <v/>
      </c>
      <c r="B54" s="45" t="n"/>
      <c r="C54" s="46" t="n"/>
      <c r="D54" s="46" t="n"/>
      <c r="E54" s="44" t="n"/>
      <c r="F54" s="47" t="n"/>
      <c r="G54" s="47" t="n"/>
      <c r="H54" s="47" t="n"/>
      <c r="I54" s="47" t="n"/>
      <c r="J54" s="47" t="n"/>
      <c r="K54" s="47" t="n"/>
      <c r="L54" s="48" t="n"/>
      <c r="M54" s="47" t="n"/>
      <c r="N54" s="46" t="n"/>
      <c r="O54" s="49">
        <f>IFERROR(IF(OR(ISBLANK(G54),ISBLANK(I54)),"",ABS(G54-I54)/VLOOKUP(C54,設定!$B$9:$D$23,2,FALSE)),"")</f>
        <v/>
      </c>
      <c r="P54" s="48">
        <f>IFERROR(IF(OR(ISBLANK(F54),ISBLANK(H54),ISBLANK(J54)),"",ABS(J54-F54)/ABS(F54-H54)),"")</f>
        <v/>
      </c>
      <c r="Q54" s="50">
        <f>IFERROR(IF(OR(ISBLANK(M54),ISBLANK(D54),ISBLANK(G54)),"",IF(D54="Long",(M54-G54),(G54-M54))/VLOOKUP(C54,設定!$B$9:$D$23,2,FALSE)),"")</f>
        <v/>
      </c>
      <c r="R54" s="51">
        <f>IFERROR(IF(OR(ISBLANK(Q54),O54=0),"",Q54/O54),"")</f>
        <v/>
      </c>
      <c r="S54" s="51">
        <f>IFERROR(IF(ISBLANK(R54),S53,IF(ISNUMBER(S53),S53,0)+R54),"")</f>
        <v/>
      </c>
      <c r="T54" s="52">
        <f>IFERROR(IF(OR(ISBLANK(Q54),ISBLANK(L54)),"",Q54*L54*VLOOKUP(C54,設定!$B$9:$D$23,3,FALSE)),"")</f>
        <v/>
      </c>
      <c r="U54" s="46" t="n"/>
      <c r="V54" s="46" t="n"/>
    </row>
    <row r="55">
      <c r="A55" s="53">
        <f>IF(ISBLANK(B55),"",COUNTA($B$18:B55))</f>
        <v/>
      </c>
      <c r="B55" s="54" t="n"/>
      <c r="C55" s="55" t="n"/>
      <c r="D55" s="55" t="n"/>
      <c r="E55" s="53" t="n"/>
      <c r="F55" s="56" t="n"/>
      <c r="G55" s="56" t="n"/>
      <c r="H55" s="56" t="n"/>
      <c r="I55" s="56" t="n"/>
      <c r="J55" s="56" t="n"/>
      <c r="K55" s="56" t="n"/>
      <c r="L55" s="57" t="n"/>
      <c r="M55" s="56" t="n"/>
      <c r="N55" s="55" t="n"/>
      <c r="O55" s="58">
        <f>IFERROR(IF(OR(ISBLANK(G55),ISBLANK(I55)),"",ABS(G55-I55)/VLOOKUP(C55,設定!$B$9:$D$23,2,FALSE)),"")</f>
        <v/>
      </c>
      <c r="P55" s="57">
        <f>IFERROR(IF(OR(ISBLANK(F55),ISBLANK(H55),ISBLANK(J55)),"",ABS(J55-F55)/ABS(F55-H55)),"")</f>
        <v/>
      </c>
      <c r="Q55" s="59">
        <f>IFERROR(IF(OR(ISBLANK(M55),ISBLANK(D55),ISBLANK(G55)),"",IF(D55="Long",(M55-G55),(G55-M55))/VLOOKUP(C55,設定!$B$9:$D$23,2,FALSE)),"")</f>
        <v/>
      </c>
      <c r="R55" s="60">
        <f>IFERROR(IF(OR(ISBLANK(Q55),O55=0),"",Q55/O55),"")</f>
        <v/>
      </c>
      <c r="S55" s="60">
        <f>IFERROR(IF(ISBLANK(R55),S54,IF(ISNUMBER(S54),S54,0)+R55),"")</f>
        <v/>
      </c>
      <c r="T55" s="61">
        <f>IFERROR(IF(OR(ISBLANK(Q55),ISBLANK(L55)),"",Q55*L55*VLOOKUP(C55,設定!$B$9:$D$23,3,FALSE)),"")</f>
        <v/>
      </c>
      <c r="U55" s="55" t="n"/>
      <c r="V55" s="55" t="n"/>
    </row>
    <row r="56">
      <c r="A56" s="44">
        <f>IF(ISBLANK(B56),"",COUNTA($B$18:B56))</f>
        <v/>
      </c>
      <c r="B56" s="45" t="n"/>
      <c r="C56" s="46" t="n"/>
      <c r="D56" s="46" t="n"/>
      <c r="E56" s="44" t="n"/>
      <c r="F56" s="47" t="n"/>
      <c r="G56" s="47" t="n"/>
      <c r="H56" s="47" t="n"/>
      <c r="I56" s="47" t="n"/>
      <c r="J56" s="47" t="n"/>
      <c r="K56" s="47" t="n"/>
      <c r="L56" s="48" t="n"/>
      <c r="M56" s="47" t="n"/>
      <c r="N56" s="46" t="n"/>
      <c r="O56" s="49">
        <f>IFERROR(IF(OR(ISBLANK(G56),ISBLANK(I56)),"",ABS(G56-I56)/VLOOKUP(C56,設定!$B$9:$D$23,2,FALSE)),"")</f>
        <v/>
      </c>
      <c r="P56" s="48">
        <f>IFERROR(IF(OR(ISBLANK(F56),ISBLANK(H56),ISBLANK(J56)),"",ABS(J56-F56)/ABS(F56-H56)),"")</f>
        <v/>
      </c>
      <c r="Q56" s="50">
        <f>IFERROR(IF(OR(ISBLANK(M56),ISBLANK(D56),ISBLANK(G56)),"",IF(D56="Long",(M56-G56),(G56-M56))/VLOOKUP(C56,設定!$B$9:$D$23,2,FALSE)),"")</f>
        <v/>
      </c>
      <c r="R56" s="51">
        <f>IFERROR(IF(OR(ISBLANK(Q56),O56=0),"",Q56/O56),"")</f>
        <v/>
      </c>
      <c r="S56" s="51">
        <f>IFERROR(IF(ISBLANK(R56),S55,IF(ISNUMBER(S55),S55,0)+R56),"")</f>
        <v/>
      </c>
      <c r="T56" s="52">
        <f>IFERROR(IF(OR(ISBLANK(Q56),ISBLANK(L56)),"",Q56*L56*VLOOKUP(C56,設定!$B$9:$D$23,3,FALSE)),"")</f>
        <v/>
      </c>
      <c r="U56" s="46" t="n"/>
      <c r="V56" s="46" t="n"/>
    </row>
    <row r="57">
      <c r="A57" s="53">
        <f>IF(ISBLANK(B57),"",COUNTA($B$18:B57))</f>
        <v/>
      </c>
      <c r="B57" s="54" t="n"/>
      <c r="C57" s="55" t="n"/>
      <c r="D57" s="55" t="n"/>
      <c r="E57" s="53" t="n"/>
      <c r="F57" s="56" t="n"/>
      <c r="G57" s="56" t="n"/>
      <c r="H57" s="56" t="n"/>
      <c r="I57" s="56" t="n"/>
      <c r="J57" s="56" t="n"/>
      <c r="K57" s="56" t="n"/>
      <c r="L57" s="57" t="n"/>
      <c r="M57" s="56" t="n"/>
      <c r="N57" s="55" t="n"/>
      <c r="O57" s="58">
        <f>IFERROR(IF(OR(ISBLANK(G57),ISBLANK(I57)),"",ABS(G57-I57)/VLOOKUP(C57,設定!$B$9:$D$23,2,FALSE)),"")</f>
        <v/>
      </c>
      <c r="P57" s="57">
        <f>IFERROR(IF(OR(ISBLANK(F57),ISBLANK(H57),ISBLANK(J57)),"",ABS(J57-F57)/ABS(F57-H57)),"")</f>
        <v/>
      </c>
      <c r="Q57" s="59">
        <f>IFERROR(IF(OR(ISBLANK(M57),ISBLANK(D57),ISBLANK(G57)),"",IF(D57="Long",(M57-G57),(G57-M57))/VLOOKUP(C57,設定!$B$9:$D$23,2,FALSE)),"")</f>
        <v/>
      </c>
      <c r="R57" s="60">
        <f>IFERROR(IF(OR(ISBLANK(Q57),O57=0),"",Q57/O57),"")</f>
        <v/>
      </c>
      <c r="S57" s="60">
        <f>IFERROR(IF(ISBLANK(R57),S56,IF(ISNUMBER(S56),S56,0)+R57),"")</f>
        <v/>
      </c>
      <c r="T57" s="61">
        <f>IFERROR(IF(OR(ISBLANK(Q57),ISBLANK(L57)),"",Q57*L57*VLOOKUP(C57,設定!$B$9:$D$23,3,FALSE)),"")</f>
        <v/>
      </c>
      <c r="U57" s="55" t="n"/>
      <c r="V57" s="55" t="n"/>
    </row>
    <row r="58">
      <c r="A58" s="44">
        <f>IF(ISBLANK(B58),"",COUNTA($B$18:B58))</f>
        <v/>
      </c>
      <c r="B58" s="45" t="n"/>
      <c r="C58" s="46" t="n"/>
      <c r="D58" s="46" t="n"/>
      <c r="E58" s="44" t="n"/>
      <c r="F58" s="47" t="n"/>
      <c r="G58" s="47" t="n"/>
      <c r="H58" s="47" t="n"/>
      <c r="I58" s="47" t="n"/>
      <c r="J58" s="47" t="n"/>
      <c r="K58" s="47" t="n"/>
      <c r="L58" s="48" t="n"/>
      <c r="M58" s="47" t="n"/>
      <c r="N58" s="46" t="n"/>
      <c r="O58" s="49">
        <f>IFERROR(IF(OR(ISBLANK(G58),ISBLANK(I58)),"",ABS(G58-I58)/VLOOKUP(C58,設定!$B$9:$D$23,2,FALSE)),"")</f>
        <v/>
      </c>
      <c r="P58" s="48">
        <f>IFERROR(IF(OR(ISBLANK(F58),ISBLANK(H58),ISBLANK(J58)),"",ABS(J58-F58)/ABS(F58-H58)),"")</f>
        <v/>
      </c>
      <c r="Q58" s="50">
        <f>IFERROR(IF(OR(ISBLANK(M58),ISBLANK(D58),ISBLANK(G58)),"",IF(D58="Long",(M58-G58),(G58-M58))/VLOOKUP(C58,設定!$B$9:$D$23,2,FALSE)),"")</f>
        <v/>
      </c>
      <c r="R58" s="51">
        <f>IFERROR(IF(OR(ISBLANK(Q58),O58=0),"",Q58/O58),"")</f>
        <v/>
      </c>
      <c r="S58" s="51">
        <f>IFERROR(IF(ISBLANK(R58),S57,IF(ISNUMBER(S57),S57,0)+R58),"")</f>
        <v/>
      </c>
      <c r="T58" s="52">
        <f>IFERROR(IF(OR(ISBLANK(Q58),ISBLANK(L58)),"",Q58*L58*VLOOKUP(C58,設定!$B$9:$D$23,3,FALSE)),"")</f>
        <v/>
      </c>
      <c r="U58" s="46" t="n"/>
      <c r="V58" s="46" t="n"/>
    </row>
    <row r="59">
      <c r="A59" s="53">
        <f>IF(ISBLANK(B59),"",COUNTA($B$18:B59))</f>
        <v/>
      </c>
      <c r="B59" s="54" t="n"/>
      <c r="C59" s="55" t="n"/>
      <c r="D59" s="55" t="n"/>
      <c r="E59" s="53" t="n"/>
      <c r="F59" s="56" t="n"/>
      <c r="G59" s="56" t="n"/>
      <c r="H59" s="56" t="n"/>
      <c r="I59" s="56" t="n"/>
      <c r="J59" s="56" t="n"/>
      <c r="K59" s="56" t="n"/>
      <c r="L59" s="57" t="n"/>
      <c r="M59" s="56" t="n"/>
      <c r="N59" s="55" t="n"/>
      <c r="O59" s="58">
        <f>IFERROR(IF(OR(ISBLANK(G59),ISBLANK(I59)),"",ABS(G59-I59)/VLOOKUP(C59,設定!$B$9:$D$23,2,FALSE)),"")</f>
        <v/>
      </c>
      <c r="P59" s="57">
        <f>IFERROR(IF(OR(ISBLANK(F59),ISBLANK(H59),ISBLANK(J59)),"",ABS(J59-F59)/ABS(F59-H59)),"")</f>
        <v/>
      </c>
      <c r="Q59" s="59">
        <f>IFERROR(IF(OR(ISBLANK(M59),ISBLANK(D59),ISBLANK(G59)),"",IF(D59="Long",(M59-G59),(G59-M59))/VLOOKUP(C59,設定!$B$9:$D$23,2,FALSE)),"")</f>
        <v/>
      </c>
      <c r="R59" s="60">
        <f>IFERROR(IF(OR(ISBLANK(Q59),O59=0),"",Q59/O59),"")</f>
        <v/>
      </c>
      <c r="S59" s="60">
        <f>IFERROR(IF(ISBLANK(R59),S58,IF(ISNUMBER(S58),S58,0)+R59),"")</f>
        <v/>
      </c>
      <c r="T59" s="61">
        <f>IFERROR(IF(OR(ISBLANK(Q59),ISBLANK(L59)),"",Q59*L59*VLOOKUP(C59,設定!$B$9:$D$23,3,FALSE)),"")</f>
        <v/>
      </c>
      <c r="U59" s="55" t="n"/>
      <c r="V59" s="55" t="n"/>
    </row>
    <row r="60">
      <c r="A60" s="44">
        <f>IF(ISBLANK(B60),"",COUNTA($B$18:B60))</f>
        <v/>
      </c>
      <c r="B60" s="45" t="n"/>
      <c r="C60" s="46" t="n"/>
      <c r="D60" s="46" t="n"/>
      <c r="E60" s="44" t="n"/>
      <c r="F60" s="47" t="n"/>
      <c r="G60" s="47" t="n"/>
      <c r="H60" s="47" t="n"/>
      <c r="I60" s="47" t="n"/>
      <c r="J60" s="47" t="n"/>
      <c r="K60" s="47" t="n"/>
      <c r="L60" s="48" t="n"/>
      <c r="M60" s="47" t="n"/>
      <c r="N60" s="46" t="n"/>
      <c r="O60" s="49">
        <f>IFERROR(IF(OR(ISBLANK(G60),ISBLANK(I60)),"",ABS(G60-I60)/VLOOKUP(C60,設定!$B$9:$D$23,2,FALSE)),"")</f>
        <v/>
      </c>
      <c r="P60" s="48">
        <f>IFERROR(IF(OR(ISBLANK(F60),ISBLANK(H60),ISBLANK(J60)),"",ABS(J60-F60)/ABS(F60-H60)),"")</f>
        <v/>
      </c>
      <c r="Q60" s="50">
        <f>IFERROR(IF(OR(ISBLANK(M60),ISBLANK(D60),ISBLANK(G60)),"",IF(D60="Long",(M60-G60),(G60-M60))/VLOOKUP(C60,設定!$B$9:$D$23,2,FALSE)),"")</f>
        <v/>
      </c>
      <c r="R60" s="51">
        <f>IFERROR(IF(OR(ISBLANK(Q60),O60=0),"",Q60/O60),"")</f>
        <v/>
      </c>
      <c r="S60" s="51">
        <f>IFERROR(IF(ISBLANK(R60),S59,IF(ISNUMBER(S59),S59,0)+R60),"")</f>
        <v/>
      </c>
      <c r="T60" s="52">
        <f>IFERROR(IF(OR(ISBLANK(Q60),ISBLANK(L60)),"",Q60*L60*VLOOKUP(C60,設定!$B$9:$D$23,3,FALSE)),"")</f>
        <v/>
      </c>
      <c r="U60" s="46" t="n"/>
      <c r="V60" s="46" t="n"/>
    </row>
    <row r="61">
      <c r="A61" s="53">
        <f>IF(ISBLANK(B61),"",COUNTA($B$18:B61))</f>
        <v/>
      </c>
      <c r="B61" s="54" t="n"/>
      <c r="C61" s="55" t="n"/>
      <c r="D61" s="55" t="n"/>
      <c r="E61" s="53" t="n"/>
      <c r="F61" s="56" t="n"/>
      <c r="G61" s="56" t="n"/>
      <c r="H61" s="56" t="n"/>
      <c r="I61" s="56" t="n"/>
      <c r="J61" s="56" t="n"/>
      <c r="K61" s="56" t="n"/>
      <c r="L61" s="57" t="n"/>
      <c r="M61" s="56" t="n"/>
      <c r="N61" s="55" t="n"/>
      <c r="O61" s="58">
        <f>IFERROR(IF(OR(ISBLANK(G61),ISBLANK(I61)),"",ABS(G61-I61)/VLOOKUP(C61,設定!$B$9:$D$23,2,FALSE)),"")</f>
        <v/>
      </c>
      <c r="P61" s="57">
        <f>IFERROR(IF(OR(ISBLANK(F61),ISBLANK(H61),ISBLANK(J61)),"",ABS(J61-F61)/ABS(F61-H61)),"")</f>
        <v/>
      </c>
      <c r="Q61" s="59">
        <f>IFERROR(IF(OR(ISBLANK(M61),ISBLANK(D61),ISBLANK(G61)),"",IF(D61="Long",(M61-G61),(G61-M61))/VLOOKUP(C61,設定!$B$9:$D$23,2,FALSE)),"")</f>
        <v/>
      </c>
      <c r="R61" s="60">
        <f>IFERROR(IF(OR(ISBLANK(Q61),O61=0),"",Q61/O61),"")</f>
        <v/>
      </c>
      <c r="S61" s="60">
        <f>IFERROR(IF(ISBLANK(R61),S60,IF(ISNUMBER(S60),S60,0)+R61),"")</f>
        <v/>
      </c>
      <c r="T61" s="61">
        <f>IFERROR(IF(OR(ISBLANK(Q61),ISBLANK(L61)),"",Q61*L61*VLOOKUP(C61,設定!$B$9:$D$23,3,FALSE)),"")</f>
        <v/>
      </c>
      <c r="U61" s="55" t="n"/>
      <c r="V61" s="55" t="n"/>
    </row>
    <row r="62">
      <c r="A62" s="44">
        <f>IF(ISBLANK(B62),"",COUNTA($B$18:B62))</f>
        <v/>
      </c>
      <c r="B62" s="45" t="n"/>
      <c r="C62" s="46" t="n"/>
      <c r="D62" s="46" t="n"/>
      <c r="E62" s="44" t="n"/>
      <c r="F62" s="47" t="n"/>
      <c r="G62" s="47" t="n"/>
      <c r="H62" s="47" t="n"/>
      <c r="I62" s="47" t="n"/>
      <c r="J62" s="47" t="n"/>
      <c r="K62" s="47" t="n"/>
      <c r="L62" s="48" t="n"/>
      <c r="M62" s="47" t="n"/>
      <c r="N62" s="46" t="n"/>
      <c r="O62" s="49">
        <f>IFERROR(IF(OR(ISBLANK(G62),ISBLANK(I62)),"",ABS(G62-I62)/VLOOKUP(C62,設定!$B$9:$D$23,2,FALSE)),"")</f>
        <v/>
      </c>
      <c r="P62" s="48">
        <f>IFERROR(IF(OR(ISBLANK(F62),ISBLANK(H62),ISBLANK(J62)),"",ABS(J62-F62)/ABS(F62-H62)),"")</f>
        <v/>
      </c>
      <c r="Q62" s="50">
        <f>IFERROR(IF(OR(ISBLANK(M62),ISBLANK(D62),ISBLANK(G62)),"",IF(D62="Long",(M62-G62),(G62-M62))/VLOOKUP(C62,設定!$B$9:$D$23,2,FALSE)),"")</f>
        <v/>
      </c>
      <c r="R62" s="51">
        <f>IFERROR(IF(OR(ISBLANK(Q62),O62=0),"",Q62/O62),"")</f>
        <v/>
      </c>
      <c r="S62" s="51">
        <f>IFERROR(IF(ISBLANK(R62),S61,IF(ISNUMBER(S61),S61,0)+R62),"")</f>
        <v/>
      </c>
      <c r="T62" s="52">
        <f>IFERROR(IF(OR(ISBLANK(Q62),ISBLANK(L62)),"",Q62*L62*VLOOKUP(C62,設定!$B$9:$D$23,3,FALSE)),"")</f>
        <v/>
      </c>
      <c r="U62" s="46" t="n"/>
      <c r="V62" s="46" t="n"/>
    </row>
    <row r="63">
      <c r="A63" s="53">
        <f>IF(ISBLANK(B63),"",COUNTA($B$18:B63))</f>
        <v/>
      </c>
      <c r="B63" s="54" t="n"/>
      <c r="C63" s="55" t="n"/>
      <c r="D63" s="55" t="n"/>
      <c r="E63" s="53" t="n"/>
      <c r="F63" s="56" t="n"/>
      <c r="G63" s="56" t="n"/>
      <c r="H63" s="56" t="n"/>
      <c r="I63" s="56" t="n"/>
      <c r="J63" s="56" t="n"/>
      <c r="K63" s="56" t="n"/>
      <c r="L63" s="57" t="n"/>
      <c r="M63" s="56" t="n"/>
      <c r="N63" s="55" t="n"/>
      <c r="O63" s="58">
        <f>IFERROR(IF(OR(ISBLANK(G63),ISBLANK(I63)),"",ABS(G63-I63)/VLOOKUP(C63,設定!$B$9:$D$23,2,FALSE)),"")</f>
        <v/>
      </c>
      <c r="P63" s="57">
        <f>IFERROR(IF(OR(ISBLANK(F63),ISBLANK(H63),ISBLANK(J63)),"",ABS(J63-F63)/ABS(F63-H63)),"")</f>
        <v/>
      </c>
      <c r="Q63" s="59">
        <f>IFERROR(IF(OR(ISBLANK(M63),ISBLANK(D63),ISBLANK(G63)),"",IF(D63="Long",(M63-G63),(G63-M63))/VLOOKUP(C63,設定!$B$9:$D$23,2,FALSE)),"")</f>
        <v/>
      </c>
      <c r="R63" s="60">
        <f>IFERROR(IF(OR(ISBLANK(Q63),O63=0),"",Q63/O63),"")</f>
        <v/>
      </c>
      <c r="S63" s="60">
        <f>IFERROR(IF(ISBLANK(R63),S62,IF(ISNUMBER(S62),S62,0)+R63),"")</f>
        <v/>
      </c>
      <c r="T63" s="61">
        <f>IFERROR(IF(OR(ISBLANK(Q63),ISBLANK(L63)),"",Q63*L63*VLOOKUP(C63,設定!$B$9:$D$23,3,FALSE)),"")</f>
        <v/>
      </c>
      <c r="U63" s="55" t="n"/>
      <c r="V63" s="55" t="n"/>
    </row>
    <row r="64">
      <c r="A64" s="44">
        <f>IF(ISBLANK(B64),"",COUNTA($B$18:B64))</f>
        <v/>
      </c>
      <c r="B64" s="45" t="n"/>
      <c r="C64" s="46" t="n"/>
      <c r="D64" s="46" t="n"/>
      <c r="E64" s="44" t="n"/>
      <c r="F64" s="47" t="n"/>
      <c r="G64" s="47" t="n"/>
      <c r="H64" s="47" t="n"/>
      <c r="I64" s="47" t="n"/>
      <c r="J64" s="47" t="n"/>
      <c r="K64" s="47" t="n"/>
      <c r="L64" s="48" t="n"/>
      <c r="M64" s="47" t="n"/>
      <c r="N64" s="46" t="n"/>
      <c r="O64" s="49">
        <f>IFERROR(IF(OR(ISBLANK(G64),ISBLANK(I64)),"",ABS(G64-I64)/VLOOKUP(C64,設定!$B$9:$D$23,2,FALSE)),"")</f>
        <v/>
      </c>
      <c r="P64" s="48">
        <f>IFERROR(IF(OR(ISBLANK(F64),ISBLANK(H64),ISBLANK(J64)),"",ABS(J64-F64)/ABS(F64-H64)),"")</f>
        <v/>
      </c>
      <c r="Q64" s="50">
        <f>IFERROR(IF(OR(ISBLANK(M64),ISBLANK(D64),ISBLANK(G64)),"",IF(D64="Long",(M64-G64),(G64-M64))/VLOOKUP(C64,設定!$B$9:$D$23,2,FALSE)),"")</f>
        <v/>
      </c>
      <c r="R64" s="51">
        <f>IFERROR(IF(OR(ISBLANK(Q64),O64=0),"",Q64/O64),"")</f>
        <v/>
      </c>
      <c r="S64" s="51">
        <f>IFERROR(IF(ISBLANK(R64),S63,IF(ISNUMBER(S63),S63,0)+R64),"")</f>
        <v/>
      </c>
      <c r="T64" s="52">
        <f>IFERROR(IF(OR(ISBLANK(Q64),ISBLANK(L64)),"",Q64*L64*VLOOKUP(C64,設定!$B$9:$D$23,3,FALSE)),"")</f>
        <v/>
      </c>
      <c r="U64" s="46" t="n"/>
      <c r="V64" s="46" t="n"/>
    </row>
    <row r="65">
      <c r="A65" s="53">
        <f>IF(ISBLANK(B65),"",COUNTA($B$18:B65))</f>
        <v/>
      </c>
      <c r="B65" s="54" t="n"/>
      <c r="C65" s="55" t="n"/>
      <c r="D65" s="55" t="n"/>
      <c r="E65" s="53" t="n"/>
      <c r="F65" s="56" t="n"/>
      <c r="G65" s="56" t="n"/>
      <c r="H65" s="56" t="n"/>
      <c r="I65" s="56" t="n"/>
      <c r="J65" s="56" t="n"/>
      <c r="K65" s="56" t="n"/>
      <c r="L65" s="57" t="n"/>
      <c r="M65" s="56" t="n"/>
      <c r="N65" s="55" t="n"/>
      <c r="O65" s="58">
        <f>IFERROR(IF(OR(ISBLANK(G65),ISBLANK(I65)),"",ABS(G65-I65)/VLOOKUP(C65,設定!$B$9:$D$23,2,FALSE)),"")</f>
        <v/>
      </c>
      <c r="P65" s="57">
        <f>IFERROR(IF(OR(ISBLANK(F65),ISBLANK(H65),ISBLANK(J65)),"",ABS(J65-F65)/ABS(F65-H65)),"")</f>
        <v/>
      </c>
      <c r="Q65" s="59">
        <f>IFERROR(IF(OR(ISBLANK(M65),ISBLANK(D65),ISBLANK(G65)),"",IF(D65="Long",(M65-G65),(G65-M65))/VLOOKUP(C65,設定!$B$9:$D$23,2,FALSE)),"")</f>
        <v/>
      </c>
      <c r="R65" s="60">
        <f>IFERROR(IF(OR(ISBLANK(Q65),O65=0),"",Q65/O65),"")</f>
        <v/>
      </c>
      <c r="S65" s="60">
        <f>IFERROR(IF(ISBLANK(R65),S64,IF(ISNUMBER(S64),S64,0)+R65),"")</f>
        <v/>
      </c>
      <c r="T65" s="61">
        <f>IFERROR(IF(OR(ISBLANK(Q65),ISBLANK(L65)),"",Q65*L65*VLOOKUP(C65,設定!$B$9:$D$23,3,FALSE)),"")</f>
        <v/>
      </c>
      <c r="U65" s="55" t="n"/>
      <c r="V65" s="55" t="n"/>
    </row>
    <row r="66">
      <c r="A66" s="44">
        <f>IF(ISBLANK(B66),"",COUNTA($B$18:B66))</f>
        <v/>
      </c>
      <c r="B66" s="45" t="n"/>
      <c r="C66" s="46" t="n"/>
      <c r="D66" s="46" t="n"/>
      <c r="E66" s="44" t="n"/>
      <c r="F66" s="47" t="n"/>
      <c r="G66" s="47" t="n"/>
      <c r="H66" s="47" t="n"/>
      <c r="I66" s="47" t="n"/>
      <c r="J66" s="47" t="n"/>
      <c r="K66" s="47" t="n"/>
      <c r="L66" s="48" t="n"/>
      <c r="M66" s="47" t="n"/>
      <c r="N66" s="46" t="n"/>
      <c r="O66" s="49">
        <f>IFERROR(IF(OR(ISBLANK(G66),ISBLANK(I66)),"",ABS(G66-I66)/VLOOKUP(C66,設定!$B$9:$D$23,2,FALSE)),"")</f>
        <v/>
      </c>
      <c r="P66" s="48">
        <f>IFERROR(IF(OR(ISBLANK(F66),ISBLANK(H66),ISBLANK(J66)),"",ABS(J66-F66)/ABS(F66-H66)),"")</f>
        <v/>
      </c>
      <c r="Q66" s="50">
        <f>IFERROR(IF(OR(ISBLANK(M66),ISBLANK(D66),ISBLANK(G66)),"",IF(D66="Long",(M66-G66),(G66-M66))/VLOOKUP(C66,設定!$B$9:$D$23,2,FALSE)),"")</f>
        <v/>
      </c>
      <c r="R66" s="51">
        <f>IFERROR(IF(OR(ISBLANK(Q66),O66=0),"",Q66/O66),"")</f>
        <v/>
      </c>
      <c r="S66" s="51">
        <f>IFERROR(IF(ISBLANK(R66),S65,IF(ISNUMBER(S65),S65,0)+R66),"")</f>
        <v/>
      </c>
      <c r="T66" s="52">
        <f>IFERROR(IF(OR(ISBLANK(Q66),ISBLANK(L66)),"",Q66*L66*VLOOKUP(C66,設定!$B$9:$D$23,3,FALSE)),"")</f>
        <v/>
      </c>
      <c r="U66" s="46" t="n"/>
      <c r="V66" s="46" t="n"/>
    </row>
    <row r="67">
      <c r="A67" s="53">
        <f>IF(ISBLANK(B67),"",COUNTA($B$18:B67))</f>
        <v/>
      </c>
      <c r="B67" s="54" t="n"/>
      <c r="C67" s="55" t="n"/>
      <c r="D67" s="55" t="n"/>
      <c r="E67" s="53" t="n"/>
      <c r="F67" s="56" t="n"/>
      <c r="G67" s="56" t="n"/>
      <c r="H67" s="56" t="n"/>
      <c r="I67" s="56" t="n"/>
      <c r="J67" s="56" t="n"/>
      <c r="K67" s="56" t="n"/>
      <c r="L67" s="57" t="n"/>
      <c r="M67" s="56" t="n"/>
      <c r="N67" s="55" t="n"/>
      <c r="O67" s="58">
        <f>IFERROR(IF(OR(ISBLANK(G67),ISBLANK(I67)),"",ABS(G67-I67)/VLOOKUP(C67,設定!$B$9:$D$23,2,FALSE)),"")</f>
        <v/>
      </c>
      <c r="P67" s="57">
        <f>IFERROR(IF(OR(ISBLANK(F67),ISBLANK(H67),ISBLANK(J67)),"",ABS(J67-F67)/ABS(F67-H67)),"")</f>
        <v/>
      </c>
      <c r="Q67" s="59">
        <f>IFERROR(IF(OR(ISBLANK(M67),ISBLANK(D67),ISBLANK(G67)),"",IF(D67="Long",(M67-G67),(G67-M67))/VLOOKUP(C67,設定!$B$9:$D$23,2,FALSE)),"")</f>
        <v/>
      </c>
      <c r="R67" s="60">
        <f>IFERROR(IF(OR(ISBLANK(Q67),O67=0),"",Q67/O67),"")</f>
        <v/>
      </c>
      <c r="S67" s="60">
        <f>IFERROR(IF(ISBLANK(R67),S66,IF(ISNUMBER(S66),S66,0)+R67),"")</f>
        <v/>
      </c>
      <c r="T67" s="61">
        <f>IFERROR(IF(OR(ISBLANK(Q67),ISBLANK(L67)),"",Q67*L67*VLOOKUP(C67,設定!$B$9:$D$23,3,FALSE)),"")</f>
        <v/>
      </c>
      <c r="U67" s="55" t="n"/>
      <c r="V67" s="55" t="n"/>
    </row>
    <row r="68">
      <c r="A68" s="44">
        <f>IF(ISBLANK(B68),"",COUNTA($B$18:B68))</f>
        <v/>
      </c>
      <c r="B68" s="45" t="n"/>
      <c r="C68" s="46" t="n"/>
      <c r="D68" s="46" t="n"/>
      <c r="E68" s="44" t="n"/>
      <c r="F68" s="47" t="n"/>
      <c r="G68" s="47" t="n"/>
      <c r="H68" s="47" t="n"/>
      <c r="I68" s="47" t="n"/>
      <c r="J68" s="47" t="n"/>
      <c r="K68" s="47" t="n"/>
      <c r="L68" s="48" t="n"/>
      <c r="M68" s="47" t="n"/>
      <c r="N68" s="46" t="n"/>
      <c r="O68" s="49">
        <f>IFERROR(IF(OR(ISBLANK(G68),ISBLANK(I68)),"",ABS(G68-I68)/VLOOKUP(C68,設定!$B$9:$D$23,2,FALSE)),"")</f>
        <v/>
      </c>
      <c r="P68" s="48">
        <f>IFERROR(IF(OR(ISBLANK(F68),ISBLANK(H68),ISBLANK(J68)),"",ABS(J68-F68)/ABS(F68-H68)),"")</f>
        <v/>
      </c>
      <c r="Q68" s="50">
        <f>IFERROR(IF(OR(ISBLANK(M68),ISBLANK(D68),ISBLANK(G68)),"",IF(D68="Long",(M68-G68),(G68-M68))/VLOOKUP(C68,設定!$B$9:$D$23,2,FALSE)),"")</f>
        <v/>
      </c>
      <c r="R68" s="51">
        <f>IFERROR(IF(OR(ISBLANK(Q68),O68=0),"",Q68/O68),"")</f>
        <v/>
      </c>
      <c r="S68" s="51">
        <f>IFERROR(IF(ISBLANK(R68),S67,IF(ISNUMBER(S67),S67,0)+R68),"")</f>
        <v/>
      </c>
      <c r="T68" s="52">
        <f>IFERROR(IF(OR(ISBLANK(Q68),ISBLANK(L68)),"",Q68*L68*VLOOKUP(C68,設定!$B$9:$D$23,3,FALSE)),"")</f>
        <v/>
      </c>
      <c r="U68" s="46" t="n"/>
      <c r="V68" s="46" t="n"/>
    </row>
    <row r="69">
      <c r="A69" s="53">
        <f>IF(ISBLANK(B69),"",COUNTA($B$18:B69))</f>
        <v/>
      </c>
      <c r="B69" s="54" t="n"/>
      <c r="C69" s="55" t="n"/>
      <c r="D69" s="55" t="n"/>
      <c r="E69" s="53" t="n"/>
      <c r="F69" s="56" t="n"/>
      <c r="G69" s="56" t="n"/>
      <c r="H69" s="56" t="n"/>
      <c r="I69" s="56" t="n"/>
      <c r="J69" s="56" t="n"/>
      <c r="K69" s="56" t="n"/>
      <c r="L69" s="57" t="n"/>
      <c r="M69" s="56" t="n"/>
      <c r="N69" s="55" t="n"/>
      <c r="O69" s="58">
        <f>IFERROR(IF(OR(ISBLANK(G69),ISBLANK(I69)),"",ABS(G69-I69)/VLOOKUP(C69,設定!$B$9:$D$23,2,FALSE)),"")</f>
        <v/>
      </c>
      <c r="P69" s="57">
        <f>IFERROR(IF(OR(ISBLANK(F69),ISBLANK(H69),ISBLANK(J69)),"",ABS(J69-F69)/ABS(F69-H69)),"")</f>
        <v/>
      </c>
      <c r="Q69" s="59">
        <f>IFERROR(IF(OR(ISBLANK(M69),ISBLANK(D69),ISBLANK(G69)),"",IF(D69="Long",(M69-G69),(G69-M69))/VLOOKUP(C69,設定!$B$9:$D$23,2,FALSE)),"")</f>
        <v/>
      </c>
      <c r="R69" s="60">
        <f>IFERROR(IF(OR(ISBLANK(Q69),O69=0),"",Q69/O69),"")</f>
        <v/>
      </c>
      <c r="S69" s="60">
        <f>IFERROR(IF(ISBLANK(R69),S68,IF(ISNUMBER(S68),S68,0)+R69),"")</f>
        <v/>
      </c>
      <c r="T69" s="61">
        <f>IFERROR(IF(OR(ISBLANK(Q69),ISBLANK(L69)),"",Q69*L69*VLOOKUP(C69,設定!$B$9:$D$23,3,FALSE)),"")</f>
        <v/>
      </c>
      <c r="U69" s="55" t="n"/>
      <c r="V69" s="55" t="n"/>
    </row>
    <row r="70">
      <c r="A70" s="44">
        <f>IF(ISBLANK(B70),"",COUNTA($B$18:B70))</f>
        <v/>
      </c>
      <c r="B70" s="45" t="n"/>
      <c r="C70" s="46" t="n"/>
      <c r="D70" s="46" t="n"/>
      <c r="E70" s="44" t="n"/>
      <c r="F70" s="47" t="n"/>
      <c r="G70" s="47" t="n"/>
      <c r="H70" s="47" t="n"/>
      <c r="I70" s="47" t="n"/>
      <c r="J70" s="47" t="n"/>
      <c r="K70" s="47" t="n"/>
      <c r="L70" s="48" t="n"/>
      <c r="M70" s="47" t="n"/>
      <c r="N70" s="46" t="n"/>
      <c r="O70" s="49">
        <f>IFERROR(IF(OR(ISBLANK(G70),ISBLANK(I70)),"",ABS(G70-I70)/VLOOKUP(C70,設定!$B$9:$D$23,2,FALSE)),"")</f>
        <v/>
      </c>
      <c r="P70" s="48">
        <f>IFERROR(IF(OR(ISBLANK(F70),ISBLANK(H70),ISBLANK(J70)),"",ABS(J70-F70)/ABS(F70-H70)),"")</f>
        <v/>
      </c>
      <c r="Q70" s="50">
        <f>IFERROR(IF(OR(ISBLANK(M70),ISBLANK(D70),ISBLANK(G70)),"",IF(D70="Long",(M70-G70),(G70-M70))/VLOOKUP(C70,設定!$B$9:$D$23,2,FALSE)),"")</f>
        <v/>
      </c>
      <c r="R70" s="51">
        <f>IFERROR(IF(OR(ISBLANK(Q70),O70=0),"",Q70/O70),"")</f>
        <v/>
      </c>
      <c r="S70" s="51">
        <f>IFERROR(IF(ISBLANK(R70),S69,IF(ISNUMBER(S69),S69,0)+R70),"")</f>
        <v/>
      </c>
      <c r="T70" s="52">
        <f>IFERROR(IF(OR(ISBLANK(Q70),ISBLANK(L70)),"",Q70*L70*VLOOKUP(C70,設定!$B$9:$D$23,3,FALSE)),"")</f>
        <v/>
      </c>
      <c r="U70" s="46" t="n"/>
      <c r="V70" s="46" t="n"/>
    </row>
    <row r="71">
      <c r="A71" s="53">
        <f>IF(ISBLANK(B71),"",COUNTA($B$18:B71))</f>
        <v/>
      </c>
      <c r="B71" s="54" t="n"/>
      <c r="C71" s="55" t="n"/>
      <c r="D71" s="55" t="n"/>
      <c r="E71" s="53" t="n"/>
      <c r="F71" s="56" t="n"/>
      <c r="G71" s="56" t="n"/>
      <c r="H71" s="56" t="n"/>
      <c r="I71" s="56" t="n"/>
      <c r="J71" s="56" t="n"/>
      <c r="K71" s="56" t="n"/>
      <c r="L71" s="57" t="n"/>
      <c r="M71" s="56" t="n"/>
      <c r="N71" s="55" t="n"/>
      <c r="O71" s="58">
        <f>IFERROR(IF(OR(ISBLANK(G71),ISBLANK(I71)),"",ABS(G71-I71)/VLOOKUP(C71,設定!$B$9:$D$23,2,FALSE)),"")</f>
        <v/>
      </c>
      <c r="P71" s="57">
        <f>IFERROR(IF(OR(ISBLANK(F71),ISBLANK(H71),ISBLANK(J71)),"",ABS(J71-F71)/ABS(F71-H71)),"")</f>
        <v/>
      </c>
      <c r="Q71" s="59">
        <f>IFERROR(IF(OR(ISBLANK(M71),ISBLANK(D71),ISBLANK(G71)),"",IF(D71="Long",(M71-G71),(G71-M71))/VLOOKUP(C71,設定!$B$9:$D$23,2,FALSE)),"")</f>
        <v/>
      </c>
      <c r="R71" s="60">
        <f>IFERROR(IF(OR(ISBLANK(Q71),O71=0),"",Q71/O71),"")</f>
        <v/>
      </c>
      <c r="S71" s="60">
        <f>IFERROR(IF(ISBLANK(R71),S70,IF(ISNUMBER(S70),S70,0)+R71),"")</f>
        <v/>
      </c>
      <c r="T71" s="61">
        <f>IFERROR(IF(OR(ISBLANK(Q71),ISBLANK(L71)),"",Q71*L71*VLOOKUP(C71,設定!$B$9:$D$23,3,FALSE)),"")</f>
        <v/>
      </c>
      <c r="U71" s="55" t="n"/>
      <c r="V71" s="55" t="n"/>
    </row>
    <row r="72">
      <c r="A72" s="44">
        <f>IF(ISBLANK(B72),"",COUNTA($B$18:B72))</f>
        <v/>
      </c>
      <c r="B72" s="45" t="n"/>
      <c r="C72" s="46" t="n"/>
      <c r="D72" s="46" t="n"/>
      <c r="E72" s="44" t="n"/>
      <c r="F72" s="47" t="n"/>
      <c r="G72" s="47" t="n"/>
      <c r="H72" s="47" t="n"/>
      <c r="I72" s="47" t="n"/>
      <c r="J72" s="47" t="n"/>
      <c r="K72" s="47" t="n"/>
      <c r="L72" s="48" t="n"/>
      <c r="M72" s="47" t="n"/>
      <c r="N72" s="46" t="n"/>
      <c r="O72" s="49">
        <f>IFERROR(IF(OR(ISBLANK(G72),ISBLANK(I72)),"",ABS(G72-I72)/VLOOKUP(C72,設定!$B$9:$D$23,2,FALSE)),"")</f>
        <v/>
      </c>
      <c r="P72" s="48">
        <f>IFERROR(IF(OR(ISBLANK(F72),ISBLANK(H72),ISBLANK(J72)),"",ABS(J72-F72)/ABS(F72-H72)),"")</f>
        <v/>
      </c>
      <c r="Q72" s="50">
        <f>IFERROR(IF(OR(ISBLANK(M72),ISBLANK(D72),ISBLANK(G72)),"",IF(D72="Long",(M72-G72),(G72-M72))/VLOOKUP(C72,設定!$B$9:$D$23,2,FALSE)),"")</f>
        <v/>
      </c>
      <c r="R72" s="51">
        <f>IFERROR(IF(OR(ISBLANK(Q72),O72=0),"",Q72/O72),"")</f>
        <v/>
      </c>
      <c r="S72" s="51">
        <f>IFERROR(IF(ISBLANK(R72),S71,IF(ISNUMBER(S71),S71,0)+R72),"")</f>
        <v/>
      </c>
      <c r="T72" s="52">
        <f>IFERROR(IF(OR(ISBLANK(Q72),ISBLANK(L72)),"",Q72*L72*VLOOKUP(C72,設定!$B$9:$D$23,3,FALSE)),"")</f>
        <v/>
      </c>
      <c r="U72" s="46" t="n"/>
      <c r="V72" s="46" t="n"/>
    </row>
    <row r="73">
      <c r="A73" s="53">
        <f>IF(ISBLANK(B73),"",COUNTA($B$18:B73))</f>
        <v/>
      </c>
      <c r="B73" s="54" t="n"/>
      <c r="C73" s="55" t="n"/>
      <c r="D73" s="55" t="n"/>
      <c r="E73" s="53" t="n"/>
      <c r="F73" s="56" t="n"/>
      <c r="G73" s="56" t="n"/>
      <c r="H73" s="56" t="n"/>
      <c r="I73" s="56" t="n"/>
      <c r="J73" s="56" t="n"/>
      <c r="K73" s="56" t="n"/>
      <c r="L73" s="57" t="n"/>
      <c r="M73" s="56" t="n"/>
      <c r="N73" s="55" t="n"/>
      <c r="O73" s="58">
        <f>IFERROR(IF(OR(ISBLANK(G73),ISBLANK(I73)),"",ABS(G73-I73)/VLOOKUP(C73,設定!$B$9:$D$23,2,FALSE)),"")</f>
        <v/>
      </c>
      <c r="P73" s="57">
        <f>IFERROR(IF(OR(ISBLANK(F73),ISBLANK(H73),ISBLANK(J73)),"",ABS(J73-F73)/ABS(F73-H73)),"")</f>
        <v/>
      </c>
      <c r="Q73" s="59">
        <f>IFERROR(IF(OR(ISBLANK(M73),ISBLANK(D73),ISBLANK(G73)),"",IF(D73="Long",(M73-G73),(G73-M73))/VLOOKUP(C73,設定!$B$9:$D$23,2,FALSE)),"")</f>
        <v/>
      </c>
      <c r="R73" s="60">
        <f>IFERROR(IF(OR(ISBLANK(Q73),O73=0),"",Q73/O73),"")</f>
        <v/>
      </c>
      <c r="S73" s="60">
        <f>IFERROR(IF(ISBLANK(R73),S72,IF(ISNUMBER(S72),S72,0)+R73),"")</f>
        <v/>
      </c>
      <c r="T73" s="61">
        <f>IFERROR(IF(OR(ISBLANK(Q73),ISBLANK(L73)),"",Q73*L73*VLOOKUP(C73,設定!$B$9:$D$23,3,FALSE)),"")</f>
        <v/>
      </c>
      <c r="U73" s="55" t="n"/>
      <c r="V73" s="55" t="n"/>
    </row>
    <row r="74">
      <c r="A74" s="44">
        <f>IF(ISBLANK(B74),"",COUNTA($B$18:B74))</f>
        <v/>
      </c>
      <c r="B74" s="45" t="n"/>
      <c r="C74" s="46" t="n"/>
      <c r="D74" s="46" t="n"/>
      <c r="E74" s="44" t="n"/>
      <c r="F74" s="47" t="n"/>
      <c r="G74" s="47" t="n"/>
      <c r="H74" s="47" t="n"/>
      <c r="I74" s="47" t="n"/>
      <c r="J74" s="47" t="n"/>
      <c r="K74" s="47" t="n"/>
      <c r="L74" s="48" t="n"/>
      <c r="M74" s="47" t="n"/>
      <c r="N74" s="46" t="n"/>
      <c r="O74" s="49">
        <f>IFERROR(IF(OR(ISBLANK(G74),ISBLANK(I74)),"",ABS(G74-I74)/VLOOKUP(C74,設定!$B$9:$D$23,2,FALSE)),"")</f>
        <v/>
      </c>
      <c r="P74" s="48">
        <f>IFERROR(IF(OR(ISBLANK(F74),ISBLANK(H74),ISBLANK(J74)),"",ABS(J74-F74)/ABS(F74-H74)),"")</f>
        <v/>
      </c>
      <c r="Q74" s="50">
        <f>IFERROR(IF(OR(ISBLANK(M74),ISBLANK(D74),ISBLANK(G74)),"",IF(D74="Long",(M74-G74),(G74-M74))/VLOOKUP(C74,設定!$B$9:$D$23,2,FALSE)),"")</f>
        <v/>
      </c>
      <c r="R74" s="51">
        <f>IFERROR(IF(OR(ISBLANK(Q74),O74=0),"",Q74/O74),"")</f>
        <v/>
      </c>
      <c r="S74" s="51">
        <f>IFERROR(IF(ISBLANK(R74),S73,IF(ISNUMBER(S73),S73,0)+R74),"")</f>
        <v/>
      </c>
      <c r="T74" s="52">
        <f>IFERROR(IF(OR(ISBLANK(Q74),ISBLANK(L74)),"",Q74*L74*VLOOKUP(C74,設定!$B$9:$D$23,3,FALSE)),"")</f>
        <v/>
      </c>
      <c r="U74" s="46" t="n"/>
      <c r="V74" s="46" t="n"/>
    </row>
    <row r="75">
      <c r="A75" s="53">
        <f>IF(ISBLANK(B75),"",COUNTA($B$18:B75))</f>
        <v/>
      </c>
      <c r="B75" s="54" t="n"/>
      <c r="C75" s="55" t="n"/>
      <c r="D75" s="55" t="n"/>
      <c r="E75" s="53" t="n"/>
      <c r="F75" s="56" t="n"/>
      <c r="G75" s="56" t="n"/>
      <c r="H75" s="56" t="n"/>
      <c r="I75" s="56" t="n"/>
      <c r="J75" s="56" t="n"/>
      <c r="K75" s="56" t="n"/>
      <c r="L75" s="57" t="n"/>
      <c r="M75" s="56" t="n"/>
      <c r="N75" s="55" t="n"/>
      <c r="O75" s="58">
        <f>IFERROR(IF(OR(ISBLANK(G75),ISBLANK(I75)),"",ABS(G75-I75)/VLOOKUP(C75,設定!$B$9:$D$23,2,FALSE)),"")</f>
        <v/>
      </c>
      <c r="P75" s="57">
        <f>IFERROR(IF(OR(ISBLANK(F75),ISBLANK(H75),ISBLANK(J75)),"",ABS(J75-F75)/ABS(F75-H75)),"")</f>
        <v/>
      </c>
      <c r="Q75" s="59">
        <f>IFERROR(IF(OR(ISBLANK(M75),ISBLANK(D75),ISBLANK(G75)),"",IF(D75="Long",(M75-G75),(G75-M75))/VLOOKUP(C75,設定!$B$9:$D$23,2,FALSE)),"")</f>
        <v/>
      </c>
      <c r="R75" s="60">
        <f>IFERROR(IF(OR(ISBLANK(Q75),O75=0),"",Q75/O75),"")</f>
        <v/>
      </c>
      <c r="S75" s="60">
        <f>IFERROR(IF(ISBLANK(R75),S74,IF(ISNUMBER(S74),S74,0)+R75),"")</f>
        <v/>
      </c>
      <c r="T75" s="61">
        <f>IFERROR(IF(OR(ISBLANK(Q75),ISBLANK(L75)),"",Q75*L75*VLOOKUP(C75,設定!$B$9:$D$23,3,FALSE)),"")</f>
        <v/>
      </c>
      <c r="U75" s="55" t="n"/>
      <c r="V75" s="55" t="n"/>
    </row>
    <row r="76">
      <c r="A76" s="44">
        <f>IF(ISBLANK(B76),"",COUNTA($B$18:B76))</f>
        <v/>
      </c>
      <c r="B76" s="45" t="n"/>
      <c r="C76" s="46" t="n"/>
      <c r="D76" s="46" t="n"/>
      <c r="E76" s="44" t="n"/>
      <c r="F76" s="47" t="n"/>
      <c r="G76" s="47" t="n"/>
      <c r="H76" s="47" t="n"/>
      <c r="I76" s="47" t="n"/>
      <c r="J76" s="47" t="n"/>
      <c r="K76" s="47" t="n"/>
      <c r="L76" s="48" t="n"/>
      <c r="M76" s="47" t="n"/>
      <c r="N76" s="46" t="n"/>
      <c r="O76" s="49">
        <f>IFERROR(IF(OR(ISBLANK(G76),ISBLANK(I76)),"",ABS(G76-I76)/VLOOKUP(C76,設定!$B$9:$D$23,2,FALSE)),"")</f>
        <v/>
      </c>
      <c r="P76" s="48">
        <f>IFERROR(IF(OR(ISBLANK(F76),ISBLANK(H76),ISBLANK(J76)),"",ABS(J76-F76)/ABS(F76-H76)),"")</f>
        <v/>
      </c>
      <c r="Q76" s="50">
        <f>IFERROR(IF(OR(ISBLANK(M76),ISBLANK(D76),ISBLANK(G76)),"",IF(D76="Long",(M76-G76),(G76-M76))/VLOOKUP(C76,設定!$B$9:$D$23,2,FALSE)),"")</f>
        <v/>
      </c>
      <c r="R76" s="51">
        <f>IFERROR(IF(OR(ISBLANK(Q76),O76=0),"",Q76/O76),"")</f>
        <v/>
      </c>
      <c r="S76" s="51">
        <f>IFERROR(IF(ISBLANK(R76),S75,IF(ISNUMBER(S75),S75,0)+R76),"")</f>
        <v/>
      </c>
      <c r="T76" s="52">
        <f>IFERROR(IF(OR(ISBLANK(Q76),ISBLANK(L76)),"",Q76*L76*VLOOKUP(C76,設定!$B$9:$D$23,3,FALSE)),"")</f>
        <v/>
      </c>
      <c r="U76" s="46" t="n"/>
      <c r="V76" s="46" t="n"/>
    </row>
    <row r="77">
      <c r="A77" s="53">
        <f>IF(ISBLANK(B77),"",COUNTA($B$18:B77))</f>
        <v/>
      </c>
      <c r="B77" s="54" t="n"/>
      <c r="C77" s="55" t="n"/>
      <c r="D77" s="55" t="n"/>
      <c r="E77" s="53" t="n"/>
      <c r="F77" s="56" t="n"/>
      <c r="G77" s="56" t="n"/>
      <c r="H77" s="56" t="n"/>
      <c r="I77" s="56" t="n"/>
      <c r="J77" s="56" t="n"/>
      <c r="K77" s="56" t="n"/>
      <c r="L77" s="57" t="n"/>
      <c r="M77" s="56" t="n"/>
      <c r="N77" s="55" t="n"/>
      <c r="O77" s="58">
        <f>IFERROR(IF(OR(ISBLANK(G77),ISBLANK(I77)),"",ABS(G77-I77)/VLOOKUP(C77,設定!$B$9:$D$23,2,FALSE)),"")</f>
        <v/>
      </c>
      <c r="P77" s="57">
        <f>IFERROR(IF(OR(ISBLANK(F77),ISBLANK(H77),ISBLANK(J77)),"",ABS(J77-F77)/ABS(F77-H77)),"")</f>
        <v/>
      </c>
      <c r="Q77" s="59">
        <f>IFERROR(IF(OR(ISBLANK(M77),ISBLANK(D77),ISBLANK(G77)),"",IF(D77="Long",(M77-G77),(G77-M77))/VLOOKUP(C77,設定!$B$9:$D$23,2,FALSE)),"")</f>
        <v/>
      </c>
      <c r="R77" s="60">
        <f>IFERROR(IF(OR(ISBLANK(Q77),O77=0),"",Q77/O77),"")</f>
        <v/>
      </c>
      <c r="S77" s="60">
        <f>IFERROR(IF(ISBLANK(R77),S76,IF(ISNUMBER(S76),S76,0)+R77),"")</f>
        <v/>
      </c>
      <c r="T77" s="61">
        <f>IFERROR(IF(OR(ISBLANK(Q77),ISBLANK(L77)),"",Q77*L77*VLOOKUP(C77,設定!$B$9:$D$23,3,FALSE)),"")</f>
        <v/>
      </c>
      <c r="U77" s="55" t="n"/>
      <c r="V77" s="55" t="n"/>
    </row>
    <row r="78">
      <c r="A78" s="44">
        <f>IF(ISBLANK(B78),"",COUNTA($B$18:B78))</f>
        <v/>
      </c>
      <c r="B78" s="45" t="n"/>
      <c r="C78" s="46" t="n"/>
      <c r="D78" s="46" t="n"/>
      <c r="E78" s="44" t="n"/>
      <c r="F78" s="47" t="n"/>
      <c r="G78" s="47" t="n"/>
      <c r="H78" s="47" t="n"/>
      <c r="I78" s="47" t="n"/>
      <c r="J78" s="47" t="n"/>
      <c r="K78" s="47" t="n"/>
      <c r="L78" s="48" t="n"/>
      <c r="M78" s="47" t="n"/>
      <c r="N78" s="46" t="n"/>
      <c r="O78" s="49">
        <f>IFERROR(IF(OR(ISBLANK(G78),ISBLANK(I78)),"",ABS(G78-I78)/VLOOKUP(C78,設定!$B$9:$D$23,2,FALSE)),"")</f>
        <v/>
      </c>
      <c r="P78" s="48">
        <f>IFERROR(IF(OR(ISBLANK(F78),ISBLANK(H78),ISBLANK(J78)),"",ABS(J78-F78)/ABS(F78-H78)),"")</f>
        <v/>
      </c>
      <c r="Q78" s="50">
        <f>IFERROR(IF(OR(ISBLANK(M78),ISBLANK(D78),ISBLANK(G78)),"",IF(D78="Long",(M78-G78),(G78-M78))/VLOOKUP(C78,設定!$B$9:$D$23,2,FALSE)),"")</f>
        <v/>
      </c>
      <c r="R78" s="51">
        <f>IFERROR(IF(OR(ISBLANK(Q78),O78=0),"",Q78/O78),"")</f>
        <v/>
      </c>
      <c r="S78" s="51">
        <f>IFERROR(IF(ISBLANK(R78),S77,IF(ISNUMBER(S77),S77,0)+R78),"")</f>
        <v/>
      </c>
      <c r="T78" s="52">
        <f>IFERROR(IF(OR(ISBLANK(Q78),ISBLANK(L78)),"",Q78*L78*VLOOKUP(C78,設定!$B$9:$D$23,3,FALSE)),"")</f>
        <v/>
      </c>
      <c r="U78" s="46" t="n"/>
      <c r="V78" s="46" t="n"/>
    </row>
    <row r="79">
      <c r="A79" s="53">
        <f>IF(ISBLANK(B79),"",COUNTA($B$18:B79))</f>
        <v/>
      </c>
      <c r="B79" s="54" t="n"/>
      <c r="C79" s="55" t="n"/>
      <c r="D79" s="55" t="n"/>
      <c r="E79" s="53" t="n"/>
      <c r="F79" s="56" t="n"/>
      <c r="G79" s="56" t="n"/>
      <c r="H79" s="56" t="n"/>
      <c r="I79" s="56" t="n"/>
      <c r="J79" s="56" t="n"/>
      <c r="K79" s="56" t="n"/>
      <c r="L79" s="57" t="n"/>
      <c r="M79" s="56" t="n"/>
      <c r="N79" s="55" t="n"/>
      <c r="O79" s="58">
        <f>IFERROR(IF(OR(ISBLANK(G79),ISBLANK(I79)),"",ABS(G79-I79)/VLOOKUP(C79,設定!$B$9:$D$23,2,FALSE)),"")</f>
        <v/>
      </c>
      <c r="P79" s="57">
        <f>IFERROR(IF(OR(ISBLANK(F79),ISBLANK(H79),ISBLANK(J79)),"",ABS(J79-F79)/ABS(F79-H79)),"")</f>
        <v/>
      </c>
      <c r="Q79" s="59">
        <f>IFERROR(IF(OR(ISBLANK(M79),ISBLANK(D79),ISBLANK(G79)),"",IF(D79="Long",(M79-G79),(G79-M79))/VLOOKUP(C79,設定!$B$9:$D$23,2,FALSE)),"")</f>
        <v/>
      </c>
      <c r="R79" s="60">
        <f>IFERROR(IF(OR(ISBLANK(Q79),O79=0),"",Q79/O79),"")</f>
        <v/>
      </c>
      <c r="S79" s="60">
        <f>IFERROR(IF(ISBLANK(R79),S78,IF(ISNUMBER(S78),S78,0)+R79),"")</f>
        <v/>
      </c>
      <c r="T79" s="61">
        <f>IFERROR(IF(OR(ISBLANK(Q79),ISBLANK(L79)),"",Q79*L79*VLOOKUP(C79,設定!$B$9:$D$23,3,FALSE)),"")</f>
        <v/>
      </c>
      <c r="U79" s="55" t="n"/>
      <c r="V79" s="55" t="n"/>
    </row>
    <row r="80">
      <c r="A80" s="44">
        <f>IF(ISBLANK(B80),"",COUNTA($B$18:B80))</f>
        <v/>
      </c>
      <c r="B80" s="45" t="n"/>
      <c r="C80" s="46" t="n"/>
      <c r="D80" s="46" t="n"/>
      <c r="E80" s="44" t="n"/>
      <c r="F80" s="47" t="n"/>
      <c r="G80" s="47" t="n"/>
      <c r="H80" s="47" t="n"/>
      <c r="I80" s="47" t="n"/>
      <c r="J80" s="47" t="n"/>
      <c r="K80" s="47" t="n"/>
      <c r="L80" s="48" t="n"/>
      <c r="M80" s="47" t="n"/>
      <c r="N80" s="46" t="n"/>
      <c r="O80" s="49">
        <f>IFERROR(IF(OR(ISBLANK(G80),ISBLANK(I80)),"",ABS(G80-I80)/VLOOKUP(C80,設定!$B$9:$D$23,2,FALSE)),"")</f>
        <v/>
      </c>
      <c r="P80" s="48">
        <f>IFERROR(IF(OR(ISBLANK(F80),ISBLANK(H80),ISBLANK(J80)),"",ABS(J80-F80)/ABS(F80-H80)),"")</f>
        <v/>
      </c>
      <c r="Q80" s="50">
        <f>IFERROR(IF(OR(ISBLANK(M80),ISBLANK(D80),ISBLANK(G80)),"",IF(D80="Long",(M80-G80),(G80-M80))/VLOOKUP(C80,設定!$B$9:$D$23,2,FALSE)),"")</f>
        <v/>
      </c>
      <c r="R80" s="51">
        <f>IFERROR(IF(OR(ISBLANK(Q80),O80=0),"",Q80/O80),"")</f>
        <v/>
      </c>
      <c r="S80" s="51">
        <f>IFERROR(IF(ISBLANK(R80),S79,IF(ISNUMBER(S79),S79,0)+R80),"")</f>
        <v/>
      </c>
      <c r="T80" s="52">
        <f>IFERROR(IF(OR(ISBLANK(Q80),ISBLANK(L80)),"",Q80*L80*VLOOKUP(C80,設定!$B$9:$D$23,3,FALSE)),"")</f>
        <v/>
      </c>
      <c r="U80" s="46" t="n"/>
      <c r="V80" s="46" t="n"/>
    </row>
    <row r="81">
      <c r="A81" s="53">
        <f>IF(ISBLANK(B81),"",COUNTA($B$18:B81))</f>
        <v/>
      </c>
      <c r="B81" s="54" t="n"/>
      <c r="C81" s="55" t="n"/>
      <c r="D81" s="55" t="n"/>
      <c r="E81" s="53" t="n"/>
      <c r="F81" s="56" t="n"/>
      <c r="G81" s="56" t="n"/>
      <c r="H81" s="56" t="n"/>
      <c r="I81" s="56" t="n"/>
      <c r="J81" s="56" t="n"/>
      <c r="K81" s="56" t="n"/>
      <c r="L81" s="57" t="n"/>
      <c r="M81" s="56" t="n"/>
      <c r="N81" s="55" t="n"/>
      <c r="O81" s="58">
        <f>IFERROR(IF(OR(ISBLANK(G81),ISBLANK(I81)),"",ABS(G81-I81)/VLOOKUP(C81,設定!$B$9:$D$23,2,FALSE)),"")</f>
        <v/>
      </c>
      <c r="P81" s="57">
        <f>IFERROR(IF(OR(ISBLANK(F81),ISBLANK(H81),ISBLANK(J81)),"",ABS(J81-F81)/ABS(F81-H81)),"")</f>
        <v/>
      </c>
      <c r="Q81" s="59">
        <f>IFERROR(IF(OR(ISBLANK(M81),ISBLANK(D81),ISBLANK(G81)),"",IF(D81="Long",(M81-G81),(G81-M81))/VLOOKUP(C81,設定!$B$9:$D$23,2,FALSE)),"")</f>
        <v/>
      </c>
      <c r="R81" s="60">
        <f>IFERROR(IF(OR(ISBLANK(Q81),O81=0),"",Q81/O81),"")</f>
        <v/>
      </c>
      <c r="S81" s="60">
        <f>IFERROR(IF(ISBLANK(R81),S80,IF(ISNUMBER(S80),S80,0)+R81),"")</f>
        <v/>
      </c>
      <c r="T81" s="61">
        <f>IFERROR(IF(OR(ISBLANK(Q81),ISBLANK(L81)),"",Q81*L81*VLOOKUP(C81,設定!$B$9:$D$23,3,FALSE)),"")</f>
        <v/>
      </c>
      <c r="U81" s="55" t="n"/>
      <c r="V81" s="55" t="n"/>
    </row>
    <row r="82">
      <c r="A82" s="44">
        <f>IF(ISBLANK(B82),"",COUNTA($B$18:B82))</f>
        <v/>
      </c>
      <c r="B82" s="45" t="n"/>
      <c r="C82" s="46" t="n"/>
      <c r="D82" s="46" t="n"/>
      <c r="E82" s="44" t="n"/>
      <c r="F82" s="47" t="n"/>
      <c r="G82" s="47" t="n"/>
      <c r="H82" s="47" t="n"/>
      <c r="I82" s="47" t="n"/>
      <c r="J82" s="47" t="n"/>
      <c r="K82" s="47" t="n"/>
      <c r="L82" s="48" t="n"/>
      <c r="M82" s="47" t="n"/>
      <c r="N82" s="46" t="n"/>
      <c r="O82" s="49">
        <f>IFERROR(IF(OR(ISBLANK(G82),ISBLANK(I82)),"",ABS(G82-I82)/VLOOKUP(C82,設定!$B$9:$D$23,2,FALSE)),"")</f>
        <v/>
      </c>
      <c r="P82" s="48">
        <f>IFERROR(IF(OR(ISBLANK(F82),ISBLANK(H82),ISBLANK(J82)),"",ABS(J82-F82)/ABS(F82-H82)),"")</f>
        <v/>
      </c>
      <c r="Q82" s="50">
        <f>IFERROR(IF(OR(ISBLANK(M82),ISBLANK(D82),ISBLANK(G82)),"",IF(D82="Long",(M82-G82),(G82-M82))/VLOOKUP(C82,設定!$B$9:$D$23,2,FALSE)),"")</f>
        <v/>
      </c>
      <c r="R82" s="51">
        <f>IFERROR(IF(OR(ISBLANK(Q82),O82=0),"",Q82/O82),"")</f>
        <v/>
      </c>
      <c r="S82" s="51">
        <f>IFERROR(IF(ISBLANK(R82),S81,IF(ISNUMBER(S81),S81,0)+R82),"")</f>
        <v/>
      </c>
      <c r="T82" s="52">
        <f>IFERROR(IF(OR(ISBLANK(Q82),ISBLANK(L82)),"",Q82*L82*VLOOKUP(C82,設定!$B$9:$D$23,3,FALSE)),"")</f>
        <v/>
      </c>
      <c r="U82" s="46" t="n"/>
      <c r="V82" s="46" t="n"/>
    </row>
    <row r="83">
      <c r="A83" s="53">
        <f>IF(ISBLANK(B83),"",COUNTA($B$18:B83))</f>
        <v/>
      </c>
      <c r="B83" s="54" t="n"/>
      <c r="C83" s="55" t="n"/>
      <c r="D83" s="55" t="n"/>
      <c r="E83" s="53" t="n"/>
      <c r="F83" s="56" t="n"/>
      <c r="G83" s="56" t="n"/>
      <c r="H83" s="56" t="n"/>
      <c r="I83" s="56" t="n"/>
      <c r="J83" s="56" t="n"/>
      <c r="K83" s="56" t="n"/>
      <c r="L83" s="57" t="n"/>
      <c r="M83" s="56" t="n"/>
      <c r="N83" s="55" t="n"/>
      <c r="O83" s="58">
        <f>IFERROR(IF(OR(ISBLANK(G83),ISBLANK(I83)),"",ABS(G83-I83)/VLOOKUP(C83,設定!$B$9:$D$23,2,FALSE)),"")</f>
        <v/>
      </c>
      <c r="P83" s="57">
        <f>IFERROR(IF(OR(ISBLANK(F83),ISBLANK(H83),ISBLANK(J83)),"",ABS(J83-F83)/ABS(F83-H83)),"")</f>
        <v/>
      </c>
      <c r="Q83" s="59">
        <f>IFERROR(IF(OR(ISBLANK(M83),ISBLANK(D83),ISBLANK(G83)),"",IF(D83="Long",(M83-G83),(G83-M83))/VLOOKUP(C83,設定!$B$9:$D$23,2,FALSE)),"")</f>
        <v/>
      </c>
      <c r="R83" s="60">
        <f>IFERROR(IF(OR(ISBLANK(Q83),O83=0),"",Q83/O83),"")</f>
        <v/>
      </c>
      <c r="S83" s="60">
        <f>IFERROR(IF(ISBLANK(R83),S82,IF(ISNUMBER(S82),S82,0)+R83),"")</f>
        <v/>
      </c>
      <c r="T83" s="61">
        <f>IFERROR(IF(OR(ISBLANK(Q83),ISBLANK(L83)),"",Q83*L83*VLOOKUP(C83,設定!$B$9:$D$23,3,FALSE)),"")</f>
        <v/>
      </c>
      <c r="U83" s="55" t="n"/>
      <c r="V83" s="55" t="n"/>
    </row>
    <row r="84">
      <c r="A84" s="44">
        <f>IF(ISBLANK(B84),"",COUNTA($B$18:B84))</f>
        <v/>
      </c>
      <c r="B84" s="45" t="n"/>
      <c r="C84" s="46" t="n"/>
      <c r="D84" s="46" t="n"/>
      <c r="E84" s="44" t="n"/>
      <c r="F84" s="47" t="n"/>
      <c r="G84" s="47" t="n"/>
      <c r="H84" s="47" t="n"/>
      <c r="I84" s="47" t="n"/>
      <c r="J84" s="47" t="n"/>
      <c r="K84" s="47" t="n"/>
      <c r="L84" s="48" t="n"/>
      <c r="M84" s="47" t="n"/>
      <c r="N84" s="46" t="n"/>
      <c r="O84" s="49">
        <f>IFERROR(IF(OR(ISBLANK(G84),ISBLANK(I84)),"",ABS(G84-I84)/VLOOKUP(C84,設定!$B$9:$D$23,2,FALSE)),"")</f>
        <v/>
      </c>
      <c r="P84" s="48">
        <f>IFERROR(IF(OR(ISBLANK(F84),ISBLANK(H84),ISBLANK(J84)),"",ABS(J84-F84)/ABS(F84-H84)),"")</f>
        <v/>
      </c>
      <c r="Q84" s="50">
        <f>IFERROR(IF(OR(ISBLANK(M84),ISBLANK(D84),ISBLANK(G84)),"",IF(D84="Long",(M84-G84),(G84-M84))/VLOOKUP(C84,設定!$B$9:$D$23,2,FALSE)),"")</f>
        <v/>
      </c>
      <c r="R84" s="51">
        <f>IFERROR(IF(OR(ISBLANK(Q84),O84=0),"",Q84/O84),"")</f>
        <v/>
      </c>
      <c r="S84" s="51">
        <f>IFERROR(IF(ISBLANK(R84),S83,IF(ISNUMBER(S83),S83,0)+R84),"")</f>
        <v/>
      </c>
      <c r="T84" s="52">
        <f>IFERROR(IF(OR(ISBLANK(Q84),ISBLANK(L84)),"",Q84*L84*VLOOKUP(C84,設定!$B$9:$D$23,3,FALSE)),"")</f>
        <v/>
      </c>
      <c r="U84" s="46" t="n"/>
      <c r="V84" s="46" t="n"/>
    </row>
    <row r="85">
      <c r="A85" s="53">
        <f>IF(ISBLANK(B85),"",COUNTA($B$18:B85))</f>
        <v/>
      </c>
      <c r="B85" s="54" t="n"/>
      <c r="C85" s="55" t="n"/>
      <c r="D85" s="55" t="n"/>
      <c r="E85" s="53" t="n"/>
      <c r="F85" s="56" t="n"/>
      <c r="G85" s="56" t="n"/>
      <c r="H85" s="56" t="n"/>
      <c r="I85" s="56" t="n"/>
      <c r="J85" s="56" t="n"/>
      <c r="K85" s="56" t="n"/>
      <c r="L85" s="57" t="n"/>
      <c r="M85" s="56" t="n"/>
      <c r="N85" s="55" t="n"/>
      <c r="O85" s="58">
        <f>IFERROR(IF(OR(ISBLANK(G85),ISBLANK(I85)),"",ABS(G85-I85)/VLOOKUP(C85,設定!$B$9:$D$23,2,FALSE)),"")</f>
        <v/>
      </c>
      <c r="P85" s="57">
        <f>IFERROR(IF(OR(ISBLANK(F85),ISBLANK(H85),ISBLANK(J85)),"",ABS(J85-F85)/ABS(F85-H85)),"")</f>
        <v/>
      </c>
      <c r="Q85" s="59">
        <f>IFERROR(IF(OR(ISBLANK(M85),ISBLANK(D85),ISBLANK(G85)),"",IF(D85="Long",(M85-G85),(G85-M85))/VLOOKUP(C85,設定!$B$9:$D$23,2,FALSE)),"")</f>
        <v/>
      </c>
      <c r="R85" s="60">
        <f>IFERROR(IF(OR(ISBLANK(Q85),O85=0),"",Q85/O85),"")</f>
        <v/>
      </c>
      <c r="S85" s="60">
        <f>IFERROR(IF(ISBLANK(R85),S84,IF(ISNUMBER(S84),S84,0)+R85),"")</f>
        <v/>
      </c>
      <c r="T85" s="61">
        <f>IFERROR(IF(OR(ISBLANK(Q85),ISBLANK(L85)),"",Q85*L85*VLOOKUP(C85,設定!$B$9:$D$23,3,FALSE)),"")</f>
        <v/>
      </c>
      <c r="U85" s="55" t="n"/>
      <c r="V85" s="55" t="n"/>
    </row>
    <row r="86">
      <c r="A86" s="44">
        <f>IF(ISBLANK(B86),"",COUNTA($B$18:B86))</f>
        <v/>
      </c>
      <c r="B86" s="45" t="n"/>
      <c r="C86" s="46" t="n"/>
      <c r="D86" s="46" t="n"/>
      <c r="E86" s="44" t="n"/>
      <c r="F86" s="47" t="n"/>
      <c r="G86" s="47" t="n"/>
      <c r="H86" s="47" t="n"/>
      <c r="I86" s="47" t="n"/>
      <c r="J86" s="47" t="n"/>
      <c r="K86" s="47" t="n"/>
      <c r="L86" s="48" t="n"/>
      <c r="M86" s="47" t="n"/>
      <c r="N86" s="46" t="n"/>
      <c r="O86" s="49">
        <f>IFERROR(IF(OR(ISBLANK(G86),ISBLANK(I86)),"",ABS(G86-I86)/VLOOKUP(C86,設定!$B$9:$D$23,2,FALSE)),"")</f>
        <v/>
      </c>
      <c r="P86" s="48">
        <f>IFERROR(IF(OR(ISBLANK(F86),ISBLANK(H86),ISBLANK(J86)),"",ABS(J86-F86)/ABS(F86-H86)),"")</f>
        <v/>
      </c>
      <c r="Q86" s="50">
        <f>IFERROR(IF(OR(ISBLANK(M86),ISBLANK(D86),ISBLANK(G86)),"",IF(D86="Long",(M86-G86),(G86-M86))/VLOOKUP(C86,設定!$B$9:$D$23,2,FALSE)),"")</f>
        <v/>
      </c>
      <c r="R86" s="51">
        <f>IFERROR(IF(OR(ISBLANK(Q86),O86=0),"",Q86/O86),"")</f>
        <v/>
      </c>
      <c r="S86" s="51">
        <f>IFERROR(IF(ISBLANK(R86),S85,IF(ISNUMBER(S85),S85,0)+R86),"")</f>
        <v/>
      </c>
      <c r="T86" s="52">
        <f>IFERROR(IF(OR(ISBLANK(Q86),ISBLANK(L86)),"",Q86*L86*VLOOKUP(C86,設定!$B$9:$D$23,3,FALSE)),"")</f>
        <v/>
      </c>
      <c r="U86" s="46" t="n"/>
      <c r="V86" s="46" t="n"/>
    </row>
    <row r="87">
      <c r="A87" s="53">
        <f>IF(ISBLANK(B87),"",COUNTA($B$18:B87))</f>
        <v/>
      </c>
      <c r="B87" s="54" t="n"/>
      <c r="C87" s="55" t="n"/>
      <c r="D87" s="55" t="n"/>
      <c r="E87" s="53" t="n"/>
      <c r="F87" s="56" t="n"/>
      <c r="G87" s="56" t="n"/>
      <c r="H87" s="56" t="n"/>
      <c r="I87" s="56" t="n"/>
      <c r="J87" s="56" t="n"/>
      <c r="K87" s="56" t="n"/>
      <c r="L87" s="57" t="n"/>
      <c r="M87" s="56" t="n"/>
      <c r="N87" s="55" t="n"/>
      <c r="O87" s="58">
        <f>IFERROR(IF(OR(ISBLANK(G87),ISBLANK(I87)),"",ABS(G87-I87)/VLOOKUP(C87,設定!$B$9:$D$23,2,FALSE)),"")</f>
        <v/>
      </c>
      <c r="P87" s="57">
        <f>IFERROR(IF(OR(ISBLANK(F87),ISBLANK(H87),ISBLANK(J87)),"",ABS(J87-F87)/ABS(F87-H87)),"")</f>
        <v/>
      </c>
      <c r="Q87" s="59">
        <f>IFERROR(IF(OR(ISBLANK(M87),ISBLANK(D87),ISBLANK(G87)),"",IF(D87="Long",(M87-G87),(G87-M87))/VLOOKUP(C87,設定!$B$9:$D$23,2,FALSE)),"")</f>
        <v/>
      </c>
      <c r="R87" s="60">
        <f>IFERROR(IF(OR(ISBLANK(Q87),O87=0),"",Q87/O87),"")</f>
        <v/>
      </c>
      <c r="S87" s="60">
        <f>IFERROR(IF(ISBLANK(R87),S86,IF(ISNUMBER(S86),S86,0)+R87),"")</f>
        <v/>
      </c>
      <c r="T87" s="61">
        <f>IFERROR(IF(OR(ISBLANK(Q87),ISBLANK(L87)),"",Q87*L87*VLOOKUP(C87,設定!$B$9:$D$23,3,FALSE)),"")</f>
        <v/>
      </c>
      <c r="U87" s="55" t="n"/>
      <c r="V87" s="55" t="n"/>
    </row>
    <row r="88">
      <c r="A88" s="44">
        <f>IF(ISBLANK(B88),"",COUNTA($B$18:B88))</f>
        <v/>
      </c>
      <c r="B88" s="45" t="n"/>
      <c r="C88" s="46" t="n"/>
      <c r="D88" s="46" t="n"/>
      <c r="E88" s="44" t="n"/>
      <c r="F88" s="47" t="n"/>
      <c r="G88" s="47" t="n"/>
      <c r="H88" s="47" t="n"/>
      <c r="I88" s="47" t="n"/>
      <c r="J88" s="47" t="n"/>
      <c r="K88" s="47" t="n"/>
      <c r="L88" s="48" t="n"/>
      <c r="M88" s="47" t="n"/>
      <c r="N88" s="46" t="n"/>
      <c r="O88" s="49">
        <f>IFERROR(IF(OR(ISBLANK(G88),ISBLANK(I88)),"",ABS(G88-I88)/VLOOKUP(C88,設定!$B$9:$D$23,2,FALSE)),"")</f>
        <v/>
      </c>
      <c r="P88" s="48">
        <f>IFERROR(IF(OR(ISBLANK(F88),ISBLANK(H88),ISBLANK(J88)),"",ABS(J88-F88)/ABS(F88-H88)),"")</f>
        <v/>
      </c>
      <c r="Q88" s="50">
        <f>IFERROR(IF(OR(ISBLANK(M88),ISBLANK(D88),ISBLANK(G88)),"",IF(D88="Long",(M88-G88),(G88-M88))/VLOOKUP(C88,設定!$B$9:$D$23,2,FALSE)),"")</f>
        <v/>
      </c>
      <c r="R88" s="51">
        <f>IFERROR(IF(OR(ISBLANK(Q88),O88=0),"",Q88/O88),"")</f>
        <v/>
      </c>
      <c r="S88" s="51">
        <f>IFERROR(IF(ISBLANK(R88),S87,IF(ISNUMBER(S87),S87,0)+R88),"")</f>
        <v/>
      </c>
      <c r="T88" s="52">
        <f>IFERROR(IF(OR(ISBLANK(Q88),ISBLANK(L88)),"",Q88*L88*VLOOKUP(C88,設定!$B$9:$D$23,3,FALSE)),"")</f>
        <v/>
      </c>
      <c r="U88" s="46" t="n"/>
      <c r="V88" s="46" t="n"/>
    </row>
    <row r="89">
      <c r="A89" s="53">
        <f>IF(ISBLANK(B89),"",COUNTA($B$18:B89))</f>
        <v/>
      </c>
      <c r="B89" s="54" t="n"/>
      <c r="C89" s="55" t="n"/>
      <c r="D89" s="55" t="n"/>
      <c r="E89" s="53" t="n"/>
      <c r="F89" s="56" t="n"/>
      <c r="G89" s="56" t="n"/>
      <c r="H89" s="56" t="n"/>
      <c r="I89" s="56" t="n"/>
      <c r="J89" s="56" t="n"/>
      <c r="K89" s="56" t="n"/>
      <c r="L89" s="57" t="n"/>
      <c r="M89" s="56" t="n"/>
      <c r="N89" s="55" t="n"/>
      <c r="O89" s="58">
        <f>IFERROR(IF(OR(ISBLANK(G89),ISBLANK(I89)),"",ABS(G89-I89)/VLOOKUP(C89,設定!$B$9:$D$23,2,FALSE)),"")</f>
        <v/>
      </c>
      <c r="P89" s="57">
        <f>IFERROR(IF(OR(ISBLANK(F89),ISBLANK(H89),ISBLANK(J89)),"",ABS(J89-F89)/ABS(F89-H89)),"")</f>
        <v/>
      </c>
      <c r="Q89" s="59">
        <f>IFERROR(IF(OR(ISBLANK(M89),ISBLANK(D89),ISBLANK(G89)),"",IF(D89="Long",(M89-G89),(G89-M89))/VLOOKUP(C89,設定!$B$9:$D$23,2,FALSE)),"")</f>
        <v/>
      </c>
      <c r="R89" s="60">
        <f>IFERROR(IF(OR(ISBLANK(Q89),O89=0),"",Q89/O89),"")</f>
        <v/>
      </c>
      <c r="S89" s="60">
        <f>IFERROR(IF(ISBLANK(R89),S88,IF(ISNUMBER(S88),S88,0)+R89),"")</f>
        <v/>
      </c>
      <c r="T89" s="61">
        <f>IFERROR(IF(OR(ISBLANK(Q89),ISBLANK(L89)),"",Q89*L89*VLOOKUP(C89,設定!$B$9:$D$23,3,FALSE)),"")</f>
        <v/>
      </c>
      <c r="U89" s="55" t="n"/>
      <c r="V89" s="55" t="n"/>
    </row>
    <row r="90">
      <c r="A90" s="44">
        <f>IF(ISBLANK(B90),"",COUNTA($B$18:B90))</f>
        <v/>
      </c>
      <c r="B90" s="45" t="n"/>
      <c r="C90" s="46" t="n"/>
      <c r="D90" s="46" t="n"/>
      <c r="E90" s="44" t="n"/>
      <c r="F90" s="47" t="n"/>
      <c r="G90" s="47" t="n"/>
      <c r="H90" s="47" t="n"/>
      <c r="I90" s="47" t="n"/>
      <c r="J90" s="47" t="n"/>
      <c r="K90" s="47" t="n"/>
      <c r="L90" s="48" t="n"/>
      <c r="M90" s="47" t="n"/>
      <c r="N90" s="46" t="n"/>
      <c r="O90" s="49">
        <f>IFERROR(IF(OR(ISBLANK(G90),ISBLANK(I90)),"",ABS(G90-I90)/VLOOKUP(C90,設定!$B$9:$D$23,2,FALSE)),"")</f>
        <v/>
      </c>
      <c r="P90" s="48">
        <f>IFERROR(IF(OR(ISBLANK(F90),ISBLANK(H90),ISBLANK(J90)),"",ABS(J90-F90)/ABS(F90-H90)),"")</f>
        <v/>
      </c>
      <c r="Q90" s="50">
        <f>IFERROR(IF(OR(ISBLANK(M90),ISBLANK(D90),ISBLANK(G90)),"",IF(D90="Long",(M90-G90),(G90-M90))/VLOOKUP(C90,設定!$B$9:$D$23,2,FALSE)),"")</f>
        <v/>
      </c>
      <c r="R90" s="51">
        <f>IFERROR(IF(OR(ISBLANK(Q90),O90=0),"",Q90/O90),"")</f>
        <v/>
      </c>
      <c r="S90" s="51">
        <f>IFERROR(IF(ISBLANK(R90),S89,IF(ISNUMBER(S89),S89,0)+R90),"")</f>
        <v/>
      </c>
      <c r="T90" s="52">
        <f>IFERROR(IF(OR(ISBLANK(Q90),ISBLANK(L90)),"",Q90*L90*VLOOKUP(C90,設定!$B$9:$D$23,3,FALSE)),"")</f>
        <v/>
      </c>
      <c r="U90" s="46" t="n"/>
      <c r="V90" s="46" t="n"/>
    </row>
    <row r="91">
      <c r="A91" s="53">
        <f>IF(ISBLANK(B91),"",COUNTA($B$18:B91))</f>
        <v/>
      </c>
      <c r="B91" s="54" t="n"/>
      <c r="C91" s="55" t="n"/>
      <c r="D91" s="55" t="n"/>
      <c r="E91" s="53" t="n"/>
      <c r="F91" s="56" t="n"/>
      <c r="G91" s="56" t="n"/>
      <c r="H91" s="56" t="n"/>
      <c r="I91" s="56" t="n"/>
      <c r="J91" s="56" t="n"/>
      <c r="K91" s="56" t="n"/>
      <c r="L91" s="57" t="n"/>
      <c r="M91" s="56" t="n"/>
      <c r="N91" s="55" t="n"/>
      <c r="O91" s="58">
        <f>IFERROR(IF(OR(ISBLANK(G91),ISBLANK(I91)),"",ABS(G91-I91)/VLOOKUP(C91,設定!$B$9:$D$23,2,FALSE)),"")</f>
        <v/>
      </c>
      <c r="P91" s="57">
        <f>IFERROR(IF(OR(ISBLANK(F91),ISBLANK(H91),ISBLANK(J91)),"",ABS(J91-F91)/ABS(F91-H91)),"")</f>
        <v/>
      </c>
      <c r="Q91" s="59">
        <f>IFERROR(IF(OR(ISBLANK(M91),ISBLANK(D91),ISBLANK(G91)),"",IF(D91="Long",(M91-G91),(G91-M91))/VLOOKUP(C91,設定!$B$9:$D$23,2,FALSE)),"")</f>
        <v/>
      </c>
      <c r="R91" s="60">
        <f>IFERROR(IF(OR(ISBLANK(Q91),O91=0),"",Q91/O91),"")</f>
        <v/>
      </c>
      <c r="S91" s="60">
        <f>IFERROR(IF(ISBLANK(R91),S90,IF(ISNUMBER(S90),S90,0)+R91),"")</f>
        <v/>
      </c>
      <c r="T91" s="61">
        <f>IFERROR(IF(OR(ISBLANK(Q91),ISBLANK(L91)),"",Q91*L91*VLOOKUP(C91,設定!$B$9:$D$23,3,FALSE)),"")</f>
        <v/>
      </c>
      <c r="U91" s="55" t="n"/>
      <c r="V91" s="55" t="n"/>
    </row>
    <row r="92">
      <c r="A92" s="44">
        <f>IF(ISBLANK(B92),"",COUNTA($B$18:B92))</f>
        <v/>
      </c>
      <c r="B92" s="45" t="n"/>
      <c r="C92" s="46" t="n"/>
      <c r="D92" s="46" t="n"/>
      <c r="E92" s="44" t="n"/>
      <c r="F92" s="47" t="n"/>
      <c r="G92" s="47" t="n"/>
      <c r="H92" s="47" t="n"/>
      <c r="I92" s="47" t="n"/>
      <c r="J92" s="47" t="n"/>
      <c r="K92" s="47" t="n"/>
      <c r="L92" s="48" t="n"/>
      <c r="M92" s="47" t="n"/>
      <c r="N92" s="46" t="n"/>
      <c r="O92" s="49">
        <f>IFERROR(IF(OR(ISBLANK(G92),ISBLANK(I92)),"",ABS(G92-I92)/VLOOKUP(C92,設定!$B$9:$D$23,2,FALSE)),"")</f>
        <v/>
      </c>
      <c r="P92" s="48">
        <f>IFERROR(IF(OR(ISBLANK(F92),ISBLANK(H92),ISBLANK(J92)),"",ABS(J92-F92)/ABS(F92-H92)),"")</f>
        <v/>
      </c>
      <c r="Q92" s="50">
        <f>IFERROR(IF(OR(ISBLANK(M92),ISBLANK(D92),ISBLANK(G92)),"",IF(D92="Long",(M92-G92),(G92-M92))/VLOOKUP(C92,設定!$B$9:$D$23,2,FALSE)),"")</f>
        <v/>
      </c>
      <c r="R92" s="51">
        <f>IFERROR(IF(OR(ISBLANK(Q92),O92=0),"",Q92/O92),"")</f>
        <v/>
      </c>
      <c r="S92" s="51">
        <f>IFERROR(IF(ISBLANK(R92),S91,IF(ISNUMBER(S91),S91,0)+R92),"")</f>
        <v/>
      </c>
      <c r="T92" s="52">
        <f>IFERROR(IF(OR(ISBLANK(Q92),ISBLANK(L92)),"",Q92*L92*VLOOKUP(C92,設定!$B$9:$D$23,3,FALSE)),"")</f>
        <v/>
      </c>
      <c r="U92" s="46" t="n"/>
      <c r="V92" s="46" t="n"/>
    </row>
    <row r="93">
      <c r="A93" s="53">
        <f>IF(ISBLANK(B93),"",COUNTA($B$18:B93))</f>
        <v/>
      </c>
      <c r="B93" s="54" t="n"/>
      <c r="C93" s="55" t="n"/>
      <c r="D93" s="55" t="n"/>
      <c r="E93" s="53" t="n"/>
      <c r="F93" s="56" t="n"/>
      <c r="G93" s="56" t="n"/>
      <c r="H93" s="56" t="n"/>
      <c r="I93" s="56" t="n"/>
      <c r="J93" s="56" t="n"/>
      <c r="K93" s="56" t="n"/>
      <c r="L93" s="57" t="n"/>
      <c r="M93" s="56" t="n"/>
      <c r="N93" s="55" t="n"/>
      <c r="O93" s="58">
        <f>IFERROR(IF(OR(ISBLANK(G93),ISBLANK(I93)),"",ABS(G93-I93)/VLOOKUP(C93,設定!$B$9:$D$23,2,FALSE)),"")</f>
        <v/>
      </c>
      <c r="P93" s="57">
        <f>IFERROR(IF(OR(ISBLANK(F93),ISBLANK(H93),ISBLANK(J93)),"",ABS(J93-F93)/ABS(F93-H93)),"")</f>
        <v/>
      </c>
      <c r="Q93" s="59">
        <f>IFERROR(IF(OR(ISBLANK(M93),ISBLANK(D93),ISBLANK(G93)),"",IF(D93="Long",(M93-G93),(G93-M93))/VLOOKUP(C93,設定!$B$9:$D$23,2,FALSE)),"")</f>
        <v/>
      </c>
      <c r="R93" s="60">
        <f>IFERROR(IF(OR(ISBLANK(Q93),O93=0),"",Q93/O93),"")</f>
        <v/>
      </c>
      <c r="S93" s="60">
        <f>IFERROR(IF(ISBLANK(R93),S92,IF(ISNUMBER(S92),S92,0)+R93),"")</f>
        <v/>
      </c>
      <c r="T93" s="61">
        <f>IFERROR(IF(OR(ISBLANK(Q93),ISBLANK(L93)),"",Q93*L93*VLOOKUP(C93,設定!$B$9:$D$23,3,FALSE)),"")</f>
        <v/>
      </c>
      <c r="U93" s="55" t="n"/>
      <c r="V93" s="55" t="n"/>
    </row>
    <row r="94">
      <c r="A94" s="44">
        <f>IF(ISBLANK(B94),"",COUNTA($B$18:B94))</f>
        <v/>
      </c>
      <c r="B94" s="45" t="n"/>
      <c r="C94" s="46" t="n"/>
      <c r="D94" s="46" t="n"/>
      <c r="E94" s="44" t="n"/>
      <c r="F94" s="47" t="n"/>
      <c r="G94" s="47" t="n"/>
      <c r="H94" s="47" t="n"/>
      <c r="I94" s="47" t="n"/>
      <c r="J94" s="47" t="n"/>
      <c r="K94" s="47" t="n"/>
      <c r="L94" s="48" t="n"/>
      <c r="M94" s="47" t="n"/>
      <c r="N94" s="46" t="n"/>
      <c r="O94" s="49">
        <f>IFERROR(IF(OR(ISBLANK(G94),ISBLANK(I94)),"",ABS(G94-I94)/VLOOKUP(C94,設定!$B$9:$D$23,2,FALSE)),"")</f>
        <v/>
      </c>
      <c r="P94" s="48">
        <f>IFERROR(IF(OR(ISBLANK(F94),ISBLANK(H94),ISBLANK(J94)),"",ABS(J94-F94)/ABS(F94-H94)),"")</f>
        <v/>
      </c>
      <c r="Q94" s="50">
        <f>IFERROR(IF(OR(ISBLANK(M94),ISBLANK(D94),ISBLANK(G94)),"",IF(D94="Long",(M94-G94),(G94-M94))/VLOOKUP(C94,設定!$B$9:$D$23,2,FALSE)),"")</f>
        <v/>
      </c>
      <c r="R94" s="51">
        <f>IFERROR(IF(OR(ISBLANK(Q94),O94=0),"",Q94/O94),"")</f>
        <v/>
      </c>
      <c r="S94" s="51">
        <f>IFERROR(IF(ISBLANK(R94),S93,IF(ISNUMBER(S93),S93,0)+R94),"")</f>
        <v/>
      </c>
      <c r="T94" s="52">
        <f>IFERROR(IF(OR(ISBLANK(Q94),ISBLANK(L94)),"",Q94*L94*VLOOKUP(C94,設定!$B$9:$D$23,3,FALSE)),"")</f>
        <v/>
      </c>
      <c r="U94" s="46" t="n"/>
      <c r="V94" s="46" t="n"/>
    </row>
    <row r="95">
      <c r="A95" s="53">
        <f>IF(ISBLANK(B95),"",COUNTA($B$18:B95))</f>
        <v/>
      </c>
      <c r="B95" s="54" t="n"/>
      <c r="C95" s="55" t="n"/>
      <c r="D95" s="55" t="n"/>
      <c r="E95" s="53" t="n"/>
      <c r="F95" s="56" t="n"/>
      <c r="G95" s="56" t="n"/>
      <c r="H95" s="56" t="n"/>
      <c r="I95" s="56" t="n"/>
      <c r="J95" s="56" t="n"/>
      <c r="K95" s="56" t="n"/>
      <c r="L95" s="57" t="n"/>
      <c r="M95" s="56" t="n"/>
      <c r="N95" s="55" t="n"/>
      <c r="O95" s="58">
        <f>IFERROR(IF(OR(ISBLANK(G95),ISBLANK(I95)),"",ABS(G95-I95)/VLOOKUP(C95,設定!$B$9:$D$23,2,FALSE)),"")</f>
        <v/>
      </c>
      <c r="P95" s="57">
        <f>IFERROR(IF(OR(ISBLANK(F95),ISBLANK(H95),ISBLANK(J95)),"",ABS(J95-F95)/ABS(F95-H95)),"")</f>
        <v/>
      </c>
      <c r="Q95" s="59">
        <f>IFERROR(IF(OR(ISBLANK(M95),ISBLANK(D95),ISBLANK(G95)),"",IF(D95="Long",(M95-G95),(G95-M95))/VLOOKUP(C95,設定!$B$9:$D$23,2,FALSE)),"")</f>
        <v/>
      </c>
      <c r="R95" s="60">
        <f>IFERROR(IF(OR(ISBLANK(Q95),O95=0),"",Q95/O95),"")</f>
        <v/>
      </c>
      <c r="S95" s="60">
        <f>IFERROR(IF(ISBLANK(R95),S94,IF(ISNUMBER(S94),S94,0)+R95),"")</f>
        <v/>
      </c>
      <c r="T95" s="61">
        <f>IFERROR(IF(OR(ISBLANK(Q95),ISBLANK(L95)),"",Q95*L95*VLOOKUP(C95,設定!$B$9:$D$23,3,FALSE)),"")</f>
        <v/>
      </c>
      <c r="U95" s="55" t="n"/>
      <c r="V95" s="55" t="n"/>
    </row>
    <row r="96">
      <c r="A96" s="44">
        <f>IF(ISBLANK(B96),"",COUNTA($B$18:B96))</f>
        <v/>
      </c>
      <c r="B96" s="45" t="n"/>
      <c r="C96" s="46" t="n"/>
      <c r="D96" s="46" t="n"/>
      <c r="E96" s="44" t="n"/>
      <c r="F96" s="47" t="n"/>
      <c r="G96" s="47" t="n"/>
      <c r="H96" s="47" t="n"/>
      <c r="I96" s="47" t="n"/>
      <c r="J96" s="47" t="n"/>
      <c r="K96" s="47" t="n"/>
      <c r="L96" s="48" t="n"/>
      <c r="M96" s="47" t="n"/>
      <c r="N96" s="46" t="n"/>
      <c r="O96" s="49">
        <f>IFERROR(IF(OR(ISBLANK(G96),ISBLANK(I96)),"",ABS(G96-I96)/VLOOKUP(C96,設定!$B$9:$D$23,2,FALSE)),"")</f>
        <v/>
      </c>
      <c r="P96" s="48">
        <f>IFERROR(IF(OR(ISBLANK(F96),ISBLANK(H96),ISBLANK(J96)),"",ABS(J96-F96)/ABS(F96-H96)),"")</f>
        <v/>
      </c>
      <c r="Q96" s="50">
        <f>IFERROR(IF(OR(ISBLANK(M96),ISBLANK(D96),ISBLANK(G96)),"",IF(D96="Long",(M96-G96),(G96-M96))/VLOOKUP(C96,設定!$B$9:$D$23,2,FALSE)),"")</f>
        <v/>
      </c>
      <c r="R96" s="51">
        <f>IFERROR(IF(OR(ISBLANK(Q96),O96=0),"",Q96/O96),"")</f>
        <v/>
      </c>
      <c r="S96" s="51">
        <f>IFERROR(IF(ISBLANK(R96),S95,IF(ISNUMBER(S95),S95,0)+R96),"")</f>
        <v/>
      </c>
      <c r="T96" s="52">
        <f>IFERROR(IF(OR(ISBLANK(Q96),ISBLANK(L96)),"",Q96*L96*VLOOKUP(C96,設定!$B$9:$D$23,3,FALSE)),"")</f>
        <v/>
      </c>
      <c r="U96" s="46" t="n"/>
      <c r="V96" s="46" t="n"/>
    </row>
    <row r="97">
      <c r="A97" s="53">
        <f>IF(ISBLANK(B97),"",COUNTA($B$18:B97))</f>
        <v/>
      </c>
      <c r="B97" s="54" t="n"/>
      <c r="C97" s="55" t="n"/>
      <c r="D97" s="55" t="n"/>
      <c r="E97" s="53" t="n"/>
      <c r="F97" s="56" t="n"/>
      <c r="G97" s="56" t="n"/>
      <c r="H97" s="56" t="n"/>
      <c r="I97" s="56" t="n"/>
      <c r="J97" s="56" t="n"/>
      <c r="K97" s="56" t="n"/>
      <c r="L97" s="57" t="n"/>
      <c r="M97" s="56" t="n"/>
      <c r="N97" s="55" t="n"/>
      <c r="O97" s="58">
        <f>IFERROR(IF(OR(ISBLANK(G97),ISBLANK(I97)),"",ABS(G97-I97)/VLOOKUP(C97,設定!$B$9:$D$23,2,FALSE)),"")</f>
        <v/>
      </c>
      <c r="P97" s="57">
        <f>IFERROR(IF(OR(ISBLANK(F97),ISBLANK(H97),ISBLANK(J97)),"",ABS(J97-F97)/ABS(F97-H97)),"")</f>
        <v/>
      </c>
      <c r="Q97" s="59">
        <f>IFERROR(IF(OR(ISBLANK(M97),ISBLANK(D97),ISBLANK(G97)),"",IF(D97="Long",(M97-G97),(G97-M97))/VLOOKUP(C97,設定!$B$9:$D$23,2,FALSE)),"")</f>
        <v/>
      </c>
      <c r="R97" s="60">
        <f>IFERROR(IF(OR(ISBLANK(Q97),O97=0),"",Q97/O97),"")</f>
        <v/>
      </c>
      <c r="S97" s="60">
        <f>IFERROR(IF(ISBLANK(R97),S96,IF(ISNUMBER(S96),S96,0)+R97),"")</f>
        <v/>
      </c>
      <c r="T97" s="61">
        <f>IFERROR(IF(OR(ISBLANK(Q97),ISBLANK(L97)),"",Q97*L97*VLOOKUP(C97,設定!$B$9:$D$23,3,FALSE)),"")</f>
        <v/>
      </c>
      <c r="U97" s="55" t="n"/>
      <c r="V97" s="55" t="n"/>
    </row>
    <row r="98">
      <c r="A98" s="44">
        <f>IF(ISBLANK(B98),"",COUNTA($B$18:B98))</f>
        <v/>
      </c>
      <c r="B98" s="45" t="n"/>
      <c r="C98" s="46" t="n"/>
      <c r="D98" s="46" t="n"/>
      <c r="E98" s="44" t="n"/>
      <c r="F98" s="47" t="n"/>
      <c r="G98" s="47" t="n"/>
      <c r="H98" s="47" t="n"/>
      <c r="I98" s="47" t="n"/>
      <c r="J98" s="47" t="n"/>
      <c r="K98" s="47" t="n"/>
      <c r="L98" s="48" t="n"/>
      <c r="M98" s="47" t="n"/>
      <c r="N98" s="46" t="n"/>
      <c r="O98" s="49">
        <f>IFERROR(IF(OR(ISBLANK(G98),ISBLANK(I98)),"",ABS(G98-I98)/VLOOKUP(C98,設定!$B$9:$D$23,2,FALSE)),"")</f>
        <v/>
      </c>
      <c r="P98" s="48">
        <f>IFERROR(IF(OR(ISBLANK(F98),ISBLANK(H98),ISBLANK(J98)),"",ABS(J98-F98)/ABS(F98-H98)),"")</f>
        <v/>
      </c>
      <c r="Q98" s="50">
        <f>IFERROR(IF(OR(ISBLANK(M98),ISBLANK(D98),ISBLANK(G98)),"",IF(D98="Long",(M98-G98),(G98-M98))/VLOOKUP(C98,設定!$B$9:$D$23,2,FALSE)),"")</f>
        <v/>
      </c>
      <c r="R98" s="51">
        <f>IFERROR(IF(OR(ISBLANK(Q98),O98=0),"",Q98/O98),"")</f>
        <v/>
      </c>
      <c r="S98" s="51">
        <f>IFERROR(IF(ISBLANK(R98),S97,IF(ISNUMBER(S97),S97,0)+R98),"")</f>
        <v/>
      </c>
      <c r="T98" s="52">
        <f>IFERROR(IF(OR(ISBLANK(Q98),ISBLANK(L98)),"",Q98*L98*VLOOKUP(C98,設定!$B$9:$D$23,3,FALSE)),"")</f>
        <v/>
      </c>
      <c r="U98" s="46" t="n"/>
      <c r="V98" s="46" t="n"/>
    </row>
    <row r="99">
      <c r="A99" s="53">
        <f>IF(ISBLANK(B99),"",COUNTA($B$18:B99))</f>
        <v/>
      </c>
      <c r="B99" s="54" t="n"/>
      <c r="C99" s="55" t="n"/>
      <c r="D99" s="55" t="n"/>
      <c r="E99" s="53" t="n"/>
      <c r="F99" s="56" t="n"/>
      <c r="G99" s="56" t="n"/>
      <c r="H99" s="56" t="n"/>
      <c r="I99" s="56" t="n"/>
      <c r="J99" s="56" t="n"/>
      <c r="K99" s="56" t="n"/>
      <c r="L99" s="57" t="n"/>
      <c r="M99" s="56" t="n"/>
      <c r="N99" s="55" t="n"/>
      <c r="O99" s="58">
        <f>IFERROR(IF(OR(ISBLANK(G99),ISBLANK(I99)),"",ABS(G99-I99)/VLOOKUP(C99,設定!$B$9:$D$23,2,FALSE)),"")</f>
        <v/>
      </c>
      <c r="P99" s="57">
        <f>IFERROR(IF(OR(ISBLANK(F99),ISBLANK(H99),ISBLANK(J99)),"",ABS(J99-F99)/ABS(F99-H99)),"")</f>
        <v/>
      </c>
      <c r="Q99" s="59">
        <f>IFERROR(IF(OR(ISBLANK(M99),ISBLANK(D99),ISBLANK(G99)),"",IF(D99="Long",(M99-G99),(G99-M99))/VLOOKUP(C99,設定!$B$9:$D$23,2,FALSE)),"")</f>
        <v/>
      </c>
      <c r="R99" s="60">
        <f>IFERROR(IF(OR(ISBLANK(Q99),O99=0),"",Q99/O99),"")</f>
        <v/>
      </c>
      <c r="S99" s="60">
        <f>IFERROR(IF(ISBLANK(R99),S98,IF(ISNUMBER(S98),S98,0)+R99),"")</f>
        <v/>
      </c>
      <c r="T99" s="61">
        <f>IFERROR(IF(OR(ISBLANK(Q99),ISBLANK(L99)),"",Q99*L99*VLOOKUP(C99,設定!$B$9:$D$23,3,FALSE)),"")</f>
        <v/>
      </c>
      <c r="U99" s="55" t="n"/>
      <c r="V99" s="55" t="n"/>
    </row>
    <row r="100">
      <c r="A100" s="44">
        <f>IF(ISBLANK(B100),"",COUNTA($B$18:B100))</f>
        <v/>
      </c>
      <c r="B100" s="45" t="n"/>
      <c r="C100" s="46" t="n"/>
      <c r="D100" s="46" t="n"/>
      <c r="E100" s="44" t="n"/>
      <c r="F100" s="47" t="n"/>
      <c r="G100" s="47" t="n"/>
      <c r="H100" s="47" t="n"/>
      <c r="I100" s="47" t="n"/>
      <c r="J100" s="47" t="n"/>
      <c r="K100" s="47" t="n"/>
      <c r="L100" s="48" t="n"/>
      <c r="M100" s="47" t="n"/>
      <c r="N100" s="46" t="n"/>
      <c r="O100" s="49">
        <f>IFERROR(IF(OR(ISBLANK(G100),ISBLANK(I100)),"",ABS(G100-I100)/VLOOKUP(C100,設定!$B$9:$D$23,2,FALSE)),"")</f>
        <v/>
      </c>
      <c r="P100" s="48">
        <f>IFERROR(IF(OR(ISBLANK(F100),ISBLANK(H100),ISBLANK(J100)),"",ABS(J100-F100)/ABS(F100-H100)),"")</f>
        <v/>
      </c>
      <c r="Q100" s="50">
        <f>IFERROR(IF(OR(ISBLANK(M100),ISBLANK(D100),ISBLANK(G100)),"",IF(D100="Long",(M100-G100),(G100-M100))/VLOOKUP(C100,設定!$B$9:$D$23,2,FALSE)),"")</f>
        <v/>
      </c>
      <c r="R100" s="51">
        <f>IFERROR(IF(OR(ISBLANK(Q100),O100=0),"",Q100/O100),"")</f>
        <v/>
      </c>
      <c r="S100" s="51">
        <f>IFERROR(IF(ISBLANK(R100),S99,IF(ISNUMBER(S99),S99,0)+R100),"")</f>
        <v/>
      </c>
      <c r="T100" s="52">
        <f>IFERROR(IF(OR(ISBLANK(Q100),ISBLANK(L100)),"",Q100*L100*VLOOKUP(C100,設定!$B$9:$D$23,3,FALSE)),"")</f>
        <v/>
      </c>
      <c r="U100" s="46" t="n"/>
      <c r="V100" s="46" t="n"/>
    </row>
    <row r="101">
      <c r="A101" s="53">
        <f>IF(ISBLANK(B101),"",COUNTA($B$18:B101))</f>
        <v/>
      </c>
      <c r="B101" s="54" t="n"/>
      <c r="C101" s="55" t="n"/>
      <c r="D101" s="55" t="n"/>
      <c r="E101" s="53" t="n"/>
      <c r="F101" s="56" t="n"/>
      <c r="G101" s="56" t="n"/>
      <c r="H101" s="56" t="n"/>
      <c r="I101" s="56" t="n"/>
      <c r="J101" s="56" t="n"/>
      <c r="K101" s="56" t="n"/>
      <c r="L101" s="57" t="n"/>
      <c r="M101" s="56" t="n"/>
      <c r="N101" s="55" t="n"/>
      <c r="O101" s="58">
        <f>IFERROR(IF(OR(ISBLANK(G101),ISBLANK(I101)),"",ABS(G101-I101)/VLOOKUP(C101,設定!$B$9:$D$23,2,FALSE)),"")</f>
        <v/>
      </c>
      <c r="P101" s="57">
        <f>IFERROR(IF(OR(ISBLANK(F101),ISBLANK(H101),ISBLANK(J101)),"",ABS(J101-F101)/ABS(F101-H101)),"")</f>
        <v/>
      </c>
      <c r="Q101" s="59">
        <f>IFERROR(IF(OR(ISBLANK(M101),ISBLANK(D101),ISBLANK(G101)),"",IF(D101="Long",(M101-G101),(G101-M101))/VLOOKUP(C101,設定!$B$9:$D$23,2,FALSE)),"")</f>
        <v/>
      </c>
      <c r="R101" s="60">
        <f>IFERROR(IF(OR(ISBLANK(Q101),O101=0),"",Q101/O101),"")</f>
        <v/>
      </c>
      <c r="S101" s="60">
        <f>IFERROR(IF(ISBLANK(R101),S100,IF(ISNUMBER(S100),S100,0)+R101),"")</f>
        <v/>
      </c>
      <c r="T101" s="61">
        <f>IFERROR(IF(OR(ISBLANK(Q101),ISBLANK(L101)),"",Q101*L101*VLOOKUP(C101,設定!$B$9:$D$23,3,FALSE)),"")</f>
        <v/>
      </c>
      <c r="U101" s="55" t="n"/>
      <c r="V101" s="55" t="n"/>
    </row>
    <row r="102">
      <c r="A102" s="44">
        <f>IF(ISBLANK(B102),"",COUNTA($B$18:B102))</f>
        <v/>
      </c>
      <c r="B102" s="45" t="n"/>
      <c r="C102" s="46" t="n"/>
      <c r="D102" s="46" t="n"/>
      <c r="E102" s="44" t="n"/>
      <c r="F102" s="47" t="n"/>
      <c r="G102" s="47" t="n"/>
      <c r="H102" s="47" t="n"/>
      <c r="I102" s="47" t="n"/>
      <c r="J102" s="47" t="n"/>
      <c r="K102" s="47" t="n"/>
      <c r="L102" s="48" t="n"/>
      <c r="M102" s="47" t="n"/>
      <c r="N102" s="46" t="n"/>
      <c r="O102" s="49">
        <f>IFERROR(IF(OR(ISBLANK(G102),ISBLANK(I102)),"",ABS(G102-I102)/VLOOKUP(C102,設定!$B$9:$D$23,2,FALSE)),"")</f>
        <v/>
      </c>
      <c r="P102" s="48">
        <f>IFERROR(IF(OR(ISBLANK(F102),ISBLANK(H102),ISBLANK(J102)),"",ABS(J102-F102)/ABS(F102-H102)),"")</f>
        <v/>
      </c>
      <c r="Q102" s="50">
        <f>IFERROR(IF(OR(ISBLANK(M102),ISBLANK(D102),ISBLANK(G102)),"",IF(D102="Long",(M102-G102),(G102-M102))/VLOOKUP(C102,設定!$B$9:$D$23,2,FALSE)),"")</f>
        <v/>
      </c>
      <c r="R102" s="51">
        <f>IFERROR(IF(OR(ISBLANK(Q102),O102=0),"",Q102/O102),"")</f>
        <v/>
      </c>
      <c r="S102" s="51">
        <f>IFERROR(IF(ISBLANK(R102),S101,IF(ISNUMBER(S101),S101,0)+R102),"")</f>
        <v/>
      </c>
      <c r="T102" s="52">
        <f>IFERROR(IF(OR(ISBLANK(Q102),ISBLANK(L102)),"",Q102*L102*VLOOKUP(C102,設定!$B$9:$D$23,3,FALSE)),"")</f>
        <v/>
      </c>
      <c r="U102" s="46" t="n"/>
      <c r="V102" s="46" t="n"/>
    </row>
    <row r="103">
      <c r="A103" s="53">
        <f>IF(ISBLANK(B103),"",COUNTA($B$18:B103))</f>
        <v/>
      </c>
      <c r="B103" s="54" t="n"/>
      <c r="C103" s="55" t="n"/>
      <c r="D103" s="55" t="n"/>
      <c r="E103" s="53" t="n"/>
      <c r="F103" s="56" t="n"/>
      <c r="G103" s="56" t="n"/>
      <c r="H103" s="56" t="n"/>
      <c r="I103" s="56" t="n"/>
      <c r="J103" s="56" t="n"/>
      <c r="K103" s="56" t="n"/>
      <c r="L103" s="57" t="n"/>
      <c r="M103" s="56" t="n"/>
      <c r="N103" s="55" t="n"/>
      <c r="O103" s="58">
        <f>IFERROR(IF(OR(ISBLANK(G103),ISBLANK(I103)),"",ABS(G103-I103)/VLOOKUP(C103,設定!$B$9:$D$23,2,FALSE)),"")</f>
        <v/>
      </c>
      <c r="P103" s="57">
        <f>IFERROR(IF(OR(ISBLANK(F103),ISBLANK(H103),ISBLANK(J103)),"",ABS(J103-F103)/ABS(F103-H103)),"")</f>
        <v/>
      </c>
      <c r="Q103" s="59">
        <f>IFERROR(IF(OR(ISBLANK(M103),ISBLANK(D103),ISBLANK(G103)),"",IF(D103="Long",(M103-G103),(G103-M103))/VLOOKUP(C103,設定!$B$9:$D$23,2,FALSE)),"")</f>
        <v/>
      </c>
      <c r="R103" s="60">
        <f>IFERROR(IF(OR(ISBLANK(Q103),O103=0),"",Q103/O103),"")</f>
        <v/>
      </c>
      <c r="S103" s="60">
        <f>IFERROR(IF(ISBLANK(R103),S102,IF(ISNUMBER(S102),S102,0)+R103),"")</f>
        <v/>
      </c>
      <c r="T103" s="61">
        <f>IFERROR(IF(OR(ISBLANK(Q103),ISBLANK(L103)),"",Q103*L103*VLOOKUP(C103,設定!$B$9:$D$23,3,FALSE)),"")</f>
        <v/>
      </c>
      <c r="U103" s="55" t="n"/>
      <c r="V103" s="55" t="n"/>
    </row>
    <row r="104">
      <c r="A104" s="44">
        <f>IF(ISBLANK(B104),"",COUNTA($B$18:B104))</f>
        <v/>
      </c>
      <c r="B104" s="45" t="n"/>
      <c r="C104" s="46" t="n"/>
      <c r="D104" s="46" t="n"/>
      <c r="E104" s="44" t="n"/>
      <c r="F104" s="47" t="n"/>
      <c r="G104" s="47" t="n"/>
      <c r="H104" s="47" t="n"/>
      <c r="I104" s="47" t="n"/>
      <c r="J104" s="47" t="n"/>
      <c r="K104" s="47" t="n"/>
      <c r="L104" s="48" t="n"/>
      <c r="M104" s="47" t="n"/>
      <c r="N104" s="46" t="n"/>
      <c r="O104" s="49">
        <f>IFERROR(IF(OR(ISBLANK(G104),ISBLANK(I104)),"",ABS(G104-I104)/VLOOKUP(C104,設定!$B$9:$D$23,2,FALSE)),"")</f>
        <v/>
      </c>
      <c r="P104" s="48">
        <f>IFERROR(IF(OR(ISBLANK(F104),ISBLANK(H104),ISBLANK(J104)),"",ABS(J104-F104)/ABS(F104-H104)),"")</f>
        <v/>
      </c>
      <c r="Q104" s="50">
        <f>IFERROR(IF(OR(ISBLANK(M104),ISBLANK(D104),ISBLANK(G104)),"",IF(D104="Long",(M104-G104),(G104-M104))/VLOOKUP(C104,設定!$B$9:$D$23,2,FALSE)),"")</f>
        <v/>
      </c>
      <c r="R104" s="51">
        <f>IFERROR(IF(OR(ISBLANK(Q104),O104=0),"",Q104/O104),"")</f>
        <v/>
      </c>
      <c r="S104" s="51">
        <f>IFERROR(IF(ISBLANK(R104),S103,IF(ISNUMBER(S103),S103,0)+R104),"")</f>
        <v/>
      </c>
      <c r="T104" s="52">
        <f>IFERROR(IF(OR(ISBLANK(Q104),ISBLANK(L104)),"",Q104*L104*VLOOKUP(C104,設定!$B$9:$D$23,3,FALSE)),"")</f>
        <v/>
      </c>
      <c r="U104" s="46" t="n"/>
      <c r="V104" s="46" t="n"/>
    </row>
    <row r="105">
      <c r="A105" s="53">
        <f>IF(ISBLANK(B105),"",COUNTA($B$18:B105))</f>
        <v/>
      </c>
      <c r="B105" s="54" t="n"/>
      <c r="C105" s="55" t="n"/>
      <c r="D105" s="55" t="n"/>
      <c r="E105" s="53" t="n"/>
      <c r="F105" s="56" t="n"/>
      <c r="G105" s="56" t="n"/>
      <c r="H105" s="56" t="n"/>
      <c r="I105" s="56" t="n"/>
      <c r="J105" s="56" t="n"/>
      <c r="K105" s="56" t="n"/>
      <c r="L105" s="57" t="n"/>
      <c r="M105" s="56" t="n"/>
      <c r="N105" s="55" t="n"/>
      <c r="O105" s="58">
        <f>IFERROR(IF(OR(ISBLANK(G105),ISBLANK(I105)),"",ABS(G105-I105)/VLOOKUP(C105,設定!$B$9:$D$23,2,FALSE)),"")</f>
        <v/>
      </c>
      <c r="P105" s="57">
        <f>IFERROR(IF(OR(ISBLANK(F105),ISBLANK(H105),ISBLANK(J105)),"",ABS(J105-F105)/ABS(F105-H105)),"")</f>
        <v/>
      </c>
      <c r="Q105" s="59">
        <f>IFERROR(IF(OR(ISBLANK(M105),ISBLANK(D105),ISBLANK(G105)),"",IF(D105="Long",(M105-G105),(G105-M105))/VLOOKUP(C105,設定!$B$9:$D$23,2,FALSE)),"")</f>
        <v/>
      </c>
      <c r="R105" s="60">
        <f>IFERROR(IF(OR(ISBLANK(Q105),O105=0),"",Q105/O105),"")</f>
        <v/>
      </c>
      <c r="S105" s="60">
        <f>IFERROR(IF(ISBLANK(R105),S104,IF(ISNUMBER(S104),S104,0)+R105),"")</f>
        <v/>
      </c>
      <c r="T105" s="61">
        <f>IFERROR(IF(OR(ISBLANK(Q105),ISBLANK(L105)),"",Q105*L105*VLOOKUP(C105,設定!$B$9:$D$23,3,FALSE)),"")</f>
        <v/>
      </c>
      <c r="U105" s="55" t="n"/>
      <c r="V105" s="55" t="n"/>
    </row>
    <row r="106">
      <c r="A106" s="44">
        <f>IF(ISBLANK(B106),"",COUNTA($B$18:B106))</f>
        <v/>
      </c>
      <c r="B106" s="45" t="n"/>
      <c r="C106" s="46" t="n"/>
      <c r="D106" s="46" t="n"/>
      <c r="E106" s="44" t="n"/>
      <c r="F106" s="47" t="n"/>
      <c r="G106" s="47" t="n"/>
      <c r="H106" s="47" t="n"/>
      <c r="I106" s="47" t="n"/>
      <c r="J106" s="47" t="n"/>
      <c r="K106" s="47" t="n"/>
      <c r="L106" s="48" t="n"/>
      <c r="M106" s="47" t="n"/>
      <c r="N106" s="46" t="n"/>
      <c r="O106" s="49">
        <f>IFERROR(IF(OR(ISBLANK(G106),ISBLANK(I106)),"",ABS(G106-I106)/VLOOKUP(C106,設定!$B$9:$D$23,2,FALSE)),"")</f>
        <v/>
      </c>
      <c r="P106" s="48">
        <f>IFERROR(IF(OR(ISBLANK(F106),ISBLANK(H106),ISBLANK(J106)),"",ABS(J106-F106)/ABS(F106-H106)),"")</f>
        <v/>
      </c>
      <c r="Q106" s="50">
        <f>IFERROR(IF(OR(ISBLANK(M106),ISBLANK(D106),ISBLANK(G106)),"",IF(D106="Long",(M106-G106),(G106-M106))/VLOOKUP(C106,設定!$B$9:$D$23,2,FALSE)),"")</f>
        <v/>
      </c>
      <c r="R106" s="51">
        <f>IFERROR(IF(OR(ISBLANK(Q106),O106=0),"",Q106/O106),"")</f>
        <v/>
      </c>
      <c r="S106" s="51">
        <f>IFERROR(IF(ISBLANK(R106),S105,IF(ISNUMBER(S105),S105,0)+R106),"")</f>
        <v/>
      </c>
      <c r="T106" s="52">
        <f>IFERROR(IF(OR(ISBLANK(Q106),ISBLANK(L106)),"",Q106*L106*VLOOKUP(C106,設定!$B$9:$D$23,3,FALSE)),"")</f>
        <v/>
      </c>
      <c r="U106" s="46" t="n"/>
      <c r="V106" s="46" t="n"/>
    </row>
    <row r="107">
      <c r="A107" s="53">
        <f>IF(ISBLANK(B107),"",COUNTA($B$18:B107))</f>
        <v/>
      </c>
      <c r="B107" s="54" t="n"/>
      <c r="C107" s="55" t="n"/>
      <c r="D107" s="55" t="n"/>
      <c r="E107" s="53" t="n"/>
      <c r="F107" s="56" t="n"/>
      <c r="G107" s="56" t="n"/>
      <c r="H107" s="56" t="n"/>
      <c r="I107" s="56" t="n"/>
      <c r="J107" s="56" t="n"/>
      <c r="K107" s="56" t="n"/>
      <c r="L107" s="57" t="n"/>
      <c r="M107" s="56" t="n"/>
      <c r="N107" s="55" t="n"/>
      <c r="O107" s="58">
        <f>IFERROR(IF(OR(ISBLANK(G107),ISBLANK(I107)),"",ABS(G107-I107)/VLOOKUP(C107,設定!$B$9:$D$23,2,FALSE)),"")</f>
        <v/>
      </c>
      <c r="P107" s="57">
        <f>IFERROR(IF(OR(ISBLANK(F107),ISBLANK(H107),ISBLANK(J107)),"",ABS(J107-F107)/ABS(F107-H107)),"")</f>
        <v/>
      </c>
      <c r="Q107" s="59">
        <f>IFERROR(IF(OR(ISBLANK(M107),ISBLANK(D107),ISBLANK(G107)),"",IF(D107="Long",(M107-G107),(G107-M107))/VLOOKUP(C107,設定!$B$9:$D$23,2,FALSE)),"")</f>
        <v/>
      </c>
      <c r="R107" s="60">
        <f>IFERROR(IF(OR(ISBLANK(Q107),O107=0),"",Q107/O107),"")</f>
        <v/>
      </c>
      <c r="S107" s="60">
        <f>IFERROR(IF(ISBLANK(R107),S106,IF(ISNUMBER(S106),S106,0)+R107),"")</f>
        <v/>
      </c>
      <c r="T107" s="61">
        <f>IFERROR(IF(OR(ISBLANK(Q107),ISBLANK(L107)),"",Q107*L107*VLOOKUP(C107,設定!$B$9:$D$23,3,FALSE)),"")</f>
        <v/>
      </c>
      <c r="U107" s="55" t="n"/>
      <c r="V107" s="55" t="n"/>
    </row>
    <row r="108">
      <c r="A108" s="44">
        <f>IF(ISBLANK(B108),"",COUNTA($B$18:B108))</f>
        <v/>
      </c>
      <c r="B108" s="45" t="n"/>
      <c r="C108" s="46" t="n"/>
      <c r="D108" s="46" t="n"/>
      <c r="E108" s="44" t="n"/>
      <c r="F108" s="47" t="n"/>
      <c r="G108" s="47" t="n"/>
      <c r="H108" s="47" t="n"/>
      <c r="I108" s="47" t="n"/>
      <c r="J108" s="47" t="n"/>
      <c r="K108" s="47" t="n"/>
      <c r="L108" s="48" t="n"/>
      <c r="M108" s="47" t="n"/>
      <c r="N108" s="46" t="n"/>
      <c r="O108" s="49">
        <f>IFERROR(IF(OR(ISBLANK(G108),ISBLANK(I108)),"",ABS(G108-I108)/VLOOKUP(C108,設定!$B$9:$D$23,2,FALSE)),"")</f>
        <v/>
      </c>
      <c r="P108" s="48">
        <f>IFERROR(IF(OR(ISBLANK(F108),ISBLANK(H108),ISBLANK(J108)),"",ABS(J108-F108)/ABS(F108-H108)),"")</f>
        <v/>
      </c>
      <c r="Q108" s="50">
        <f>IFERROR(IF(OR(ISBLANK(M108),ISBLANK(D108),ISBLANK(G108)),"",IF(D108="Long",(M108-G108),(G108-M108))/VLOOKUP(C108,設定!$B$9:$D$23,2,FALSE)),"")</f>
        <v/>
      </c>
      <c r="R108" s="51">
        <f>IFERROR(IF(OR(ISBLANK(Q108),O108=0),"",Q108/O108),"")</f>
        <v/>
      </c>
      <c r="S108" s="51">
        <f>IFERROR(IF(ISBLANK(R108),S107,IF(ISNUMBER(S107),S107,0)+R108),"")</f>
        <v/>
      </c>
      <c r="T108" s="52">
        <f>IFERROR(IF(OR(ISBLANK(Q108),ISBLANK(L108)),"",Q108*L108*VLOOKUP(C108,設定!$B$9:$D$23,3,FALSE)),"")</f>
        <v/>
      </c>
      <c r="U108" s="46" t="n"/>
      <c r="V108" s="46" t="n"/>
    </row>
    <row r="109">
      <c r="A109" s="53">
        <f>IF(ISBLANK(B109),"",COUNTA($B$18:B109))</f>
        <v/>
      </c>
      <c r="B109" s="54" t="n"/>
      <c r="C109" s="55" t="n"/>
      <c r="D109" s="55" t="n"/>
      <c r="E109" s="53" t="n"/>
      <c r="F109" s="56" t="n"/>
      <c r="G109" s="56" t="n"/>
      <c r="H109" s="56" t="n"/>
      <c r="I109" s="56" t="n"/>
      <c r="J109" s="56" t="n"/>
      <c r="K109" s="56" t="n"/>
      <c r="L109" s="57" t="n"/>
      <c r="M109" s="56" t="n"/>
      <c r="N109" s="55" t="n"/>
      <c r="O109" s="58">
        <f>IFERROR(IF(OR(ISBLANK(G109),ISBLANK(I109)),"",ABS(G109-I109)/VLOOKUP(C109,設定!$B$9:$D$23,2,FALSE)),"")</f>
        <v/>
      </c>
      <c r="P109" s="57">
        <f>IFERROR(IF(OR(ISBLANK(F109),ISBLANK(H109),ISBLANK(J109)),"",ABS(J109-F109)/ABS(F109-H109)),"")</f>
        <v/>
      </c>
      <c r="Q109" s="59">
        <f>IFERROR(IF(OR(ISBLANK(M109),ISBLANK(D109),ISBLANK(G109)),"",IF(D109="Long",(M109-G109),(G109-M109))/VLOOKUP(C109,設定!$B$9:$D$23,2,FALSE)),"")</f>
        <v/>
      </c>
      <c r="R109" s="60">
        <f>IFERROR(IF(OR(ISBLANK(Q109),O109=0),"",Q109/O109),"")</f>
        <v/>
      </c>
      <c r="S109" s="60">
        <f>IFERROR(IF(ISBLANK(R109),S108,IF(ISNUMBER(S108),S108,0)+R109),"")</f>
        <v/>
      </c>
      <c r="T109" s="61">
        <f>IFERROR(IF(OR(ISBLANK(Q109),ISBLANK(L109)),"",Q109*L109*VLOOKUP(C109,設定!$B$9:$D$23,3,FALSE)),"")</f>
        <v/>
      </c>
      <c r="U109" s="55" t="n"/>
      <c r="V109" s="55" t="n"/>
    </row>
    <row r="110">
      <c r="A110" s="44">
        <f>IF(ISBLANK(B110),"",COUNTA($B$18:B110))</f>
        <v/>
      </c>
      <c r="B110" s="45" t="n"/>
      <c r="C110" s="46" t="n"/>
      <c r="D110" s="46" t="n"/>
      <c r="E110" s="44" t="n"/>
      <c r="F110" s="47" t="n"/>
      <c r="G110" s="47" t="n"/>
      <c r="H110" s="47" t="n"/>
      <c r="I110" s="47" t="n"/>
      <c r="J110" s="47" t="n"/>
      <c r="K110" s="47" t="n"/>
      <c r="L110" s="48" t="n"/>
      <c r="M110" s="47" t="n"/>
      <c r="N110" s="46" t="n"/>
      <c r="O110" s="49">
        <f>IFERROR(IF(OR(ISBLANK(G110),ISBLANK(I110)),"",ABS(G110-I110)/VLOOKUP(C110,設定!$B$9:$D$23,2,FALSE)),"")</f>
        <v/>
      </c>
      <c r="P110" s="48">
        <f>IFERROR(IF(OR(ISBLANK(F110),ISBLANK(H110),ISBLANK(J110)),"",ABS(J110-F110)/ABS(F110-H110)),"")</f>
        <v/>
      </c>
      <c r="Q110" s="50">
        <f>IFERROR(IF(OR(ISBLANK(M110),ISBLANK(D110),ISBLANK(G110)),"",IF(D110="Long",(M110-G110),(G110-M110))/VLOOKUP(C110,設定!$B$9:$D$23,2,FALSE)),"")</f>
        <v/>
      </c>
      <c r="R110" s="51">
        <f>IFERROR(IF(OR(ISBLANK(Q110),O110=0),"",Q110/O110),"")</f>
        <v/>
      </c>
      <c r="S110" s="51">
        <f>IFERROR(IF(ISBLANK(R110),S109,IF(ISNUMBER(S109),S109,0)+R110),"")</f>
        <v/>
      </c>
      <c r="T110" s="52">
        <f>IFERROR(IF(OR(ISBLANK(Q110),ISBLANK(L110)),"",Q110*L110*VLOOKUP(C110,設定!$B$9:$D$23,3,FALSE)),"")</f>
        <v/>
      </c>
      <c r="U110" s="46" t="n"/>
      <c r="V110" s="46" t="n"/>
    </row>
    <row r="111">
      <c r="A111" s="53">
        <f>IF(ISBLANK(B111),"",COUNTA($B$18:B111))</f>
        <v/>
      </c>
      <c r="B111" s="54" t="n"/>
      <c r="C111" s="55" t="n"/>
      <c r="D111" s="55" t="n"/>
      <c r="E111" s="53" t="n"/>
      <c r="F111" s="56" t="n"/>
      <c r="G111" s="56" t="n"/>
      <c r="H111" s="56" t="n"/>
      <c r="I111" s="56" t="n"/>
      <c r="J111" s="56" t="n"/>
      <c r="K111" s="56" t="n"/>
      <c r="L111" s="57" t="n"/>
      <c r="M111" s="56" t="n"/>
      <c r="N111" s="55" t="n"/>
      <c r="O111" s="58">
        <f>IFERROR(IF(OR(ISBLANK(G111),ISBLANK(I111)),"",ABS(G111-I111)/VLOOKUP(C111,設定!$B$9:$D$23,2,FALSE)),"")</f>
        <v/>
      </c>
      <c r="P111" s="57">
        <f>IFERROR(IF(OR(ISBLANK(F111),ISBLANK(H111),ISBLANK(J111)),"",ABS(J111-F111)/ABS(F111-H111)),"")</f>
        <v/>
      </c>
      <c r="Q111" s="59">
        <f>IFERROR(IF(OR(ISBLANK(M111),ISBLANK(D111),ISBLANK(G111)),"",IF(D111="Long",(M111-G111),(G111-M111))/VLOOKUP(C111,設定!$B$9:$D$23,2,FALSE)),"")</f>
        <v/>
      </c>
      <c r="R111" s="60">
        <f>IFERROR(IF(OR(ISBLANK(Q111),O111=0),"",Q111/O111),"")</f>
        <v/>
      </c>
      <c r="S111" s="60">
        <f>IFERROR(IF(ISBLANK(R111),S110,IF(ISNUMBER(S110),S110,0)+R111),"")</f>
        <v/>
      </c>
      <c r="T111" s="61">
        <f>IFERROR(IF(OR(ISBLANK(Q111),ISBLANK(L111)),"",Q111*L111*VLOOKUP(C111,設定!$B$9:$D$23,3,FALSE)),"")</f>
        <v/>
      </c>
      <c r="U111" s="55" t="n"/>
      <c r="V111" s="55" t="n"/>
    </row>
    <row r="112">
      <c r="A112" s="44">
        <f>IF(ISBLANK(B112),"",COUNTA($B$18:B112))</f>
        <v/>
      </c>
      <c r="B112" s="45" t="n"/>
      <c r="C112" s="46" t="n"/>
      <c r="D112" s="46" t="n"/>
      <c r="E112" s="44" t="n"/>
      <c r="F112" s="47" t="n"/>
      <c r="G112" s="47" t="n"/>
      <c r="H112" s="47" t="n"/>
      <c r="I112" s="47" t="n"/>
      <c r="J112" s="47" t="n"/>
      <c r="K112" s="47" t="n"/>
      <c r="L112" s="48" t="n"/>
      <c r="M112" s="47" t="n"/>
      <c r="N112" s="46" t="n"/>
      <c r="O112" s="49">
        <f>IFERROR(IF(OR(ISBLANK(G112),ISBLANK(I112)),"",ABS(G112-I112)/VLOOKUP(C112,設定!$B$9:$D$23,2,FALSE)),"")</f>
        <v/>
      </c>
      <c r="P112" s="48">
        <f>IFERROR(IF(OR(ISBLANK(F112),ISBLANK(H112),ISBLANK(J112)),"",ABS(J112-F112)/ABS(F112-H112)),"")</f>
        <v/>
      </c>
      <c r="Q112" s="50">
        <f>IFERROR(IF(OR(ISBLANK(M112),ISBLANK(D112),ISBLANK(G112)),"",IF(D112="Long",(M112-G112),(G112-M112))/VLOOKUP(C112,設定!$B$9:$D$23,2,FALSE)),"")</f>
        <v/>
      </c>
      <c r="R112" s="51">
        <f>IFERROR(IF(OR(ISBLANK(Q112),O112=0),"",Q112/O112),"")</f>
        <v/>
      </c>
      <c r="S112" s="51">
        <f>IFERROR(IF(ISBLANK(R112),S111,IF(ISNUMBER(S111),S111,0)+R112),"")</f>
        <v/>
      </c>
      <c r="T112" s="52">
        <f>IFERROR(IF(OR(ISBLANK(Q112),ISBLANK(L112)),"",Q112*L112*VLOOKUP(C112,設定!$B$9:$D$23,3,FALSE)),"")</f>
        <v/>
      </c>
      <c r="U112" s="46" t="n"/>
      <c r="V112" s="46" t="n"/>
    </row>
    <row r="113">
      <c r="A113" s="53">
        <f>IF(ISBLANK(B113),"",COUNTA($B$18:B113))</f>
        <v/>
      </c>
      <c r="B113" s="54" t="n"/>
      <c r="C113" s="55" t="n"/>
      <c r="D113" s="55" t="n"/>
      <c r="E113" s="53" t="n"/>
      <c r="F113" s="56" t="n"/>
      <c r="G113" s="56" t="n"/>
      <c r="H113" s="56" t="n"/>
      <c r="I113" s="56" t="n"/>
      <c r="J113" s="56" t="n"/>
      <c r="K113" s="56" t="n"/>
      <c r="L113" s="57" t="n"/>
      <c r="M113" s="56" t="n"/>
      <c r="N113" s="55" t="n"/>
      <c r="O113" s="58">
        <f>IFERROR(IF(OR(ISBLANK(G113),ISBLANK(I113)),"",ABS(G113-I113)/VLOOKUP(C113,設定!$B$9:$D$23,2,FALSE)),"")</f>
        <v/>
      </c>
      <c r="P113" s="57">
        <f>IFERROR(IF(OR(ISBLANK(F113),ISBLANK(H113),ISBLANK(J113)),"",ABS(J113-F113)/ABS(F113-H113)),"")</f>
        <v/>
      </c>
      <c r="Q113" s="59">
        <f>IFERROR(IF(OR(ISBLANK(M113),ISBLANK(D113),ISBLANK(G113)),"",IF(D113="Long",(M113-G113),(G113-M113))/VLOOKUP(C113,設定!$B$9:$D$23,2,FALSE)),"")</f>
        <v/>
      </c>
      <c r="R113" s="60">
        <f>IFERROR(IF(OR(ISBLANK(Q113),O113=0),"",Q113/O113),"")</f>
        <v/>
      </c>
      <c r="S113" s="60">
        <f>IFERROR(IF(ISBLANK(R113),S112,IF(ISNUMBER(S112),S112,0)+R113),"")</f>
        <v/>
      </c>
      <c r="T113" s="61">
        <f>IFERROR(IF(OR(ISBLANK(Q113),ISBLANK(L113)),"",Q113*L113*VLOOKUP(C113,設定!$B$9:$D$23,3,FALSE)),"")</f>
        <v/>
      </c>
      <c r="U113" s="55" t="n"/>
      <c r="V113" s="55" t="n"/>
    </row>
    <row r="114">
      <c r="A114" s="44">
        <f>IF(ISBLANK(B114),"",COUNTA($B$18:B114))</f>
        <v/>
      </c>
      <c r="B114" s="45" t="n"/>
      <c r="C114" s="46" t="n"/>
      <c r="D114" s="46" t="n"/>
      <c r="E114" s="44" t="n"/>
      <c r="F114" s="47" t="n"/>
      <c r="G114" s="47" t="n"/>
      <c r="H114" s="47" t="n"/>
      <c r="I114" s="47" t="n"/>
      <c r="J114" s="47" t="n"/>
      <c r="K114" s="47" t="n"/>
      <c r="L114" s="48" t="n"/>
      <c r="M114" s="47" t="n"/>
      <c r="N114" s="46" t="n"/>
      <c r="O114" s="49">
        <f>IFERROR(IF(OR(ISBLANK(G114),ISBLANK(I114)),"",ABS(G114-I114)/VLOOKUP(C114,設定!$B$9:$D$23,2,FALSE)),"")</f>
        <v/>
      </c>
      <c r="P114" s="48">
        <f>IFERROR(IF(OR(ISBLANK(F114),ISBLANK(H114),ISBLANK(J114)),"",ABS(J114-F114)/ABS(F114-H114)),"")</f>
        <v/>
      </c>
      <c r="Q114" s="50">
        <f>IFERROR(IF(OR(ISBLANK(M114),ISBLANK(D114),ISBLANK(G114)),"",IF(D114="Long",(M114-G114),(G114-M114))/VLOOKUP(C114,設定!$B$9:$D$23,2,FALSE)),"")</f>
        <v/>
      </c>
      <c r="R114" s="51">
        <f>IFERROR(IF(OR(ISBLANK(Q114),O114=0),"",Q114/O114),"")</f>
        <v/>
      </c>
      <c r="S114" s="51">
        <f>IFERROR(IF(ISBLANK(R114),S113,IF(ISNUMBER(S113),S113,0)+R114),"")</f>
        <v/>
      </c>
      <c r="T114" s="52">
        <f>IFERROR(IF(OR(ISBLANK(Q114),ISBLANK(L114)),"",Q114*L114*VLOOKUP(C114,設定!$B$9:$D$23,3,FALSE)),"")</f>
        <v/>
      </c>
      <c r="U114" s="46" t="n"/>
      <c r="V114" s="46" t="n"/>
    </row>
    <row r="115">
      <c r="A115" s="53">
        <f>IF(ISBLANK(B115),"",COUNTA($B$18:B115))</f>
        <v/>
      </c>
      <c r="B115" s="54" t="n"/>
      <c r="C115" s="55" t="n"/>
      <c r="D115" s="55" t="n"/>
      <c r="E115" s="53" t="n"/>
      <c r="F115" s="56" t="n"/>
      <c r="G115" s="56" t="n"/>
      <c r="H115" s="56" t="n"/>
      <c r="I115" s="56" t="n"/>
      <c r="J115" s="56" t="n"/>
      <c r="K115" s="56" t="n"/>
      <c r="L115" s="57" t="n"/>
      <c r="M115" s="56" t="n"/>
      <c r="N115" s="55" t="n"/>
      <c r="O115" s="58">
        <f>IFERROR(IF(OR(ISBLANK(G115),ISBLANK(I115)),"",ABS(G115-I115)/VLOOKUP(C115,設定!$B$9:$D$23,2,FALSE)),"")</f>
        <v/>
      </c>
      <c r="P115" s="57">
        <f>IFERROR(IF(OR(ISBLANK(F115),ISBLANK(H115),ISBLANK(J115)),"",ABS(J115-F115)/ABS(F115-H115)),"")</f>
        <v/>
      </c>
      <c r="Q115" s="59">
        <f>IFERROR(IF(OR(ISBLANK(M115),ISBLANK(D115),ISBLANK(G115)),"",IF(D115="Long",(M115-G115),(G115-M115))/VLOOKUP(C115,設定!$B$9:$D$23,2,FALSE)),"")</f>
        <v/>
      </c>
      <c r="R115" s="60">
        <f>IFERROR(IF(OR(ISBLANK(Q115),O115=0),"",Q115/O115),"")</f>
        <v/>
      </c>
      <c r="S115" s="60">
        <f>IFERROR(IF(ISBLANK(R115),S114,IF(ISNUMBER(S114),S114,0)+R115),"")</f>
        <v/>
      </c>
      <c r="T115" s="61">
        <f>IFERROR(IF(OR(ISBLANK(Q115),ISBLANK(L115)),"",Q115*L115*VLOOKUP(C115,設定!$B$9:$D$23,3,FALSE)),"")</f>
        <v/>
      </c>
      <c r="U115" s="55" t="n"/>
      <c r="V115" s="55" t="n"/>
    </row>
    <row r="116">
      <c r="A116" s="44">
        <f>IF(ISBLANK(B116),"",COUNTA($B$18:B116))</f>
        <v/>
      </c>
      <c r="B116" s="45" t="n"/>
      <c r="C116" s="46" t="n"/>
      <c r="D116" s="46" t="n"/>
      <c r="E116" s="44" t="n"/>
      <c r="F116" s="47" t="n"/>
      <c r="G116" s="47" t="n"/>
      <c r="H116" s="47" t="n"/>
      <c r="I116" s="47" t="n"/>
      <c r="J116" s="47" t="n"/>
      <c r="K116" s="47" t="n"/>
      <c r="L116" s="48" t="n"/>
      <c r="M116" s="47" t="n"/>
      <c r="N116" s="46" t="n"/>
      <c r="O116" s="49">
        <f>IFERROR(IF(OR(ISBLANK(G116),ISBLANK(I116)),"",ABS(G116-I116)/VLOOKUP(C116,設定!$B$9:$D$23,2,FALSE)),"")</f>
        <v/>
      </c>
      <c r="P116" s="48">
        <f>IFERROR(IF(OR(ISBLANK(F116),ISBLANK(H116),ISBLANK(J116)),"",ABS(J116-F116)/ABS(F116-H116)),"")</f>
        <v/>
      </c>
      <c r="Q116" s="50">
        <f>IFERROR(IF(OR(ISBLANK(M116),ISBLANK(D116),ISBLANK(G116)),"",IF(D116="Long",(M116-G116),(G116-M116))/VLOOKUP(C116,設定!$B$9:$D$23,2,FALSE)),"")</f>
        <v/>
      </c>
      <c r="R116" s="51">
        <f>IFERROR(IF(OR(ISBLANK(Q116),O116=0),"",Q116/O116),"")</f>
        <v/>
      </c>
      <c r="S116" s="51">
        <f>IFERROR(IF(ISBLANK(R116),S115,IF(ISNUMBER(S115),S115,0)+R116),"")</f>
        <v/>
      </c>
      <c r="T116" s="52">
        <f>IFERROR(IF(OR(ISBLANK(Q116),ISBLANK(L116)),"",Q116*L116*VLOOKUP(C116,設定!$B$9:$D$23,3,FALSE)),"")</f>
        <v/>
      </c>
      <c r="U116" s="46" t="n"/>
      <c r="V116" s="46" t="n"/>
    </row>
    <row r="117">
      <c r="A117" s="53">
        <f>IF(ISBLANK(B117),"",COUNTA($B$18:B117))</f>
        <v/>
      </c>
      <c r="B117" s="54" t="n"/>
      <c r="C117" s="55" t="n"/>
      <c r="D117" s="55" t="n"/>
      <c r="E117" s="53" t="n"/>
      <c r="F117" s="56" t="n"/>
      <c r="G117" s="56" t="n"/>
      <c r="H117" s="56" t="n"/>
      <c r="I117" s="56" t="n"/>
      <c r="J117" s="56" t="n"/>
      <c r="K117" s="56" t="n"/>
      <c r="L117" s="57" t="n"/>
      <c r="M117" s="56" t="n"/>
      <c r="N117" s="55" t="n"/>
      <c r="O117" s="58">
        <f>IFERROR(IF(OR(ISBLANK(G117),ISBLANK(I117)),"",ABS(G117-I117)/VLOOKUP(C117,設定!$B$9:$D$23,2,FALSE)),"")</f>
        <v/>
      </c>
      <c r="P117" s="57">
        <f>IFERROR(IF(OR(ISBLANK(F117),ISBLANK(H117),ISBLANK(J117)),"",ABS(J117-F117)/ABS(F117-H117)),"")</f>
        <v/>
      </c>
      <c r="Q117" s="59">
        <f>IFERROR(IF(OR(ISBLANK(M117),ISBLANK(D117),ISBLANK(G117)),"",IF(D117="Long",(M117-G117),(G117-M117))/VLOOKUP(C117,設定!$B$9:$D$23,2,FALSE)),"")</f>
        <v/>
      </c>
      <c r="R117" s="60">
        <f>IFERROR(IF(OR(ISBLANK(Q117),O117=0),"",Q117/O117),"")</f>
        <v/>
      </c>
      <c r="S117" s="60">
        <f>IFERROR(IF(ISBLANK(R117),S116,IF(ISNUMBER(S116),S116,0)+R117),"")</f>
        <v/>
      </c>
      <c r="T117" s="61">
        <f>IFERROR(IF(OR(ISBLANK(Q117),ISBLANK(L117)),"",Q117*L117*VLOOKUP(C117,設定!$B$9:$D$23,3,FALSE)),"")</f>
        <v/>
      </c>
      <c r="U117" s="55" t="n"/>
      <c r="V117" s="55" t="n"/>
    </row>
    <row r="118">
      <c r="A118" s="44">
        <f>IF(ISBLANK(B118),"",COUNTA($B$18:B118))</f>
        <v/>
      </c>
      <c r="B118" s="45" t="n"/>
      <c r="C118" s="46" t="n"/>
      <c r="D118" s="46" t="n"/>
      <c r="E118" s="44" t="n"/>
      <c r="F118" s="47" t="n"/>
      <c r="G118" s="47" t="n"/>
      <c r="H118" s="47" t="n"/>
      <c r="I118" s="47" t="n"/>
      <c r="J118" s="47" t="n"/>
      <c r="K118" s="47" t="n"/>
      <c r="L118" s="48" t="n"/>
      <c r="M118" s="47" t="n"/>
      <c r="N118" s="46" t="n"/>
      <c r="O118" s="49">
        <f>IFERROR(IF(OR(ISBLANK(G118),ISBLANK(I118)),"",ABS(G118-I118)/VLOOKUP(C118,設定!$B$9:$D$23,2,FALSE)),"")</f>
        <v/>
      </c>
      <c r="P118" s="48">
        <f>IFERROR(IF(OR(ISBLANK(F118),ISBLANK(H118),ISBLANK(J118)),"",ABS(J118-F118)/ABS(F118-H118)),"")</f>
        <v/>
      </c>
      <c r="Q118" s="50">
        <f>IFERROR(IF(OR(ISBLANK(M118),ISBLANK(D118),ISBLANK(G118)),"",IF(D118="Long",(M118-G118),(G118-M118))/VLOOKUP(C118,設定!$B$9:$D$23,2,FALSE)),"")</f>
        <v/>
      </c>
      <c r="R118" s="51">
        <f>IFERROR(IF(OR(ISBLANK(Q118),O118=0),"",Q118/O118),"")</f>
        <v/>
      </c>
      <c r="S118" s="51">
        <f>IFERROR(IF(ISBLANK(R118),S117,IF(ISNUMBER(S117),S117,0)+R118),"")</f>
        <v/>
      </c>
      <c r="T118" s="52">
        <f>IFERROR(IF(OR(ISBLANK(Q118),ISBLANK(L118)),"",Q118*L118*VLOOKUP(C118,設定!$B$9:$D$23,3,FALSE)),"")</f>
        <v/>
      </c>
      <c r="U118" s="46" t="n"/>
      <c r="V118" s="46" t="n"/>
    </row>
    <row r="119">
      <c r="A119" s="53">
        <f>IF(ISBLANK(B119),"",COUNTA($B$18:B119))</f>
        <v/>
      </c>
      <c r="B119" s="54" t="n"/>
      <c r="C119" s="55" t="n"/>
      <c r="D119" s="55" t="n"/>
      <c r="E119" s="53" t="n"/>
      <c r="F119" s="56" t="n"/>
      <c r="G119" s="56" t="n"/>
      <c r="H119" s="56" t="n"/>
      <c r="I119" s="56" t="n"/>
      <c r="J119" s="56" t="n"/>
      <c r="K119" s="56" t="n"/>
      <c r="L119" s="57" t="n"/>
      <c r="M119" s="56" t="n"/>
      <c r="N119" s="55" t="n"/>
      <c r="O119" s="58">
        <f>IFERROR(IF(OR(ISBLANK(G119),ISBLANK(I119)),"",ABS(G119-I119)/VLOOKUP(C119,設定!$B$9:$D$23,2,FALSE)),"")</f>
        <v/>
      </c>
      <c r="P119" s="57">
        <f>IFERROR(IF(OR(ISBLANK(F119),ISBLANK(H119),ISBLANK(J119)),"",ABS(J119-F119)/ABS(F119-H119)),"")</f>
        <v/>
      </c>
      <c r="Q119" s="59">
        <f>IFERROR(IF(OR(ISBLANK(M119),ISBLANK(D119),ISBLANK(G119)),"",IF(D119="Long",(M119-G119),(G119-M119))/VLOOKUP(C119,設定!$B$9:$D$23,2,FALSE)),"")</f>
        <v/>
      </c>
      <c r="R119" s="60">
        <f>IFERROR(IF(OR(ISBLANK(Q119),O119=0),"",Q119/O119),"")</f>
        <v/>
      </c>
      <c r="S119" s="60">
        <f>IFERROR(IF(ISBLANK(R119),S118,IF(ISNUMBER(S118),S118,0)+R119),"")</f>
        <v/>
      </c>
      <c r="T119" s="61">
        <f>IFERROR(IF(OR(ISBLANK(Q119),ISBLANK(L119)),"",Q119*L119*VLOOKUP(C119,設定!$B$9:$D$23,3,FALSE)),"")</f>
        <v/>
      </c>
      <c r="U119" s="55" t="n"/>
      <c r="V119" s="55" t="n"/>
    </row>
    <row r="120">
      <c r="A120" s="44">
        <f>IF(ISBLANK(B120),"",COUNTA($B$18:B120))</f>
        <v/>
      </c>
      <c r="B120" s="45" t="n"/>
      <c r="C120" s="46" t="n"/>
      <c r="D120" s="46" t="n"/>
      <c r="E120" s="44" t="n"/>
      <c r="F120" s="47" t="n"/>
      <c r="G120" s="47" t="n"/>
      <c r="H120" s="47" t="n"/>
      <c r="I120" s="47" t="n"/>
      <c r="J120" s="47" t="n"/>
      <c r="K120" s="47" t="n"/>
      <c r="L120" s="48" t="n"/>
      <c r="M120" s="47" t="n"/>
      <c r="N120" s="46" t="n"/>
      <c r="O120" s="49">
        <f>IFERROR(IF(OR(ISBLANK(G120),ISBLANK(I120)),"",ABS(G120-I120)/VLOOKUP(C120,設定!$B$9:$D$23,2,FALSE)),"")</f>
        <v/>
      </c>
      <c r="P120" s="48">
        <f>IFERROR(IF(OR(ISBLANK(F120),ISBLANK(H120),ISBLANK(J120)),"",ABS(J120-F120)/ABS(F120-H120)),"")</f>
        <v/>
      </c>
      <c r="Q120" s="50">
        <f>IFERROR(IF(OR(ISBLANK(M120),ISBLANK(D120),ISBLANK(G120)),"",IF(D120="Long",(M120-G120),(G120-M120))/VLOOKUP(C120,設定!$B$9:$D$23,2,FALSE)),"")</f>
        <v/>
      </c>
      <c r="R120" s="51">
        <f>IFERROR(IF(OR(ISBLANK(Q120),O120=0),"",Q120/O120),"")</f>
        <v/>
      </c>
      <c r="S120" s="51">
        <f>IFERROR(IF(ISBLANK(R120),S119,IF(ISNUMBER(S119),S119,0)+R120),"")</f>
        <v/>
      </c>
      <c r="T120" s="52">
        <f>IFERROR(IF(OR(ISBLANK(Q120),ISBLANK(L120)),"",Q120*L120*VLOOKUP(C120,設定!$B$9:$D$23,3,FALSE)),"")</f>
        <v/>
      </c>
      <c r="U120" s="46" t="n"/>
      <c r="V120" s="46" t="n"/>
    </row>
    <row r="121">
      <c r="A121" s="53">
        <f>IF(ISBLANK(B121),"",COUNTA($B$18:B121))</f>
        <v/>
      </c>
      <c r="B121" s="54" t="n"/>
      <c r="C121" s="55" t="n"/>
      <c r="D121" s="55" t="n"/>
      <c r="E121" s="53" t="n"/>
      <c r="F121" s="56" t="n"/>
      <c r="G121" s="56" t="n"/>
      <c r="H121" s="56" t="n"/>
      <c r="I121" s="56" t="n"/>
      <c r="J121" s="56" t="n"/>
      <c r="K121" s="56" t="n"/>
      <c r="L121" s="57" t="n"/>
      <c r="M121" s="56" t="n"/>
      <c r="N121" s="55" t="n"/>
      <c r="O121" s="58">
        <f>IFERROR(IF(OR(ISBLANK(G121),ISBLANK(I121)),"",ABS(G121-I121)/VLOOKUP(C121,設定!$B$9:$D$23,2,FALSE)),"")</f>
        <v/>
      </c>
      <c r="P121" s="57">
        <f>IFERROR(IF(OR(ISBLANK(F121),ISBLANK(H121),ISBLANK(J121)),"",ABS(J121-F121)/ABS(F121-H121)),"")</f>
        <v/>
      </c>
      <c r="Q121" s="59">
        <f>IFERROR(IF(OR(ISBLANK(M121),ISBLANK(D121),ISBLANK(G121)),"",IF(D121="Long",(M121-G121),(G121-M121))/VLOOKUP(C121,設定!$B$9:$D$23,2,FALSE)),"")</f>
        <v/>
      </c>
      <c r="R121" s="60">
        <f>IFERROR(IF(OR(ISBLANK(Q121),O121=0),"",Q121/O121),"")</f>
        <v/>
      </c>
      <c r="S121" s="60">
        <f>IFERROR(IF(ISBLANK(R121),S120,IF(ISNUMBER(S120),S120,0)+R121),"")</f>
        <v/>
      </c>
      <c r="T121" s="61">
        <f>IFERROR(IF(OR(ISBLANK(Q121),ISBLANK(L121)),"",Q121*L121*VLOOKUP(C121,設定!$B$9:$D$23,3,FALSE)),"")</f>
        <v/>
      </c>
      <c r="U121" s="55" t="n"/>
      <c r="V121" s="55" t="n"/>
    </row>
    <row r="122">
      <c r="A122" s="44">
        <f>IF(ISBLANK(B122),"",COUNTA($B$18:B122))</f>
        <v/>
      </c>
      <c r="B122" s="45" t="n"/>
      <c r="C122" s="46" t="n"/>
      <c r="D122" s="46" t="n"/>
      <c r="E122" s="44" t="n"/>
      <c r="F122" s="47" t="n"/>
      <c r="G122" s="47" t="n"/>
      <c r="H122" s="47" t="n"/>
      <c r="I122" s="47" t="n"/>
      <c r="J122" s="47" t="n"/>
      <c r="K122" s="47" t="n"/>
      <c r="L122" s="48" t="n"/>
      <c r="M122" s="47" t="n"/>
      <c r="N122" s="46" t="n"/>
      <c r="O122" s="49">
        <f>IFERROR(IF(OR(ISBLANK(G122),ISBLANK(I122)),"",ABS(G122-I122)/VLOOKUP(C122,設定!$B$9:$D$23,2,FALSE)),"")</f>
        <v/>
      </c>
      <c r="P122" s="48">
        <f>IFERROR(IF(OR(ISBLANK(F122),ISBLANK(H122),ISBLANK(J122)),"",ABS(J122-F122)/ABS(F122-H122)),"")</f>
        <v/>
      </c>
      <c r="Q122" s="50">
        <f>IFERROR(IF(OR(ISBLANK(M122),ISBLANK(D122),ISBLANK(G122)),"",IF(D122="Long",(M122-G122),(G122-M122))/VLOOKUP(C122,設定!$B$9:$D$23,2,FALSE)),"")</f>
        <v/>
      </c>
      <c r="R122" s="51">
        <f>IFERROR(IF(OR(ISBLANK(Q122),O122=0),"",Q122/O122),"")</f>
        <v/>
      </c>
      <c r="S122" s="51">
        <f>IFERROR(IF(ISBLANK(R122),S121,IF(ISNUMBER(S121),S121,0)+R122),"")</f>
        <v/>
      </c>
      <c r="T122" s="52">
        <f>IFERROR(IF(OR(ISBLANK(Q122),ISBLANK(L122)),"",Q122*L122*VLOOKUP(C122,設定!$B$9:$D$23,3,FALSE)),"")</f>
        <v/>
      </c>
      <c r="U122" s="46" t="n"/>
      <c r="V122" s="46" t="n"/>
    </row>
    <row r="123">
      <c r="A123" s="53">
        <f>IF(ISBLANK(B123),"",COUNTA($B$18:B123))</f>
        <v/>
      </c>
      <c r="B123" s="54" t="n"/>
      <c r="C123" s="55" t="n"/>
      <c r="D123" s="55" t="n"/>
      <c r="E123" s="53" t="n"/>
      <c r="F123" s="56" t="n"/>
      <c r="G123" s="56" t="n"/>
      <c r="H123" s="56" t="n"/>
      <c r="I123" s="56" t="n"/>
      <c r="J123" s="56" t="n"/>
      <c r="K123" s="56" t="n"/>
      <c r="L123" s="57" t="n"/>
      <c r="M123" s="56" t="n"/>
      <c r="N123" s="55" t="n"/>
      <c r="O123" s="58">
        <f>IFERROR(IF(OR(ISBLANK(G123),ISBLANK(I123)),"",ABS(G123-I123)/VLOOKUP(C123,設定!$B$9:$D$23,2,FALSE)),"")</f>
        <v/>
      </c>
      <c r="P123" s="57">
        <f>IFERROR(IF(OR(ISBLANK(F123),ISBLANK(H123),ISBLANK(J123)),"",ABS(J123-F123)/ABS(F123-H123)),"")</f>
        <v/>
      </c>
      <c r="Q123" s="59">
        <f>IFERROR(IF(OR(ISBLANK(M123),ISBLANK(D123),ISBLANK(G123)),"",IF(D123="Long",(M123-G123),(G123-M123))/VLOOKUP(C123,設定!$B$9:$D$23,2,FALSE)),"")</f>
        <v/>
      </c>
      <c r="R123" s="60">
        <f>IFERROR(IF(OR(ISBLANK(Q123),O123=0),"",Q123/O123),"")</f>
        <v/>
      </c>
      <c r="S123" s="60">
        <f>IFERROR(IF(ISBLANK(R123),S122,IF(ISNUMBER(S122),S122,0)+R123),"")</f>
        <v/>
      </c>
      <c r="T123" s="61">
        <f>IFERROR(IF(OR(ISBLANK(Q123),ISBLANK(L123)),"",Q123*L123*VLOOKUP(C123,設定!$B$9:$D$23,3,FALSE)),"")</f>
        <v/>
      </c>
      <c r="U123" s="55" t="n"/>
      <c r="V123" s="55" t="n"/>
    </row>
    <row r="124">
      <c r="A124" s="44">
        <f>IF(ISBLANK(B124),"",COUNTA($B$18:B124))</f>
        <v/>
      </c>
      <c r="B124" s="45" t="n"/>
      <c r="C124" s="46" t="n"/>
      <c r="D124" s="46" t="n"/>
      <c r="E124" s="44" t="n"/>
      <c r="F124" s="47" t="n"/>
      <c r="G124" s="47" t="n"/>
      <c r="H124" s="47" t="n"/>
      <c r="I124" s="47" t="n"/>
      <c r="J124" s="47" t="n"/>
      <c r="K124" s="47" t="n"/>
      <c r="L124" s="48" t="n"/>
      <c r="M124" s="47" t="n"/>
      <c r="N124" s="46" t="n"/>
      <c r="O124" s="49">
        <f>IFERROR(IF(OR(ISBLANK(G124),ISBLANK(I124)),"",ABS(G124-I124)/VLOOKUP(C124,設定!$B$9:$D$23,2,FALSE)),"")</f>
        <v/>
      </c>
      <c r="P124" s="48">
        <f>IFERROR(IF(OR(ISBLANK(F124),ISBLANK(H124),ISBLANK(J124)),"",ABS(J124-F124)/ABS(F124-H124)),"")</f>
        <v/>
      </c>
      <c r="Q124" s="50">
        <f>IFERROR(IF(OR(ISBLANK(M124),ISBLANK(D124),ISBLANK(G124)),"",IF(D124="Long",(M124-G124),(G124-M124))/VLOOKUP(C124,設定!$B$9:$D$23,2,FALSE)),"")</f>
        <v/>
      </c>
      <c r="R124" s="51">
        <f>IFERROR(IF(OR(ISBLANK(Q124),O124=0),"",Q124/O124),"")</f>
        <v/>
      </c>
      <c r="S124" s="51">
        <f>IFERROR(IF(ISBLANK(R124),S123,IF(ISNUMBER(S123),S123,0)+R124),"")</f>
        <v/>
      </c>
      <c r="T124" s="52">
        <f>IFERROR(IF(OR(ISBLANK(Q124),ISBLANK(L124)),"",Q124*L124*VLOOKUP(C124,設定!$B$9:$D$23,3,FALSE)),"")</f>
        <v/>
      </c>
      <c r="U124" s="46" t="n"/>
      <c r="V124" s="46" t="n"/>
    </row>
    <row r="125">
      <c r="A125" s="53">
        <f>IF(ISBLANK(B125),"",COUNTA($B$18:B125))</f>
        <v/>
      </c>
      <c r="B125" s="54" t="n"/>
      <c r="C125" s="55" t="n"/>
      <c r="D125" s="55" t="n"/>
      <c r="E125" s="53" t="n"/>
      <c r="F125" s="56" t="n"/>
      <c r="G125" s="56" t="n"/>
      <c r="H125" s="56" t="n"/>
      <c r="I125" s="56" t="n"/>
      <c r="J125" s="56" t="n"/>
      <c r="K125" s="56" t="n"/>
      <c r="L125" s="57" t="n"/>
      <c r="M125" s="56" t="n"/>
      <c r="N125" s="55" t="n"/>
      <c r="O125" s="58">
        <f>IFERROR(IF(OR(ISBLANK(G125),ISBLANK(I125)),"",ABS(G125-I125)/VLOOKUP(C125,設定!$B$9:$D$23,2,FALSE)),"")</f>
        <v/>
      </c>
      <c r="P125" s="57">
        <f>IFERROR(IF(OR(ISBLANK(F125),ISBLANK(H125),ISBLANK(J125)),"",ABS(J125-F125)/ABS(F125-H125)),"")</f>
        <v/>
      </c>
      <c r="Q125" s="59">
        <f>IFERROR(IF(OR(ISBLANK(M125),ISBLANK(D125),ISBLANK(G125)),"",IF(D125="Long",(M125-G125),(G125-M125))/VLOOKUP(C125,設定!$B$9:$D$23,2,FALSE)),"")</f>
        <v/>
      </c>
      <c r="R125" s="60">
        <f>IFERROR(IF(OR(ISBLANK(Q125),O125=0),"",Q125/O125),"")</f>
        <v/>
      </c>
      <c r="S125" s="60">
        <f>IFERROR(IF(ISBLANK(R125),S124,IF(ISNUMBER(S124),S124,0)+R125),"")</f>
        <v/>
      </c>
      <c r="T125" s="61">
        <f>IFERROR(IF(OR(ISBLANK(Q125),ISBLANK(L125)),"",Q125*L125*VLOOKUP(C125,設定!$B$9:$D$23,3,FALSE)),"")</f>
        <v/>
      </c>
      <c r="U125" s="55" t="n"/>
      <c r="V125" s="55" t="n"/>
    </row>
    <row r="126">
      <c r="A126" s="44">
        <f>IF(ISBLANK(B126),"",COUNTA($B$18:B126))</f>
        <v/>
      </c>
      <c r="B126" s="45" t="n"/>
      <c r="C126" s="46" t="n"/>
      <c r="D126" s="46" t="n"/>
      <c r="E126" s="44" t="n"/>
      <c r="F126" s="47" t="n"/>
      <c r="G126" s="47" t="n"/>
      <c r="H126" s="47" t="n"/>
      <c r="I126" s="47" t="n"/>
      <c r="J126" s="47" t="n"/>
      <c r="K126" s="47" t="n"/>
      <c r="L126" s="48" t="n"/>
      <c r="M126" s="47" t="n"/>
      <c r="N126" s="46" t="n"/>
      <c r="O126" s="49">
        <f>IFERROR(IF(OR(ISBLANK(G126),ISBLANK(I126)),"",ABS(G126-I126)/VLOOKUP(C126,設定!$B$9:$D$23,2,FALSE)),"")</f>
        <v/>
      </c>
      <c r="P126" s="48">
        <f>IFERROR(IF(OR(ISBLANK(F126),ISBLANK(H126),ISBLANK(J126)),"",ABS(J126-F126)/ABS(F126-H126)),"")</f>
        <v/>
      </c>
      <c r="Q126" s="50">
        <f>IFERROR(IF(OR(ISBLANK(M126),ISBLANK(D126),ISBLANK(G126)),"",IF(D126="Long",(M126-G126),(G126-M126))/VLOOKUP(C126,設定!$B$9:$D$23,2,FALSE)),"")</f>
        <v/>
      </c>
      <c r="R126" s="51">
        <f>IFERROR(IF(OR(ISBLANK(Q126),O126=0),"",Q126/O126),"")</f>
        <v/>
      </c>
      <c r="S126" s="51">
        <f>IFERROR(IF(ISBLANK(R126),S125,IF(ISNUMBER(S125),S125,0)+R126),"")</f>
        <v/>
      </c>
      <c r="T126" s="52">
        <f>IFERROR(IF(OR(ISBLANK(Q126),ISBLANK(L126)),"",Q126*L126*VLOOKUP(C126,設定!$B$9:$D$23,3,FALSE)),"")</f>
        <v/>
      </c>
      <c r="U126" s="46" t="n"/>
      <c r="V126" s="46" t="n"/>
    </row>
    <row r="127">
      <c r="A127" s="53">
        <f>IF(ISBLANK(B127),"",COUNTA($B$18:B127))</f>
        <v/>
      </c>
      <c r="B127" s="54" t="n"/>
      <c r="C127" s="55" t="n"/>
      <c r="D127" s="55" t="n"/>
      <c r="E127" s="53" t="n"/>
      <c r="F127" s="56" t="n"/>
      <c r="G127" s="56" t="n"/>
      <c r="H127" s="56" t="n"/>
      <c r="I127" s="56" t="n"/>
      <c r="J127" s="56" t="n"/>
      <c r="K127" s="56" t="n"/>
      <c r="L127" s="57" t="n"/>
      <c r="M127" s="56" t="n"/>
      <c r="N127" s="55" t="n"/>
      <c r="O127" s="58">
        <f>IFERROR(IF(OR(ISBLANK(G127),ISBLANK(I127)),"",ABS(G127-I127)/VLOOKUP(C127,設定!$B$9:$D$23,2,FALSE)),"")</f>
        <v/>
      </c>
      <c r="P127" s="57">
        <f>IFERROR(IF(OR(ISBLANK(F127),ISBLANK(H127),ISBLANK(J127)),"",ABS(J127-F127)/ABS(F127-H127)),"")</f>
        <v/>
      </c>
      <c r="Q127" s="59">
        <f>IFERROR(IF(OR(ISBLANK(M127),ISBLANK(D127),ISBLANK(G127)),"",IF(D127="Long",(M127-G127),(G127-M127))/VLOOKUP(C127,設定!$B$9:$D$23,2,FALSE)),"")</f>
        <v/>
      </c>
      <c r="R127" s="60">
        <f>IFERROR(IF(OR(ISBLANK(Q127),O127=0),"",Q127/O127),"")</f>
        <v/>
      </c>
      <c r="S127" s="60">
        <f>IFERROR(IF(ISBLANK(R127),S126,IF(ISNUMBER(S126),S126,0)+R127),"")</f>
        <v/>
      </c>
      <c r="T127" s="61">
        <f>IFERROR(IF(OR(ISBLANK(Q127),ISBLANK(L127)),"",Q127*L127*VLOOKUP(C127,設定!$B$9:$D$23,3,FALSE)),"")</f>
        <v/>
      </c>
      <c r="U127" s="55" t="n"/>
      <c r="V127" s="55" t="n"/>
    </row>
    <row r="128">
      <c r="A128" s="44">
        <f>IF(ISBLANK(B128),"",COUNTA($B$18:B128))</f>
        <v/>
      </c>
      <c r="B128" s="45" t="n"/>
      <c r="C128" s="46" t="n"/>
      <c r="D128" s="46" t="n"/>
      <c r="E128" s="44" t="n"/>
      <c r="F128" s="47" t="n"/>
      <c r="G128" s="47" t="n"/>
      <c r="H128" s="47" t="n"/>
      <c r="I128" s="47" t="n"/>
      <c r="J128" s="47" t="n"/>
      <c r="K128" s="47" t="n"/>
      <c r="L128" s="48" t="n"/>
      <c r="M128" s="47" t="n"/>
      <c r="N128" s="46" t="n"/>
      <c r="O128" s="49">
        <f>IFERROR(IF(OR(ISBLANK(G128),ISBLANK(I128)),"",ABS(G128-I128)/VLOOKUP(C128,設定!$B$9:$D$23,2,FALSE)),"")</f>
        <v/>
      </c>
      <c r="P128" s="48">
        <f>IFERROR(IF(OR(ISBLANK(F128),ISBLANK(H128),ISBLANK(J128)),"",ABS(J128-F128)/ABS(F128-H128)),"")</f>
        <v/>
      </c>
      <c r="Q128" s="50">
        <f>IFERROR(IF(OR(ISBLANK(M128),ISBLANK(D128),ISBLANK(G128)),"",IF(D128="Long",(M128-G128),(G128-M128))/VLOOKUP(C128,設定!$B$9:$D$23,2,FALSE)),"")</f>
        <v/>
      </c>
      <c r="R128" s="51">
        <f>IFERROR(IF(OR(ISBLANK(Q128),O128=0),"",Q128/O128),"")</f>
        <v/>
      </c>
      <c r="S128" s="51">
        <f>IFERROR(IF(ISBLANK(R128),S127,IF(ISNUMBER(S127),S127,0)+R128),"")</f>
        <v/>
      </c>
      <c r="T128" s="52">
        <f>IFERROR(IF(OR(ISBLANK(Q128),ISBLANK(L128)),"",Q128*L128*VLOOKUP(C128,設定!$B$9:$D$23,3,FALSE)),"")</f>
        <v/>
      </c>
      <c r="U128" s="46" t="n"/>
      <c r="V128" s="46" t="n"/>
    </row>
    <row r="129">
      <c r="A129" s="53">
        <f>IF(ISBLANK(B129),"",COUNTA($B$18:B129))</f>
        <v/>
      </c>
      <c r="B129" s="54" t="n"/>
      <c r="C129" s="55" t="n"/>
      <c r="D129" s="55" t="n"/>
      <c r="E129" s="53" t="n"/>
      <c r="F129" s="56" t="n"/>
      <c r="G129" s="56" t="n"/>
      <c r="H129" s="56" t="n"/>
      <c r="I129" s="56" t="n"/>
      <c r="J129" s="56" t="n"/>
      <c r="K129" s="56" t="n"/>
      <c r="L129" s="57" t="n"/>
      <c r="M129" s="56" t="n"/>
      <c r="N129" s="55" t="n"/>
      <c r="O129" s="58">
        <f>IFERROR(IF(OR(ISBLANK(G129),ISBLANK(I129)),"",ABS(G129-I129)/VLOOKUP(C129,設定!$B$9:$D$23,2,FALSE)),"")</f>
        <v/>
      </c>
      <c r="P129" s="57">
        <f>IFERROR(IF(OR(ISBLANK(F129),ISBLANK(H129),ISBLANK(J129)),"",ABS(J129-F129)/ABS(F129-H129)),"")</f>
        <v/>
      </c>
      <c r="Q129" s="59">
        <f>IFERROR(IF(OR(ISBLANK(M129),ISBLANK(D129),ISBLANK(G129)),"",IF(D129="Long",(M129-G129),(G129-M129))/VLOOKUP(C129,設定!$B$9:$D$23,2,FALSE)),"")</f>
        <v/>
      </c>
      <c r="R129" s="60">
        <f>IFERROR(IF(OR(ISBLANK(Q129),O129=0),"",Q129/O129),"")</f>
        <v/>
      </c>
      <c r="S129" s="60">
        <f>IFERROR(IF(ISBLANK(R129),S128,IF(ISNUMBER(S128),S128,0)+R129),"")</f>
        <v/>
      </c>
      <c r="T129" s="61">
        <f>IFERROR(IF(OR(ISBLANK(Q129),ISBLANK(L129)),"",Q129*L129*VLOOKUP(C129,設定!$B$9:$D$23,3,FALSE)),"")</f>
        <v/>
      </c>
      <c r="U129" s="55" t="n"/>
      <c r="V129" s="55" t="n"/>
    </row>
    <row r="130">
      <c r="A130" s="44">
        <f>IF(ISBLANK(B130),"",COUNTA($B$18:B130))</f>
        <v/>
      </c>
      <c r="B130" s="45" t="n"/>
      <c r="C130" s="46" t="n"/>
      <c r="D130" s="46" t="n"/>
      <c r="E130" s="44" t="n"/>
      <c r="F130" s="47" t="n"/>
      <c r="G130" s="47" t="n"/>
      <c r="H130" s="47" t="n"/>
      <c r="I130" s="47" t="n"/>
      <c r="J130" s="47" t="n"/>
      <c r="K130" s="47" t="n"/>
      <c r="L130" s="48" t="n"/>
      <c r="M130" s="47" t="n"/>
      <c r="N130" s="46" t="n"/>
      <c r="O130" s="49">
        <f>IFERROR(IF(OR(ISBLANK(G130),ISBLANK(I130)),"",ABS(G130-I130)/VLOOKUP(C130,設定!$B$9:$D$23,2,FALSE)),"")</f>
        <v/>
      </c>
      <c r="P130" s="48">
        <f>IFERROR(IF(OR(ISBLANK(F130),ISBLANK(H130),ISBLANK(J130)),"",ABS(J130-F130)/ABS(F130-H130)),"")</f>
        <v/>
      </c>
      <c r="Q130" s="50">
        <f>IFERROR(IF(OR(ISBLANK(M130),ISBLANK(D130),ISBLANK(G130)),"",IF(D130="Long",(M130-G130),(G130-M130))/VLOOKUP(C130,設定!$B$9:$D$23,2,FALSE)),"")</f>
        <v/>
      </c>
      <c r="R130" s="51">
        <f>IFERROR(IF(OR(ISBLANK(Q130),O130=0),"",Q130/O130),"")</f>
        <v/>
      </c>
      <c r="S130" s="51">
        <f>IFERROR(IF(ISBLANK(R130),S129,IF(ISNUMBER(S129),S129,0)+R130),"")</f>
        <v/>
      </c>
      <c r="T130" s="52">
        <f>IFERROR(IF(OR(ISBLANK(Q130),ISBLANK(L130)),"",Q130*L130*VLOOKUP(C130,設定!$B$9:$D$23,3,FALSE)),"")</f>
        <v/>
      </c>
      <c r="U130" s="46" t="n"/>
      <c r="V130" s="46" t="n"/>
    </row>
    <row r="131">
      <c r="A131" s="53">
        <f>IF(ISBLANK(B131),"",COUNTA($B$18:B131))</f>
        <v/>
      </c>
      <c r="B131" s="54" t="n"/>
      <c r="C131" s="55" t="n"/>
      <c r="D131" s="55" t="n"/>
      <c r="E131" s="53" t="n"/>
      <c r="F131" s="56" t="n"/>
      <c r="G131" s="56" t="n"/>
      <c r="H131" s="56" t="n"/>
      <c r="I131" s="56" t="n"/>
      <c r="J131" s="56" t="n"/>
      <c r="K131" s="56" t="n"/>
      <c r="L131" s="57" t="n"/>
      <c r="M131" s="56" t="n"/>
      <c r="N131" s="55" t="n"/>
      <c r="O131" s="58">
        <f>IFERROR(IF(OR(ISBLANK(G131),ISBLANK(I131)),"",ABS(G131-I131)/VLOOKUP(C131,設定!$B$9:$D$23,2,FALSE)),"")</f>
        <v/>
      </c>
      <c r="P131" s="57">
        <f>IFERROR(IF(OR(ISBLANK(F131),ISBLANK(H131),ISBLANK(J131)),"",ABS(J131-F131)/ABS(F131-H131)),"")</f>
        <v/>
      </c>
      <c r="Q131" s="59">
        <f>IFERROR(IF(OR(ISBLANK(M131),ISBLANK(D131),ISBLANK(G131)),"",IF(D131="Long",(M131-G131),(G131-M131))/VLOOKUP(C131,設定!$B$9:$D$23,2,FALSE)),"")</f>
        <v/>
      </c>
      <c r="R131" s="60">
        <f>IFERROR(IF(OR(ISBLANK(Q131),O131=0),"",Q131/O131),"")</f>
        <v/>
      </c>
      <c r="S131" s="60">
        <f>IFERROR(IF(ISBLANK(R131),S130,IF(ISNUMBER(S130),S130,0)+R131),"")</f>
        <v/>
      </c>
      <c r="T131" s="61">
        <f>IFERROR(IF(OR(ISBLANK(Q131),ISBLANK(L131)),"",Q131*L131*VLOOKUP(C131,設定!$B$9:$D$23,3,FALSE)),"")</f>
        <v/>
      </c>
      <c r="U131" s="55" t="n"/>
      <c r="V131" s="55" t="n"/>
    </row>
    <row r="132">
      <c r="A132" s="44">
        <f>IF(ISBLANK(B132),"",COUNTA($B$18:B132))</f>
        <v/>
      </c>
      <c r="B132" s="45" t="n"/>
      <c r="C132" s="46" t="n"/>
      <c r="D132" s="46" t="n"/>
      <c r="E132" s="44" t="n"/>
      <c r="F132" s="47" t="n"/>
      <c r="G132" s="47" t="n"/>
      <c r="H132" s="47" t="n"/>
      <c r="I132" s="47" t="n"/>
      <c r="J132" s="47" t="n"/>
      <c r="K132" s="47" t="n"/>
      <c r="L132" s="48" t="n"/>
      <c r="M132" s="47" t="n"/>
      <c r="N132" s="46" t="n"/>
      <c r="O132" s="49">
        <f>IFERROR(IF(OR(ISBLANK(G132),ISBLANK(I132)),"",ABS(G132-I132)/VLOOKUP(C132,設定!$B$9:$D$23,2,FALSE)),"")</f>
        <v/>
      </c>
      <c r="P132" s="48">
        <f>IFERROR(IF(OR(ISBLANK(F132),ISBLANK(H132),ISBLANK(J132)),"",ABS(J132-F132)/ABS(F132-H132)),"")</f>
        <v/>
      </c>
      <c r="Q132" s="50">
        <f>IFERROR(IF(OR(ISBLANK(M132),ISBLANK(D132),ISBLANK(G132)),"",IF(D132="Long",(M132-G132),(G132-M132))/VLOOKUP(C132,設定!$B$9:$D$23,2,FALSE)),"")</f>
        <v/>
      </c>
      <c r="R132" s="51">
        <f>IFERROR(IF(OR(ISBLANK(Q132),O132=0),"",Q132/O132),"")</f>
        <v/>
      </c>
      <c r="S132" s="51">
        <f>IFERROR(IF(ISBLANK(R132),S131,IF(ISNUMBER(S131),S131,0)+R132),"")</f>
        <v/>
      </c>
      <c r="T132" s="52">
        <f>IFERROR(IF(OR(ISBLANK(Q132),ISBLANK(L132)),"",Q132*L132*VLOOKUP(C132,設定!$B$9:$D$23,3,FALSE)),"")</f>
        <v/>
      </c>
      <c r="U132" s="46" t="n"/>
      <c r="V132" s="46" t="n"/>
    </row>
    <row r="133">
      <c r="A133" s="53">
        <f>IF(ISBLANK(B133),"",COUNTA($B$18:B133))</f>
        <v/>
      </c>
      <c r="B133" s="54" t="n"/>
      <c r="C133" s="55" t="n"/>
      <c r="D133" s="55" t="n"/>
      <c r="E133" s="53" t="n"/>
      <c r="F133" s="56" t="n"/>
      <c r="G133" s="56" t="n"/>
      <c r="H133" s="56" t="n"/>
      <c r="I133" s="56" t="n"/>
      <c r="J133" s="56" t="n"/>
      <c r="K133" s="56" t="n"/>
      <c r="L133" s="57" t="n"/>
      <c r="M133" s="56" t="n"/>
      <c r="N133" s="55" t="n"/>
      <c r="O133" s="58">
        <f>IFERROR(IF(OR(ISBLANK(G133),ISBLANK(I133)),"",ABS(G133-I133)/VLOOKUP(C133,設定!$B$9:$D$23,2,FALSE)),"")</f>
        <v/>
      </c>
      <c r="P133" s="57">
        <f>IFERROR(IF(OR(ISBLANK(F133),ISBLANK(H133),ISBLANK(J133)),"",ABS(J133-F133)/ABS(F133-H133)),"")</f>
        <v/>
      </c>
      <c r="Q133" s="59">
        <f>IFERROR(IF(OR(ISBLANK(M133),ISBLANK(D133),ISBLANK(G133)),"",IF(D133="Long",(M133-G133),(G133-M133))/VLOOKUP(C133,設定!$B$9:$D$23,2,FALSE)),"")</f>
        <v/>
      </c>
      <c r="R133" s="60">
        <f>IFERROR(IF(OR(ISBLANK(Q133),O133=0),"",Q133/O133),"")</f>
        <v/>
      </c>
      <c r="S133" s="60">
        <f>IFERROR(IF(ISBLANK(R133),S132,IF(ISNUMBER(S132),S132,0)+R133),"")</f>
        <v/>
      </c>
      <c r="T133" s="61">
        <f>IFERROR(IF(OR(ISBLANK(Q133),ISBLANK(L133)),"",Q133*L133*VLOOKUP(C133,設定!$B$9:$D$23,3,FALSE)),"")</f>
        <v/>
      </c>
      <c r="U133" s="55" t="n"/>
      <c r="V133" s="55" t="n"/>
    </row>
    <row r="134">
      <c r="A134" s="44">
        <f>IF(ISBLANK(B134),"",COUNTA($B$18:B134))</f>
        <v/>
      </c>
      <c r="B134" s="45" t="n"/>
      <c r="C134" s="46" t="n"/>
      <c r="D134" s="46" t="n"/>
      <c r="E134" s="44" t="n"/>
      <c r="F134" s="47" t="n"/>
      <c r="G134" s="47" t="n"/>
      <c r="H134" s="47" t="n"/>
      <c r="I134" s="47" t="n"/>
      <c r="J134" s="47" t="n"/>
      <c r="K134" s="47" t="n"/>
      <c r="L134" s="48" t="n"/>
      <c r="M134" s="47" t="n"/>
      <c r="N134" s="46" t="n"/>
      <c r="O134" s="49">
        <f>IFERROR(IF(OR(ISBLANK(G134),ISBLANK(I134)),"",ABS(G134-I134)/VLOOKUP(C134,設定!$B$9:$D$23,2,FALSE)),"")</f>
        <v/>
      </c>
      <c r="P134" s="48">
        <f>IFERROR(IF(OR(ISBLANK(F134),ISBLANK(H134),ISBLANK(J134)),"",ABS(J134-F134)/ABS(F134-H134)),"")</f>
        <v/>
      </c>
      <c r="Q134" s="50">
        <f>IFERROR(IF(OR(ISBLANK(M134),ISBLANK(D134),ISBLANK(G134)),"",IF(D134="Long",(M134-G134),(G134-M134))/VLOOKUP(C134,設定!$B$9:$D$23,2,FALSE)),"")</f>
        <v/>
      </c>
      <c r="R134" s="51">
        <f>IFERROR(IF(OR(ISBLANK(Q134),O134=0),"",Q134/O134),"")</f>
        <v/>
      </c>
      <c r="S134" s="51">
        <f>IFERROR(IF(ISBLANK(R134),S133,IF(ISNUMBER(S133),S133,0)+R134),"")</f>
        <v/>
      </c>
      <c r="T134" s="52">
        <f>IFERROR(IF(OR(ISBLANK(Q134),ISBLANK(L134)),"",Q134*L134*VLOOKUP(C134,設定!$B$9:$D$23,3,FALSE)),"")</f>
        <v/>
      </c>
      <c r="U134" s="46" t="n"/>
      <c r="V134" s="46" t="n"/>
    </row>
    <row r="135">
      <c r="A135" s="53">
        <f>IF(ISBLANK(B135),"",COUNTA($B$18:B135))</f>
        <v/>
      </c>
      <c r="B135" s="54" t="n"/>
      <c r="C135" s="55" t="n"/>
      <c r="D135" s="55" t="n"/>
      <c r="E135" s="53" t="n"/>
      <c r="F135" s="56" t="n"/>
      <c r="G135" s="56" t="n"/>
      <c r="H135" s="56" t="n"/>
      <c r="I135" s="56" t="n"/>
      <c r="J135" s="56" t="n"/>
      <c r="K135" s="56" t="n"/>
      <c r="L135" s="57" t="n"/>
      <c r="M135" s="56" t="n"/>
      <c r="N135" s="55" t="n"/>
      <c r="O135" s="58">
        <f>IFERROR(IF(OR(ISBLANK(G135),ISBLANK(I135)),"",ABS(G135-I135)/VLOOKUP(C135,設定!$B$9:$D$23,2,FALSE)),"")</f>
        <v/>
      </c>
      <c r="P135" s="57">
        <f>IFERROR(IF(OR(ISBLANK(F135),ISBLANK(H135),ISBLANK(J135)),"",ABS(J135-F135)/ABS(F135-H135)),"")</f>
        <v/>
      </c>
      <c r="Q135" s="59">
        <f>IFERROR(IF(OR(ISBLANK(M135),ISBLANK(D135),ISBLANK(G135)),"",IF(D135="Long",(M135-G135),(G135-M135))/VLOOKUP(C135,設定!$B$9:$D$23,2,FALSE)),"")</f>
        <v/>
      </c>
      <c r="R135" s="60">
        <f>IFERROR(IF(OR(ISBLANK(Q135),O135=0),"",Q135/O135),"")</f>
        <v/>
      </c>
      <c r="S135" s="60">
        <f>IFERROR(IF(ISBLANK(R135),S134,IF(ISNUMBER(S134),S134,0)+R135),"")</f>
        <v/>
      </c>
      <c r="T135" s="61">
        <f>IFERROR(IF(OR(ISBLANK(Q135),ISBLANK(L135)),"",Q135*L135*VLOOKUP(C135,設定!$B$9:$D$23,3,FALSE)),"")</f>
        <v/>
      </c>
      <c r="U135" s="55" t="n"/>
      <c r="V135" s="55" t="n"/>
    </row>
    <row r="136">
      <c r="A136" s="44">
        <f>IF(ISBLANK(B136),"",COUNTA($B$18:B136))</f>
        <v/>
      </c>
      <c r="B136" s="45" t="n"/>
      <c r="C136" s="46" t="n"/>
      <c r="D136" s="46" t="n"/>
      <c r="E136" s="44" t="n"/>
      <c r="F136" s="47" t="n"/>
      <c r="G136" s="47" t="n"/>
      <c r="H136" s="47" t="n"/>
      <c r="I136" s="47" t="n"/>
      <c r="J136" s="47" t="n"/>
      <c r="K136" s="47" t="n"/>
      <c r="L136" s="48" t="n"/>
      <c r="M136" s="47" t="n"/>
      <c r="N136" s="46" t="n"/>
      <c r="O136" s="49">
        <f>IFERROR(IF(OR(ISBLANK(G136),ISBLANK(I136)),"",ABS(G136-I136)/VLOOKUP(C136,設定!$B$9:$D$23,2,FALSE)),"")</f>
        <v/>
      </c>
      <c r="P136" s="48">
        <f>IFERROR(IF(OR(ISBLANK(F136),ISBLANK(H136),ISBLANK(J136)),"",ABS(J136-F136)/ABS(F136-H136)),"")</f>
        <v/>
      </c>
      <c r="Q136" s="50">
        <f>IFERROR(IF(OR(ISBLANK(M136),ISBLANK(D136),ISBLANK(G136)),"",IF(D136="Long",(M136-G136),(G136-M136))/VLOOKUP(C136,設定!$B$9:$D$23,2,FALSE)),"")</f>
        <v/>
      </c>
      <c r="R136" s="51">
        <f>IFERROR(IF(OR(ISBLANK(Q136),O136=0),"",Q136/O136),"")</f>
        <v/>
      </c>
      <c r="S136" s="51">
        <f>IFERROR(IF(ISBLANK(R136),S135,IF(ISNUMBER(S135),S135,0)+R136),"")</f>
        <v/>
      </c>
      <c r="T136" s="52">
        <f>IFERROR(IF(OR(ISBLANK(Q136),ISBLANK(L136)),"",Q136*L136*VLOOKUP(C136,設定!$B$9:$D$23,3,FALSE)),"")</f>
        <v/>
      </c>
      <c r="U136" s="46" t="n"/>
      <c r="V136" s="46" t="n"/>
    </row>
    <row r="137">
      <c r="A137" s="53">
        <f>IF(ISBLANK(B137),"",COUNTA($B$18:B137))</f>
        <v/>
      </c>
      <c r="B137" s="54" t="n"/>
      <c r="C137" s="55" t="n"/>
      <c r="D137" s="55" t="n"/>
      <c r="E137" s="53" t="n"/>
      <c r="F137" s="56" t="n"/>
      <c r="G137" s="56" t="n"/>
      <c r="H137" s="56" t="n"/>
      <c r="I137" s="56" t="n"/>
      <c r="J137" s="56" t="n"/>
      <c r="K137" s="56" t="n"/>
      <c r="L137" s="57" t="n"/>
      <c r="M137" s="56" t="n"/>
      <c r="N137" s="55" t="n"/>
      <c r="O137" s="58">
        <f>IFERROR(IF(OR(ISBLANK(G137),ISBLANK(I137)),"",ABS(G137-I137)/VLOOKUP(C137,設定!$B$9:$D$23,2,FALSE)),"")</f>
        <v/>
      </c>
      <c r="P137" s="57">
        <f>IFERROR(IF(OR(ISBLANK(F137),ISBLANK(H137),ISBLANK(J137)),"",ABS(J137-F137)/ABS(F137-H137)),"")</f>
        <v/>
      </c>
      <c r="Q137" s="59">
        <f>IFERROR(IF(OR(ISBLANK(M137),ISBLANK(D137),ISBLANK(G137)),"",IF(D137="Long",(M137-G137),(G137-M137))/VLOOKUP(C137,設定!$B$9:$D$23,2,FALSE)),"")</f>
        <v/>
      </c>
      <c r="R137" s="60">
        <f>IFERROR(IF(OR(ISBLANK(Q137),O137=0),"",Q137/O137),"")</f>
        <v/>
      </c>
      <c r="S137" s="60">
        <f>IFERROR(IF(ISBLANK(R137),S136,IF(ISNUMBER(S136),S136,0)+R137),"")</f>
        <v/>
      </c>
      <c r="T137" s="61">
        <f>IFERROR(IF(OR(ISBLANK(Q137),ISBLANK(L137)),"",Q137*L137*VLOOKUP(C137,設定!$B$9:$D$23,3,FALSE)),"")</f>
        <v/>
      </c>
      <c r="U137" s="55" t="n"/>
      <c r="V137" s="55" t="n"/>
    </row>
    <row r="138">
      <c r="A138" s="44">
        <f>IF(ISBLANK(B138),"",COUNTA($B$18:B138))</f>
        <v/>
      </c>
      <c r="B138" s="45" t="n"/>
      <c r="C138" s="46" t="n"/>
      <c r="D138" s="46" t="n"/>
      <c r="E138" s="44" t="n"/>
      <c r="F138" s="47" t="n"/>
      <c r="G138" s="47" t="n"/>
      <c r="H138" s="47" t="n"/>
      <c r="I138" s="47" t="n"/>
      <c r="J138" s="47" t="n"/>
      <c r="K138" s="47" t="n"/>
      <c r="L138" s="48" t="n"/>
      <c r="M138" s="47" t="n"/>
      <c r="N138" s="46" t="n"/>
      <c r="O138" s="49">
        <f>IFERROR(IF(OR(ISBLANK(G138),ISBLANK(I138)),"",ABS(G138-I138)/VLOOKUP(C138,設定!$B$9:$D$23,2,FALSE)),"")</f>
        <v/>
      </c>
      <c r="P138" s="48">
        <f>IFERROR(IF(OR(ISBLANK(F138),ISBLANK(H138),ISBLANK(J138)),"",ABS(J138-F138)/ABS(F138-H138)),"")</f>
        <v/>
      </c>
      <c r="Q138" s="50">
        <f>IFERROR(IF(OR(ISBLANK(M138),ISBLANK(D138),ISBLANK(G138)),"",IF(D138="Long",(M138-G138),(G138-M138))/VLOOKUP(C138,設定!$B$9:$D$23,2,FALSE)),"")</f>
        <v/>
      </c>
      <c r="R138" s="51">
        <f>IFERROR(IF(OR(ISBLANK(Q138),O138=0),"",Q138/O138),"")</f>
        <v/>
      </c>
      <c r="S138" s="51">
        <f>IFERROR(IF(ISBLANK(R138),S137,IF(ISNUMBER(S137),S137,0)+R138),"")</f>
        <v/>
      </c>
      <c r="T138" s="52">
        <f>IFERROR(IF(OR(ISBLANK(Q138),ISBLANK(L138)),"",Q138*L138*VLOOKUP(C138,設定!$B$9:$D$23,3,FALSE)),"")</f>
        <v/>
      </c>
      <c r="U138" s="46" t="n"/>
      <c r="V138" s="46" t="n"/>
    </row>
    <row r="139">
      <c r="A139" s="53">
        <f>IF(ISBLANK(B139),"",COUNTA($B$18:B139))</f>
        <v/>
      </c>
      <c r="B139" s="54" t="n"/>
      <c r="C139" s="55" t="n"/>
      <c r="D139" s="55" t="n"/>
      <c r="E139" s="53" t="n"/>
      <c r="F139" s="56" t="n"/>
      <c r="G139" s="56" t="n"/>
      <c r="H139" s="56" t="n"/>
      <c r="I139" s="56" t="n"/>
      <c r="J139" s="56" t="n"/>
      <c r="K139" s="56" t="n"/>
      <c r="L139" s="57" t="n"/>
      <c r="M139" s="56" t="n"/>
      <c r="N139" s="55" t="n"/>
      <c r="O139" s="58">
        <f>IFERROR(IF(OR(ISBLANK(G139),ISBLANK(I139)),"",ABS(G139-I139)/VLOOKUP(C139,設定!$B$9:$D$23,2,FALSE)),"")</f>
        <v/>
      </c>
      <c r="P139" s="57">
        <f>IFERROR(IF(OR(ISBLANK(F139),ISBLANK(H139),ISBLANK(J139)),"",ABS(J139-F139)/ABS(F139-H139)),"")</f>
        <v/>
      </c>
      <c r="Q139" s="59">
        <f>IFERROR(IF(OR(ISBLANK(M139),ISBLANK(D139),ISBLANK(G139)),"",IF(D139="Long",(M139-G139),(G139-M139))/VLOOKUP(C139,設定!$B$9:$D$23,2,FALSE)),"")</f>
        <v/>
      </c>
      <c r="R139" s="60">
        <f>IFERROR(IF(OR(ISBLANK(Q139),O139=0),"",Q139/O139),"")</f>
        <v/>
      </c>
      <c r="S139" s="60">
        <f>IFERROR(IF(ISBLANK(R139),S138,IF(ISNUMBER(S138),S138,0)+R139),"")</f>
        <v/>
      </c>
      <c r="T139" s="61">
        <f>IFERROR(IF(OR(ISBLANK(Q139),ISBLANK(L139)),"",Q139*L139*VLOOKUP(C139,設定!$B$9:$D$23,3,FALSE)),"")</f>
        <v/>
      </c>
      <c r="U139" s="55" t="n"/>
      <c r="V139" s="55" t="n"/>
    </row>
    <row r="140">
      <c r="A140" s="44">
        <f>IF(ISBLANK(B140),"",COUNTA($B$18:B140))</f>
        <v/>
      </c>
      <c r="B140" s="45" t="n"/>
      <c r="C140" s="46" t="n"/>
      <c r="D140" s="46" t="n"/>
      <c r="E140" s="44" t="n"/>
      <c r="F140" s="47" t="n"/>
      <c r="G140" s="47" t="n"/>
      <c r="H140" s="47" t="n"/>
      <c r="I140" s="47" t="n"/>
      <c r="J140" s="47" t="n"/>
      <c r="K140" s="47" t="n"/>
      <c r="L140" s="48" t="n"/>
      <c r="M140" s="47" t="n"/>
      <c r="N140" s="46" t="n"/>
      <c r="O140" s="49">
        <f>IFERROR(IF(OR(ISBLANK(G140),ISBLANK(I140)),"",ABS(G140-I140)/VLOOKUP(C140,設定!$B$9:$D$23,2,FALSE)),"")</f>
        <v/>
      </c>
      <c r="P140" s="48">
        <f>IFERROR(IF(OR(ISBLANK(F140),ISBLANK(H140),ISBLANK(J140)),"",ABS(J140-F140)/ABS(F140-H140)),"")</f>
        <v/>
      </c>
      <c r="Q140" s="50">
        <f>IFERROR(IF(OR(ISBLANK(M140),ISBLANK(D140),ISBLANK(G140)),"",IF(D140="Long",(M140-G140),(G140-M140))/VLOOKUP(C140,設定!$B$9:$D$23,2,FALSE)),"")</f>
        <v/>
      </c>
      <c r="R140" s="51">
        <f>IFERROR(IF(OR(ISBLANK(Q140),O140=0),"",Q140/O140),"")</f>
        <v/>
      </c>
      <c r="S140" s="51">
        <f>IFERROR(IF(ISBLANK(R140),S139,IF(ISNUMBER(S139),S139,0)+R140),"")</f>
        <v/>
      </c>
      <c r="T140" s="52">
        <f>IFERROR(IF(OR(ISBLANK(Q140),ISBLANK(L140)),"",Q140*L140*VLOOKUP(C140,設定!$B$9:$D$23,3,FALSE)),"")</f>
        <v/>
      </c>
      <c r="U140" s="46" t="n"/>
      <c r="V140" s="46" t="n"/>
    </row>
    <row r="141">
      <c r="A141" s="53">
        <f>IF(ISBLANK(B141),"",COUNTA($B$18:B141))</f>
        <v/>
      </c>
      <c r="B141" s="54" t="n"/>
      <c r="C141" s="55" t="n"/>
      <c r="D141" s="55" t="n"/>
      <c r="E141" s="53" t="n"/>
      <c r="F141" s="56" t="n"/>
      <c r="G141" s="56" t="n"/>
      <c r="H141" s="56" t="n"/>
      <c r="I141" s="56" t="n"/>
      <c r="J141" s="56" t="n"/>
      <c r="K141" s="56" t="n"/>
      <c r="L141" s="57" t="n"/>
      <c r="M141" s="56" t="n"/>
      <c r="N141" s="55" t="n"/>
      <c r="O141" s="58">
        <f>IFERROR(IF(OR(ISBLANK(G141),ISBLANK(I141)),"",ABS(G141-I141)/VLOOKUP(C141,設定!$B$9:$D$23,2,FALSE)),"")</f>
        <v/>
      </c>
      <c r="P141" s="57">
        <f>IFERROR(IF(OR(ISBLANK(F141),ISBLANK(H141),ISBLANK(J141)),"",ABS(J141-F141)/ABS(F141-H141)),"")</f>
        <v/>
      </c>
      <c r="Q141" s="59">
        <f>IFERROR(IF(OR(ISBLANK(M141),ISBLANK(D141),ISBLANK(G141)),"",IF(D141="Long",(M141-G141),(G141-M141))/VLOOKUP(C141,設定!$B$9:$D$23,2,FALSE)),"")</f>
        <v/>
      </c>
      <c r="R141" s="60">
        <f>IFERROR(IF(OR(ISBLANK(Q141),O141=0),"",Q141/O141),"")</f>
        <v/>
      </c>
      <c r="S141" s="60">
        <f>IFERROR(IF(ISBLANK(R141),S140,IF(ISNUMBER(S140),S140,0)+R141),"")</f>
        <v/>
      </c>
      <c r="T141" s="61">
        <f>IFERROR(IF(OR(ISBLANK(Q141),ISBLANK(L141)),"",Q141*L141*VLOOKUP(C141,設定!$B$9:$D$23,3,FALSE)),"")</f>
        <v/>
      </c>
      <c r="U141" s="55" t="n"/>
      <c r="V141" s="55" t="n"/>
    </row>
    <row r="142">
      <c r="A142" s="44">
        <f>IF(ISBLANK(B142),"",COUNTA($B$18:B142))</f>
        <v/>
      </c>
      <c r="B142" s="45" t="n"/>
      <c r="C142" s="46" t="n"/>
      <c r="D142" s="46" t="n"/>
      <c r="E142" s="44" t="n"/>
      <c r="F142" s="47" t="n"/>
      <c r="G142" s="47" t="n"/>
      <c r="H142" s="47" t="n"/>
      <c r="I142" s="47" t="n"/>
      <c r="J142" s="47" t="n"/>
      <c r="K142" s="47" t="n"/>
      <c r="L142" s="48" t="n"/>
      <c r="M142" s="47" t="n"/>
      <c r="N142" s="46" t="n"/>
      <c r="O142" s="49">
        <f>IFERROR(IF(OR(ISBLANK(G142),ISBLANK(I142)),"",ABS(G142-I142)/VLOOKUP(C142,設定!$B$9:$D$23,2,FALSE)),"")</f>
        <v/>
      </c>
      <c r="P142" s="48">
        <f>IFERROR(IF(OR(ISBLANK(F142),ISBLANK(H142),ISBLANK(J142)),"",ABS(J142-F142)/ABS(F142-H142)),"")</f>
        <v/>
      </c>
      <c r="Q142" s="50">
        <f>IFERROR(IF(OR(ISBLANK(M142),ISBLANK(D142),ISBLANK(G142)),"",IF(D142="Long",(M142-G142),(G142-M142))/VLOOKUP(C142,設定!$B$9:$D$23,2,FALSE)),"")</f>
        <v/>
      </c>
      <c r="R142" s="51">
        <f>IFERROR(IF(OR(ISBLANK(Q142),O142=0),"",Q142/O142),"")</f>
        <v/>
      </c>
      <c r="S142" s="51">
        <f>IFERROR(IF(ISBLANK(R142),S141,IF(ISNUMBER(S141),S141,0)+R142),"")</f>
        <v/>
      </c>
      <c r="T142" s="52">
        <f>IFERROR(IF(OR(ISBLANK(Q142),ISBLANK(L142)),"",Q142*L142*VLOOKUP(C142,設定!$B$9:$D$23,3,FALSE)),"")</f>
        <v/>
      </c>
      <c r="U142" s="46" t="n"/>
      <c r="V142" s="46" t="n"/>
    </row>
    <row r="143">
      <c r="A143" s="53">
        <f>IF(ISBLANK(B143),"",COUNTA($B$18:B143))</f>
        <v/>
      </c>
      <c r="B143" s="54" t="n"/>
      <c r="C143" s="55" t="n"/>
      <c r="D143" s="55" t="n"/>
      <c r="E143" s="53" t="n"/>
      <c r="F143" s="56" t="n"/>
      <c r="G143" s="56" t="n"/>
      <c r="H143" s="56" t="n"/>
      <c r="I143" s="56" t="n"/>
      <c r="J143" s="56" t="n"/>
      <c r="K143" s="56" t="n"/>
      <c r="L143" s="57" t="n"/>
      <c r="M143" s="56" t="n"/>
      <c r="N143" s="55" t="n"/>
      <c r="O143" s="58">
        <f>IFERROR(IF(OR(ISBLANK(G143),ISBLANK(I143)),"",ABS(G143-I143)/VLOOKUP(C143,設定!$B$9:$D$23,2,FALSE)),"")</f>
        <v/>
      </c>
      <c r="P143" s="57">
        <f>IFERROR(IF(OR(ISBLANK(F143),ISBLANK(H143),ISBLANK(J143)),"",ABS(J143-F143)/ABS(F143-H143)),"")</f>
        <v/>
      </c>
      <c r="Q143" s="59">
        <f>IFERROR(IF(OR(ISBLANK(M143),ISBLANK(D143),ISBLANK(G143)),"",IF(D143="Long",(M143-G143),(G143-M143))/VLOOKUP(C143,設定!$B$9:$D$23,2,FALSE)),"")</f>
        <v/>
      </c>
      <c r="R143" s="60">
        <f>IFERROR(IF(OR(ISBLANK(Q143),O143=0),"",Q143/O143),"")</f>
        <v/>
      </c>
      <c r="S143" s="60">
        <f>IFERROR(IF(ISBLANK(R143),S142,IF(ISNUMBER(S142),S142,0)+R143),"")</f>
        <v/>
      </c>
      <c r="T143" s="61">
        <f>IFERROR(IF(OR(ISBLANK(Q143),ISBLANK(L143)),"",Q143*L143*VLOOKUP(C143,設定!$B$9:$D$23,3,FALSE)),"")</f>
        <v/>
      </c>
      <c r="U143" s="55" t="n"/>
      <c r="V143" s="55" t="n"/>
    </row>
    <row r="144">
      <c r="A144" s="44">
        <f>IF(ISBLANK(B144),"",COUNTA($B$18:B144))</f>
        <v/>
      </c>
      <c r="B144" s="45" t="n"/>
      <c r="C144" s="46" t="n"/>
      <c r="D144" s="46" t="n"/>
      <c r="E144" s="44" t="n"/>
      <c r="F144" s="47" t="n"/>
      <c r="G144" s="47" t="n"/>
      <c r="H144" s="47" t="n"/>
      <c r="I144" s="47" t="n"/>
      <c r="J144" s="47" t="n"/>
      <c r="K144" s="47" t="n"/>
      <c r="L144" s="48" t="n"/>
      <c r="M144" s="47" t="n"/>
      <c r="N144" s="46" t="n"/>
      <c r="O144" s="49">
        <f>IFERROR(IF(OR(ISBLANK(G144),ISBLANK(I144)),"",ABS(G144-I144)/VLOOKUP(C144,設定!$B$9:$D$23,2,FALSE)),"")</f>
        <v/>
      </c>
      <c r="P144" s="48">
        <f>IFERROR(IF(OR(ISBLANK(F144),ISBLANK(H144),ISBLANK(J144)),"",ABS(J144-F144)/ABS(F144-H144)),"")</f>
        <v/>
      </c>
      <c r="Q144" s="50">
        <f>IFERROR(IF(OR(ISBLANK(M144),ISBLANK(D144),ISBLANK(G144)),"",IF(D144="Long",(M144-G144),(G144-M144))/VLOOKUP(C144,設定!$B$9:$D$23,2,FALSE)),"")</f>
        <v/>
      </c>
      <c r="R144" s="51">
        <f>IFERROR(IF(OR(ISBLANK(Q144),O144=0),"",Q144/O144),"")</f>
        <v/>
      </c>
      <c r="S144" s="51">
        <f>IFERROR(IF(ISBLANK(R144),S143,IF(ISNUMBER(S143),S143,0)+R144),"")</f>
        <v/>
      </c>
      <c r="T144" s="52">
        <f>IFERROR(IF(OR(ISBLANK(Q144),ISBLANK(L144)),"",Q144*L144*VLOOKUP(C144,設定!$B$9:$D$23,3,FALSE)),"")</f>
        <v/>
      </c>
      <c r="U144" s="46" t="n"/>
      <c r="V144" s="46" t="n"/>
    </row>
    <row r="145">
      <c r="A145" s="53">
        <f>IF(ISBLANK(B145),"",COUNTA($B$18:B145))</f>
        <v/>
      </c>
      <c r="B145" s="54" t="n"/>
      <c r="C145" s="55" t="n"/>
      <c r="D145" s="55" t="n"/>
      <c r="E145" s="53" t="n"/>
      <c r="F145" s="56" t="n"/>
      <c r="G145" s="56" t="n"/>
      <c r="H145" s="56" t="n"/>
      <c r="I145" s="56" t="n"/>
      <c r="J145" s="56" t="n"/>
      <c r="K145" s="56" t="n"/>
      <c r="L145" s="57" t="n"/>
      <c r="M145" s="56" t="n"/>
      <c r="N145" s="55" t="n"/>
      <c r="O145" s="58">
        <f>IFERROR(IF(OR(ISBLANK(G145),ISBLANK(I145)),"",ABS(G145-I145)/VLOOKUP(C145,設定!$B$9:$D$23,2,FALSE)),"")</f>
        <v/>
      </c>
      <c r="P145" s="57">
        <f>IFERROR(IF(OR(ISBLANK(F145),ISBLANK(H145),ISBLANK(J145)),"",ABS(J145-F145)/ABS(F145-H145)),"")</f>
        <v/>
      </c>
      <c r="Q145" s="59">
        <f>IFERROR(IF(OR(ISBLANK(M145),ISBLANK(D145),ISBLANK(G145)),"",IF(D145="Long",(M145-G145),(G145-M145))/VLOOKUP(C145,設定!$B$9:$D$23,2,FALSE)),"")</f>
        <v/>
      </c>
      <c r="R145" s="60">
        <f>IFERROR(IF(OR(ISBLANK(Q145),O145=0),"",Q145/O145),"")</f>
        <v/>
      </c>
      <c r="S145" s="60">
        <f>IFERROR(IF(ISBLANK(R145),S144,IF(ISNUMBER(S144),S144,0)+R145),"")</f>
        <v/>
      </c>
      <c r="T145" s="61">
        <f>IFERROR(IF(OR(ISBLANK(Q145),ISBLANK(L145)),"",Q145*L145*VLOOKUP(C145,設定!$B$9:$D$23,3,FALSE)),"")</f>
        <v/>
      </c>
      <c r="U145" s="55" t="n"/>
      <c r="V145" s="55" t="n"/>
    </row>
    <row r="146">
      <c r="A146" s="44">
        <f>IF(ISBLANK(B146),"",COUNTA($B$18:B146))</f>
        <v/>
      </c>
      <c r="B146" s="45" t="n"/>
      <c r="C146" s="46" t="n"/>
      <c r="D146" s="46" t="n"/>
      <c r="E146" s="44" t="n"/>
      <c r="F146" s="47" t="n"/>
      <c r="G146" s="47" t="n"/>
      <c r="H146" s="47" t="n"/>
      <c r="I146" s="47" t="n"/>
      <c r="J146" s="47" t="n"/>
      <c r="K146" s="47" t="n"/>
      <c r="L146" s="48" t="n"/>
      <c r="M146" s="47" t="n"/>
      <c r="N146" s="46" t="n"/>
      <c r="O146" s="49">
        <f>IFERROR(IF(OR(ISBLANK(G146),ISBLANK(I146)),"",ABS(G146-I146)/VLOOKUP(C146,設定!$B$9:$D$23,2,FALSE)),"")</f>
        <v/>
      </c>
      <c r="P146" s="48">
        <f>IFERROR(IF(OR(ISBLANK(F146),ISBLANK(H146),ISBLANK(J146)),"",ABS(J146-F146)/ABS(F146-H146)),"")</f>
        <v/>
      </c>
      <c r="Q146" s="50">
        <f>IFERROR(IF(OR(ISBLANK(M146),ISBLANK(D146),ISBLANK(G146)),"",IF(D146="Long",(M146-G146),(G146-M146))/VLOOKUP(C146,設定!$B$9:$D$23,2,FALSE)),"")</f>
        <v/>
      </c>
      <c r="R146" s="51">
        <f>IFERROR(IF(OR(ISBLANK(Q146),O146=0),"",Q146/O146),"")</f>
        <v/>
      </c>
      <c r="S146" s="51">
        <f>IFERROR(IF(ISBLANK(R146),S145,IF(ISNUMBER(S145),S145,0)+R146),"")</f>
        <v/>
      </c>
      <c r="T146" s="52">
        <f>IFERROR(IF(OR(ISBLANK(Q146),ISBLANK(L146)),"",Q146*L146*VLOOKUP(C146,設定!$B$9:$D$23,3,FALSE)),"")</f>
        <v/>
      </c>
      <c r="U146" s="46" t="n"/>
      <c r="V146" s="46" t="n"/>
    </row>
    <row r="147">
      <c r="A147" s="53">
        <f>IF(ISBLANK(B147),"",COUNTA($B$18:B147))</f>
        <v/>
      </c>
      <c r="B147" s="54" t="n"/>
      <c r="C147" s="55" t="n"/>
      <c r="D147" s="55" t="n"/>
      <c r="E147" s="53" t="n"/>
      <c r="F147" s="56" t="n"/>
      <c r="G147" s="56" t="n"/>
      <c r="H147" s="56" t="n"/>
      <c r="I147" s="56" t="n"/>
      <c r="J147" s="56" t="n"/>
      <c r="K147" s="56" t="n"/>
      <c r="L147" s="57" t="n"/>
      <c r="M147" s="56" t="n"/>
      <c r="N147" s="55" t="n"/>
      <c r="O147" s="58">
        <f>IFERROR(IF(OR(ISBLANK(G147),ISBLANK(I147)),"",ABS(G147-I147)/VLOOKUP(C147,設定!$B$9:$D$23,2,FALSE)),"")</f>
        <v/>
      </c>
      <c r="P147" s="57">
        <f>IFERROR(IF(OR(ISBLANK(F147),ISBLANK(H147),ISBLANK(J147)),"",ABS(J147-F147)/ABS(F147-H147)),"")</f>
        <v/>
      </c>
      <c r="Q147" s="59">
        <f>IFERROR(IF(OR(ISBLANK(M147),ISBLANK(D147),ISBLANK(G147)),"",IF(D147="Long",(M147-G147),(G147-M147))/VLOOKUP(C147,設定!$B$9:$D$23,2,FALSE)),"")</f>
        <v/>
      </c>
      <c r="R147" s="60">
        <f>IFERROR(IF(OR(ISBLANK(Q147),O147=0),"",Q147/O147),"")</f>
        <v/>
      </c>
      <c r="S147" s="60">
        <f>IFERROR(IF(ISBLANK(R147),S146,IF(ISNUMBER(S146),S146,0)+R147),"")</f>
        <v/>
      </c>
      <c r="T147" s="61">
        <f>IFERROR(IF(OR(ISBLANK(Q147),ISBLANK(L147)),"",Q147*L147*VLOOKUP(C147,設定!$B$9:$D$23,3,FALSE)),"")</f>
        <v/>
      </c>
      <c r="U147" s="55" t="n"/>
      <c r="V147" s="55" t="n"/>
    </row>
    <row r="148">
      <c r="A148" s="44">
        <f>IF(ISBLANK(B148),"",COUNTA($B$18:B148))</f>
        <v/>
      </c>
      <c r="B148" s="45" t="n"/>
      <c r="C148" s="46" t="n"/>
      <c r="D148" s="46" t="n"/>
      <c r="E148" s="44" t="n"/>
      <c r="F148" s="47" t="n"/>
      <c r="G148" s="47" t="n"/>
      <c r="H148" s="47" t="n"/>
      <c r="I148" s="47" t="n"/>
      <c r="J148" s="47" t="n"/>
      <c r="K148" s="47" t="n"/>
      <c r="L148" s="48" t="n"/>
      <c r="M148" s="47" t="n"/>
      <c r="N148" s="46" t="n"/>
      <c r="O148" s="49">
        <f>IFERROR(IF(OR(ISBLANK(G148),ISBLANK(I148)),"",ABS(G148-I148)/VLOOKUP(C148,設定!$B$9:$D$23,2,FALSE)),"")</f>
        <v/>
      </c>
      <c r="P148" s="48">
        <f>IFERROR(IF(OR(ISBLANK(F148),ISBLANK(H148),ISBLANK(J148)),"",ABS(J148-F148)/ABS(F148-H148)),"")</f>
        <v/>
      </c>
      <c r="Q148" s="50">
        <f>IFERROR(IF(OR(ISBLANK(M148),ISBLANK(D148),ISBLANK(G148)),"",IF(D148="Long",(M148-G148),(G148-M148))/VLOOKUP(C148,設定!$B$9:$D$23,2,FALSE)),"")</f>
        <v/>
      </c>
      <c r="R148" s="51">
        <f>IFERROR(IF(OR(ISBLANK(Q148),O148=0),"",Q148/O148),"")</f>
        <v/>
      </c>
      <c r="S148" s="51">
        <f>IFERROR(IF(ISBLANK(R148),S147,IF(ISNUMBER(S147),S147,0)+R148),"")</f>
        <v/>
      </c>
      <c r="T148" s="52">
        <f>IFERROR(IF(OR(ISBLANK(Q148),ISBLANK(L148)),"",Q148*L148*VLOOKUP(C148,設定!$B$9:$D$23,3,FALSE)),"")</f>
        <v/>
      </c>
      <c r="U148" s="46" t="n"/>
      <c r="V148" s="46" t="n"/>
    </row>
    <row r="149">
      <c r="A149" s="53">
        <f>IF(ISBLANK(B149),"",COUNTA($B$18:B149))</f>
        <v/>
      </c>
      <c r="B149" s="54" t="n"/>
      <c r="C149" s="55" t="n"/>
      <c r="D149" s="55" t="n"/>
      <c r="E149" s="53" t="n"/>
      <c r="F149" s="56" t="n"/>
      <c r="G149" s="56" t="n"/>
      <c r="H149" s="56" t="n"/>
      <c r="I149" s="56" t="n"/>
      <c r="J149" s="56" t="n"/>
      <c r="K149" s="56" t="n"/>
      <c r="L149" s="57" t="n"/>
      <c r="M149" s="56" t="n"/>
      <c r="N149" s="55" t="n"/>
      <c r="O149" s="58">
        <f>IFERROR(IF(OR(ISBLANK(G149),ISBLANK(I149)),"",ABS(G149-I149)/VLOOKUP(C149,設定!$B$9:$D$23,2,FALSE)),"")</f>
        <v/>
      </c>
      <c r="P149" s="57">
        <f>IFERROR(IF(OR(ISBLANK(F149),ISBLANK(H149),ISBLANK(J149)),"",ABS(J149-F149)/ABS(F149-H149)),"")</f>
        <v/>
      </c>
      <c r="Q149" s="59">
        <f>IFERROR(IF(OR(ISBLANK(M149),ISBLANK(D149),ISBLANK(G149)),"",IF(D149="Long",(M149-G149),(G149-M149))/VLOOKUP(C149,設定!$B$9:$D$23,2,FALSE)),"")</f>
        <v/>
      </c>
      <c r="R149" s="60">
        <f>IFERROR(IF(OR(ISBLANK(Q149),O149=0),"",Q149/O149),"")</f>
        <v/>
      </c>
      <c r="S149" s="60">
        <f>IFERROR(IF(ISBLANK(R149),S148,IF(ISNUMBER(S148),S148,0)+R149),"")</f>
        <v/>
      </c>
      <c r="T149" s="61">
        <f>IFERROR(IF(OR(ISBLANK(Q149),ISBLANK(L149)),"",Q149*L149*VLOOKUP(C149,設定!$B$9:$D$23,3,FALSE)),"")</f>
        <v/>
      </c>
      <c r="U149" s="55" t="n"/>
      <c r="V149" s="55" t="n"/>
    </row>
    <row r="150">
      <c r="A150" s="44">
        <f>IF(ISBLANK(B150),"",COUNTA($B$18:B150))</f>
        <v/>
      </c>
      <c r="B150" s="45" t="n"/>
      <c r="C150" s="46" t="n"/>
      <c r="D150" s="46" t="n"/>
      <c r="E150" s="44" t="n"/>
      <c r="F150" s="47" t="n"/>
      <c r="G150" s="47" t="n"/>
      <c r="H150" s="47" t="n"/>
      <c r="I150" s="47" t="n"/>
      <c r="J150" s="47" t="n"/>
      <c r="K150" s="47" t="n"/>
      <c r="L150" s="48" t="n"/>
      <c r="M150" s="47" t="n"/>
      <c r="N150" s="46" t="n"/>
      <c r="O150" s="49">
        <f>IFERROR(IF(OR(ISBLANK(G150),ISBLANK(I150)),"",ABS(G150-I150)/VLOOKUP(C150,設定!$B$9:$D$23,2,FALSE)),"")</f>
        <v/>
      </c>
      <c r="P150" s="48">
        <f>IFERROR(IF(OR(ISBLANK(F150),ISBLANK(H150),ISBLANK(J150)),"",ABS(J150-F150)/ABS(F150-H150)),"")</f>
        <v/>
      </c>
      <c r="Q150" s="50">
        <f>IFERROR(IF(OR(ISBLANK(M150),ISBLANK(D150),ISBLANK(G150)),"",IF(D150="Long",(M150-G150),(G150-M150))/VLOOKUP(C150,設定!$B$9:$D$23,2,FALSE)),"")</f>
        <v/>
      </c>
      <c r="R150" s="51">
        <f>IFERROR(IF(OR(ISBLANK(Q150),O150=0),"",Q150/O150),"")</f>
        <v/>
      </c>
      <c r="S150" s="51">
        <f>IFERROR(IF(ISBLANK(R150),S149,IF(ISNUMBER(S149),S149,0)+R150),"")</f>
        <v/>
      </c>
      <c r="T150" s="52">
        <f>IFERROR(IF(OR(ISBLANK(Q150),ISBLANK(L150)),"",Q150*L150*VLOOKUP(C150,設定!$B$9:$D$23,3,FALSE)),"")</f>
        <v/>
      </c>
      <c r="U150" s="46" t="n"/>
      <c r="V150" s="46" t="n"/>
    </row>
    <row r="151">
      <c r="A151" s="53">
        <f>IF(ISBLANK(B151),"",COUNTA($B$18:B151))</f>
        <v/>
      </c>
      <c r="B151" s="54" t="n"/>
      <c r="C151" s="55" t="n"/>
      <c r="D151" s="55" t="n"/>
      <c r="E151" s="53" t="n"/>
      <c r="F151" s="56" t="n"/>
      <c r="G151" s="56" t="n"/>
      <c r="H151" s="56" t="n"/>
      <c r="I151" s="56" t="n"/>
      <c r="J151" s="56" t="n"/>
      <c r="K151" s="56" t="n"/>
      <c r="L151" s="57" t="n"/>
      <c r="M151" s="56" t="n"/>
      <c r="N151" s="55" t="n"/>
      <c r="O151" s="58">
        <f>IFERROR(IF(OR(ISBLANK(G151),ISBLANK(I151)),"",ABS(G151-I151)/VLOOKUP(C151,設定!$B$9:$D$23,2,FALSE)),"")</f>
        <v/>
      </c>
      <c r="P151" s="57">
        <f>IFERROR(IF(OR(ISBLANK(F151),ISBLANK(H151),ISBLANK(J151)),"",ABS(J151-F151)/ABS(F151-H151)),"")</f>
        <v/>
      </c>
      <c r="Q151" s="59">
        <f>IFERROR(IF(OR(ISBLANK(M151),ISBLANK(D151),ISBLANK(G151)),"",IF(D151="Long",(M151-G151),(G151-M151))/VLOOKUP(C151,設定!$B$9:$D$23,2,FALSE)),"")</f>
        <v/>
      </c>
      <c r="R151" s="60">
        <f>IFERROR(IF(OR(ISBLANK(Q151),O151=0),"",Q151/O151),"")</f>
        <v/>
      </c>
      <c r="S151" s="60">
        <f>IFERROR(IF(ISBLANK(R151),S150,IF(ISNUMBER(S150),S150,0)+R151),"")</f>
        <v/>
      </c>
      <c r="T151" s="61">
        <f>IFERROR(IF(OR(ISBLANK(Q151),ISBLANK(L151)),"",Q151*L151*VLOOKUP(C151,設定!$B$9:$D$23,3,FALSE)),"")</f>
        <v/>
      </c>
      <c r="U151" s="55" t="n"/>
      <c r="V151" s="55" t="n"/>
    </row>
    <row r="152">
      <c r="A152" s="44">
        <f>IF(ISBLANK(B152),"",COUNTA($B$18:B152))</f>
        <v/>
      </c>
      <c r="B152" s="45" t="n"/>
      <c r="C152" s="46" t="n"/>
      <c r="D152" s="46" t="n"/>
      <c r="E152" s="44" t="n"/>
      <c r="F152" s="47" t="n"/>
      <c r="G152" s="47" t="n"/>
      <c r="H152" s="47" t="n"/>
      <c r="I152" s="47" t="n"/>
      <c r="J152" s="47" t="n"/>
      <c r="K152" s="47" t="n"/>
      <c r="L152" s="48" t="n"/>
      <c r="M152" s="47" t="n"/>
      <c r="N152" s="46" t="n"/>
      <c r="O152" s="49">
        <f>IFERROR(IF(OR(ISBLANK(G152),ISBLANK(I152)),"",ABS(G152-I152)/VLOOKUP(C152,設定!$B$9:$D$23,2,FALSE)),"")</f>
        <v/>
      </c>
      <c r="P152" s="48">
        <f>IFERROR(IF(OR(ISBLANK(F152),ISBLANK(H152),ISBLANK(J152)),"",ABS(J152-F152)/ABS(F152-H152)),"")</f>
        <v/>
      </c>
      <c r="Q152" s="50">
        <f>IFERROR(IF(OR(ISBLANK(M152),ISBLANK(D152),ISBLANK(G152)),"",IF(D152="Long",(M152-G152),(G152-M152))/VLOOKUP(C152,設定!$B$9:$D$23,2,FALSE)),"")</f>
        <v/>
      </c>
      <c r="R152" s="51">
        <f>IFERROR(IF(OR(ISBLANK(Q152),O152=0),"",Q152/O152),"")</f>
        <v/>
      </c>
      <c r="S152" s="51">
        <f>IFERROR(IF(ISBLANK(R152),S151,IF(ISNUMBER(S151),S151,0)+R152),"")</f>
        <v/>
      </c>
      <c r="T152" s="52">
        <f>IFERROR(IF(OR(ISBLANK(Q152),ISBLANK(L152)),"",Q152*L152*VLOOKUP(C152,設定!$B$9:$D$23,3,FALSE)),"")</f>
        <v/>
      </c>
      <c r="U152" s="46" t="n"/>
      <c r="V152" s="46" t="n"/>
    </row>
    <row r="153">
      <c r="A153" s="53">
        <f>IF(ISBLANK(B153),"",COUNTA($B$18:B153))</f>
        <v/>
      </c>
      <c r="B153" s="54" t="n"/>
      <c r="C153" s="55" t="n"/>
      <c r="D153" s="55" t="n"/>
      <c r="E153" s="53" t="n"/>
      <c r="F153" s="56" t="n"/>
      <c r="G153" s="56" t="n"/>
      <c r="H153" s="56" t="n"/>
      <c r="I153" s="56" t="n"/>
      <c r="J153" s="56" t="n"/>
      <c r="K153" s="56" t="n"/>
      <c r="L153" s="57" t="n"/>
      <c r="M153" s="56" t="n"/>
      <c r="N153" s="55" t="n"/>
      <c r="O153" s="58">
        <f>IFERROR(IF(OR(ISBLANK(G153),ISBLANK(I153)),"",ABS(G153-I153)/VLOOKUP(C153,設定!$B$9:$D$23,2,FALSE)),"")</f>
        <v/>
      </c>
      <c r="P153" s="57">
        <f>IFERROR(IF(OR(ISBLANK(F153),ISBLANK(H153),ISBLANK(J153)),"",ABS(J153-F153)/ABS(F153-H153)),"")</f>
        <v/>
      </c>
      <c r="Q153" s="59">
        <f>IFERROR(IF(OR(ISBLANK(M153),ISBLANK(D153),ISBLANK(G153)),"",IF(D153="Long",(M153-G153),(G153-M153))/VLOOKUP(C153,設定!$B$9:$D$23,2,FALSE)),"")</f>
        <v/>
      </c>
      <c r="R153" s="60">
        <f>IFERROR(IF(OR(ISBLANK(Q153),O153=0),"",Q153/O153),"")</f>
        <v/>
      </c>
      <c r="S153" s="60">
        <f>IFERROR(IF(ISBLANK(R153),S152,IF(ISNUMBER(S152),S152,0)+R153),"")</f>
        <v/>
      </c>
      <c r="T153" s="61">
        <f>IFERROR(IF(OR(ISBLANK(Q153),ISBLANK(L153)),"",Q153*L153*VLOOKUP(C153,設定!$B$9:$D$23,3,FALSE)),"")</f>
        <v/>
      </c>
      <c r="U153" s="55" t="n"/>
      <c r="V153" s="55" t="n"/>
    </row>
    <row r="154">
      <c r="A154" s="44">
        <f>IF(ISBLANK(B154),"",COUNTA($B$18:B154))</f>
        <v/>
      </c>
      <c r="B154" s="45" t="n"/>
      <c r="C154" s="46" t="n"/>
      <c r="D154" s="46" t="n"/>
      <c r="E154" s="44" t="n"/>
      <c r="F154" s="47" t="n"/>
      <c r="G154" s="47" t="n"/>
      <c r="H154" s="47" t="n"/>
      <c r="I154" s="47" t="n"/>
      <c r="J154" s="47" t="n"/>
      <c r="K154" s="47" t="n"/>
      <c r="L154" s="48" t="n"/>
      <c r="M154" s="47" t="n"/>
      <c r="N154" s="46" t="n"/>
      <c r="O154" s="49">
        <f>IFERROR(IF(OR(ISBLANK(G154),ISBLANK(I154)),"",ABS(G154-I154)/VLOOKUP(C154,設定!$B$9:$D$23,2,FALSE)),"")</f>
        <v/>
      </c>
      <c r="P154" s="48">
        <f>IFERROR(IF(OR(ISBLANK(F154),ISBLANK(H154),ISBLANK(J154)),"",ABS(J154-F154)/ABS(F154-H154)),"")</f>
        <v/>
      </c>
      <c r="Q154" s="50">
        <f>IFERROR(IF(OR(ISBLANK(M154),ISBLANK(D154),ISBLANK(G154)),"",IF(D154="Long",(M154-G154),(G154-M154))/VLOOKUP(C154,設定!$B$9:$D$23,2,FALSE)),"")</f>
        <v/>
      </c>
      <c r="R154" s="51">
        <f>IFERROR(IF(OR(ISBLANK(Q154),O154=0),"",Q154/O154),"")</f>
        <v/>
      </c>
      <c r="S154" s="51">
        <f>IFERROR(IF(ISBLANK(R154),S153,IF(ISNUMBER(S153),S153,0)+R154),"")</f>
        <v/>
      </c>
      <c r="T154" s="52">
        <f>IFERROR(IF(OR(ISBLANK(Q154),ISBLANK(L154)),"",Q154*L154*VLOOKUP(C154,設定!$B$9:$D$23,3,FALSE)),"")</f>
        <v/>
      </c>
      <c r="U154" s="46" t="n"/>
      <c r="V154" s="46" t="n"/>
    </row>
    <row r="155">
      <c r="A155" s="53">
        <f>IF(ISBLANK(B155),"",COUNTA($B$18:B155))</f>
        <v/>
      </c>
      <c r="B155" s="54" t="n"/>
      <c r="C155" s="55" t="n"/>
      <c r="D155" s="55" t="n"/>
      <c r="E155" s="53" t="n"/>
      <c r="F155" s="56" t="n"/>
      <c r="G155" s="56" t="n"/>
      <c r="H155" s="56" t="n"/>
      <c r="I155" s="56" t="n"/>
      <c r="J155" s="56" t="n"/>
      <c r="K155" s="56" t="n"/>
      <c r="L155" s="57" t="n"/>
      <c r="M155" s="56" t="n"/>
      <c r="N155" s="55" t="n"/>
      <c r="O155" s="58">
        <f>IFERROR(IF(OR(ISBLANK(G155),ISBLANK(I155)),"",ABS(G155-I155)/VLOOKUP(C155,設定!$B$9:$D$23,2,FALSE)),"")</f>
        <v/>
      </c>
      <c r="P155" s="57">
        <f>IFERROR(IF(OR(ISBLANK(F155),ISBLANK(H155),ISBLANK(J155)),"",ABS(J155-F155)/ABS(F155-H155)),"")</f>
        <v/>
      </c>
      <c r="Q155" s="59">
        <f>IFERROR(IF(OR(ISBLANK(M155),ISBLANK(D155),ISBLANK(G155)),"",IF(D155="Long",(M155-G155),(G155-M155))/VLOOKUP(C155,設定!$B$9:$D$23,2,FALSE)),"")</f>
        <v/>
      </c>
      <c r="R155" s="60">
        <f>IFERROR(IF(OR(ISBLANK(Q155),O155=0),"",Q155/O155),"")</f>
        <v/>
      </c>
      <c r="S155" s="60">
        <f>IFERROR(IF(ISBLANK(R155),S154,IF(ISNUMBER(S154),S154,0)+R155),"")</f>
        <v/>
      </c>
      <c r="T155" s="61">
        <f>IFERROR(IF(OR(ISBLANK(Q155),ISBLANK(L155)),"",Q155*L155*VLOOKUP(C155,設定!$B$9:$D$23,3,FALSE)),"")</f>
        <v/>
      </c>
      <c r="U155" s="55" t="n"/>
      <c r="V155" s="55" t="n"/>
    </row>
    <row r="156">
      <c r="A156" s="44">
        <f>IF(ISBLANK(B156),"",COUNTA($B$18:B156))</f>
        <v/>
      </c>
      <c r="B156" s="45" t="n"/>
      <c r="C156" s="46" t="n"/>
      <c r="D156" s="46" t="n"/>
      <c r="E156" s="44" t="n"/>
      <c r="F156" s="47" t="n"/>
      <c r="G156" s="47" t="n"/>
      <c r="H156" s="47" t="n"/>
      <c r="I156" s="47" t="n"/>
      <c r="J156" s="47" t="n"/>
      <c r="K156" s="47" t="n"/>
      <c r="L156" s="48" t="n"/>
      <c r="M156" s="47" t="n"/>
      <c r="N156" s="46" t="n"/>
      <c r="O156" s="49">
        <f>IFERROR(IF(OR(ISBLANK(G156),ISBLANK(I156)),"",ABS(G156-I156)/VLOOKUP(C156,設定!$B$9:$D$23,2,FALSE)),"")</f>
        <v/>
      </c>
      <c r="P156" s="48">
        <f>IFERROR(IF(OR(ISBLANK(F156),ISBLANK(H156),ISBLANK(J156)),"",ABS(J156-F156)/ABS(F156-H156)),"")</f>
        <v/>
      </c>
      <c r="Q156" s="50">
        <f>IFERROR(IF(OR(ISBLANK(M156),ISBLANK(D156),ISBLANK(G156)),"",IF(D156="Long",(M156-G156),(G156-M156))/VLOOKUP(C156,設定!$B$9:$D$23,2,FALSE)),"")</f>
        <v/>
      </c>
      <c r="R156" s="51">
        <f>IFERROR(IF(OR(ISBLANK(Q156),O156=0),"",Q156/O156),"")</f>
        <v/>
      </c>
      <c r="S156" s="51">
        <f>IFERROR(IF(ISBLANK(R156),S155,IF(ISNUMBER(S155),S155,0)+R156),"")</f>
        <v/>
      </c>
      <c r="T156" s="52">
        <f>IFERROR(IF(OR(ISBLANK(Q156),ISBLANK(L156)),"",Q156*L156*VLOOKUP(C156,設定!$B$9:$D$23,3,FALSE)),"")</f>
        <v/>
      </c>
      <c r="U156" s="46" t="n"/>
      <c r="V156" s="46" t="n"/>
    </row>
    <row r="157">
      <c r="A157" s="53">
        <f>IF(ISBLANK(B157),"",COUNTA($B$18:B157))</f>
        <v/>
      </c>
      <c r="B157" s="54" t="n"/>
      <c r="C157" s="55" t="n"/>
      <c r="D157" s="55" t="n"/>
      <c r="E157" s="53" t="n"/>
      <c r="F157" s="56" t="n"/>
      <c r="G157" s="56" t="n"/>
      <c r="H157" s="56" t="n"/>
      <c r="I157" s="56" t="n"/>
      <c r="J157" s="56" t="n"/>
      <c r="K157" s="56" t="n"/>
      <c r="L157" s="57" t="n"/>
      <c r="M157" s="56" t="n"/>
      <c r="N157" s="55" t="n"/>
      <c r="O157" s="58">
        <f>IFERROR(IF(OR(ISBLANK(G157),ISBLANK(I157)),"",ABS(G157-I157)/VLOOKUP(C157,設定!$B$9:$D$23,2,FALSE)),"")</f>
        <v/>
      </c>
      <c r="P157" s="57">
        <f>IFERROR(IF(OR(ISBLANK(F157),ISBLANK(H157),ISBLANK(J157)),"",ABS(J157-F157)/ABS(F157-H157)),"")</f>
        <v/>
      </c>
      <c r="Q157" s="59">
        <f>IFERROR(IF(OR(ISBLANK(M157),ISBLANK(D157),ISBLANK(G157)),"",IF(D157="Long",(M157-G157),(G157-M157))/VLOOKUP(C157,設定!$B$9:$D$23,2,FALSE)),"")</f>
        <v/>
      </c>
      <c r="R157" s="60">
        <f>IFERROR(IF(OR(ISBLANK(Q157),O157=0),"",Q157/O157),"")</f>
        <v/>
      </c>
      <c r="S157" s="60">
        <f>IFERROR(IF(ISBLANK(R157),S156,IF(ISNUMBER(S156),S156,0)+R157),"")</f>
        <v/>
      </c>
      <c r="T157" s="61">
        <f>IFERROR(IF(OR(ISBLANK(Q157),ISBLANK(L157)),"",Q157*L157*VLOOKUP(C157,設定!$B$9:$D$23,3,FALSE)),"")</f>
        <v/>
      </c>
      <c r="U157" s="55" t="n"/>
      <c r="V157" s="55" t="n"/>
    </row>
    <row r="158">
      <c r="A158" s="44">
        <f>IF(ISBLANK(B158),"",COUNTA($B$18:B158))</f>
        <v/>
      </c>
      <c r="B158" s="45" t="n"/>
      <c r="C158" s="46" t="n"/>
      <c r="D158" s="46" t="n"/>
      <c r="E158" s="44" t="n"/>
      <c r="F158" s="47" t="n"/>
      <c r="G158" s="47" t="n"/>
      <c r="H158" s="47" t="n"/>
      <c r="I158" s="47" t="n"/>
      <c r="J158" s="47" t="n"/>
      <c r="K158" s="47" t="n"/>
      <c r="L158" s="48" t="n"/>
      <c r="M158" s="47" t="n"/>
      <c r="N158" s="46" t="n"/>
      <c r="O158" s="49">
        <f>IFERROR(IF(OR(ISBLANK(G158),ISBLANK(I158)),"",ABS(G158-I158)/VLOOKUP(C158,設定!$B$9:$D$23,2,FALSE)),"")</f>
        <v/>
      </c>
      <c r="P158" s="48">
        <f>IFERROR(IF(OR(ISBLANK(F158),ISBLANK(H158),ISBLANK(J158)),"",ABS(J158-F158)/ABS(F158-H158)),"")</f>
        <v/>
      </c>
      <c r="Q158" s="50">
        <f>IFERROR(IF(OR(ISBLANK(M158),ISBLANK(D158),ISBLANK(G158)),"",IF(D158="Long",(M158-G158),(G158-M158))/VLOOKUP(C158,設定!$B$9:$D$23,2,FALSE)),"")</f>
        <v/>
      </c>
      <c r="R158" s="51">
        <f>IFERROR(IF(OR(ISBLANK(Q158),O158=0),"",Q158/O158),"")</f>
        <v/>
      </c>
      <c r="S158" s="51">
        <f>IFERROR(IF(ISBLANK(R158),S157,IF(ISNUMBER(S157),S157,0)+R158),"")</f>
        <v/>
      </c>
      <c r="T158" s="52">
        <f>IFERROR(IF(OR(ISBLANK(Q158),ISBLANK(L158)),"",Q158*L158*VLOOKUP(C158,設定!$B$9:$D$23,3,FALSE)),"")</f>
        <v/>
      </c>
      <c r="U158" s="46" t="n"/>
      <c r="V158" s="46" t="n"/>
    </row>
    <row r="159">
      <c r="A159" s="53">
        <f>IF(ISBLANK(B159),"",COUNTA($B$18:B159))</f>
        <v/>
      </c>
      <c r="B159" s="54" t="n"/>
      <c r="C159" s="55" t="n"/>
      <c r="D159" s="55" t="n"/>
      <c r="E159" s="53" t="n"/>
      <c r="F159" s="56" t="n"/>
      <c r="G159" s="56" t="n"/>
      <c r="H159" s="56" t="n"/>
      <c r="I159" s="56" t="n"/>
      <c r="J159" s="56" t="n"/>
      <c r="K159" s="56" t="n"/>
      <c r="L159" s="57" t="n"/>
      <c r="M159" s="56" t="n"/>
      <c r="N159" s="55" t="n"/>
      <c r="O159" s="58">
        <f>IFERROR(IF(OR(ISBLANK(G159),ISBLANK(I159)),"",ABS(G159-I159)/VLOOKUP(C159,設定!$B$9:$D$23,2,FALSE)),"")</f>
        <v/>
      </c>
      <c r="P159" s="57">
        <f>IFERROR(IF(OR(ISBLANK(F159),ISBLANK(H159),ISBLANK(J159)),"",ABS(J159-F159)/ABS(F159-H159)),"")</f>
        <v/>
      </c>
      <c r="Q159" s="59">
        <f>IFERROR(IF(OR(ISBLANK(M159),ISBLANK(D159),ISBLANK(G159)),"",IF(D159="Long",(M159-G159),(G159-M159))/VLOOKUP(C159,設定!$B$9:$D$23,2,FALSE)),"")</f>
        <v/>
      </c>
      <c r="R159" s="60">
        <f>IFERROR(IF(OR(ISBLANK(Q159),O159=0),"",Q159/O159),"")</f>
        <v/>
      </c>
      <c r="S159" s="60">
        <f>IFERROR(IF(ISBLANK(R159),S158,IF(ISNUMBER(S158),S158,0)+R159),"")</f>
        <v/>
      </c>
      <c r="T159" s="61">
        <f>IFERROR(IF(OR(ISBLANK(Q159),ISBLANK(L159)),"",Q159*L159*VLOOKUP(C159,設定!$B$9:$D$23,3,FALSE)),"")</f>
        <v/>
      </c>
      <c r="U159" s="55" t="n"/>
      <c r="V159" s="55" t="n"/>
    </row>
    <row r="160">
      <c r="A160" s="44">
        <f>IF(ISBLANK(B160),"",COUNTA($B$18:B160))</f>
        <v/>
      </c>
      <c r="B160" s="45" t="n"/>
      <c r="C160" s="46" t="n"/>
      <c r="D160" s="46" t="n"/>
      <c r="E160" s="44" t="n"/>
      <c r="F160" s="47" t="n"/>
      <c r="G160" s="47" t="n"/>
      <c r="H160" s="47" t="n"/>
      <c r="I160" s="47" t="n"/>
      <c r="J160" s="47" t="n"/>
      <c r="K160" s="47" t="n"/>
      <c r="L160" s="48" t="n"/>
      <c r="M160" s="47" t="n"/>
      <c r="N160" s="46" t="n"/>
      <c r="O160" s="49">
        <f>IFERROR(IF(OR(ISBLANK(G160),ISBLANK(I160)),"",ABS(G160-I160)/VLOOKUP(C160,設定!$B$9:$D$23,2,FALSE)),"")</f>
        <v/>
      </c>
      <c r="P160" s="48">
        <f>IFERROR(IF(OR(ISBLANK(F160),ISBLANK(H160),ISBLANK(J160)),"",ABS(J160-F160)/ABS(F160-H160)),"")</f>
        <v/>
      </c>
      <c r="Q160" s="50">
        <f>IFERROR(IF(OR(ISBLANK(M160),ISBLANK(D160),ISBLANK(G160)),"",IF(D160="Long",(M160-G160),(G160-M160))/VLOOKUP(C160,設定!$B$9:$D$23,2,FALSE)),"")</f>
        <v/>
      </c>
      <c r="R160" s="51">
        <f>IFERROR(IF(OR(ISBLANK(Q160),O160=0),"",Q160/O160),"")</f>
        <v/>
      </c>
      <c r="S160" s="51">
        <f>IFERROR(IF(ISBLANK(R160),S159,IF(ISNUMBER(S159),S159,0)+R160),"")</f>
        <v/>
      </c>
      <c r="T160" s="52">
        <f>IFERROR(IF(OR(ISBLANK(Q160),ISBLANK(L160)),"",Q160*L160*VLOOKUP(C160,設定!$B$9:$D$23,3,FALSE)),"")</f>
        <v/>
      </c>
      <c r="U160" s="46" t="n"/>
      <c r="V160" s="46" t="n"/>
    </row>
    <row r="161">
      <c r="A161" s="53">
        <f>IF(ISBLANK(B161),"",COUNTA($B$18:B161))</f>
        <v/>
      </c>
      <c r="B161" s="54" t="n"/>
      <c r="C161" s="55" t="n"/>
      <c r="D161" s="55" t="n"/>
      <c r="E161" s="53" t="n"/>
      <c r="F161" s="56" t="n"/>
      <c r="G161" s="56" t="n"/>
      <c r="H161" s="56" t="n"/>
      <c r="I161" s="56" t="n"/>
      <c r="J161" s="56" t="n"/>
      <c r="K161" s="56" t="n"/>
      <c r="L161" s="57" t="n"/>
      <c r="M161" s="56" t="n"/>
      <c r="N161" s="55" t="n"/>
      <c r="O161" s="58">
        <f>IFERROR(IF(OR(ISBLANK(G161),ISBLANK(I161)),"",ABS(G161-I161)/VLOOKUP(C161,設定!$B$9:$D$23,2,FALSE)),"")</f>
        <v/>
      </c>
      <c r="P161" s="57">
        <f>IFERROR(IF(OR(ISBLANK(F161),ISBLANK(H161),ISBLANK(J161)),"",ABS(J161-F161)/ABS(F161-H161)),"")</f>
        <v/>
      </c>
      <c r="Q161" s="59">
        <f>IFERROR(IF(OR(ISBLANK(M161),ISBLANK(D161),ISBLANK(G161)),"",IF(D161="Long",(M161-G161),(G161-M161))/VLOOKUP(C161,設定!$B$9:$D$23,2,FALSE)),"")</f>
        <v/>
      </c>
      <c r="R161" s="60">
        <f>IFERROR(IF(OR(ISBLANK(Q161),O161=0),"",Q161/O161),"")</f>
        <v/>
      </c>
      <c r="S161" s="60">
        <f>IFERROR(IF(ISBLANK(R161),S160,IF(ISNUMBER(S160),S160,0)+R161),"")</f>
        <v/>
      </c>
      <c r="T161" s="61">
        <f>IFERROR(IF(OR(ISBLANK(Q161),ISBLANK(L161)),"",Q161*L161*VLOOKUP(C161,設定!$B$9:$D$23,3,FALSE)),"")</f>
        <v/>
      </c>
      <c r="U161" s="55" t="n"/>
      <c r="V161" s="55" t="n"/>
    </row>
    <row r="162">
      <c r="A162" s="44">
        <f>IF(ISBLANK(B162),"",COUNTA($B$18:B162))</f>
        <v/>
      </c>
      <c r="B162" s="45" t="n"/>
      <c r="C162" s="46" t="n"/>
      <c r="D162" s="46" t="n"/>
      <c r="E162" s="44" t="n"/>
      <c r="F162" s="47" t="n"/>
      <c r="G162" s="47" t="n"/>
      <c r="H162" s="47" t="n"/>
      <c r="I162" s="47" t="n"/>
      <c r="J162" s="47" t="n"/>
      <c r="K162" s="47" t="n"/>
      <c r="L162" s="48" t="n"/>
      <c r="M162" s="47" t="n"/>
      <c r="N162" s="46" t="n"/>
      <c r="O162" s="49">
        <f>IFERROR(IF(OR(ISBLANK(G162),ISBLANK(I162)),"",ABS(G162-I162)/VLOOKUP(C162,設定!$B$9:$D$23,2,FALSE)),"")</f>
        <v/>
      </c>
      <c r="P162" s="48">
        <f>IFERROR(IF(OR(ISBLANK(F162),ISBLANK(H162),ISBLANK(J162)),"",ABS(J162-F162)/ABS(F162-H162)),"")</f>
        <v/>
      </c>
      <c r="Q162" s="50">
        <f>IFERROR(IF(OR(ISBLANK(M162),ISBLANK(D162),ISBLANK(G162)),"",IF(D162="Long",(M162-G162),(G162-M162))/VLOOKUP(C162,設定!$B$9:$D$23,2,FALSE)),"")</f>
        <v/>
      </c>
      <c r="R162" s="51">
        <f>IFERROR(IF(OR(ISBLANK(Q162),O162=0),"",Q162/O162),"")</f>
        <v/>
      </c>
      <c r="S162" s="51">
        <f>IFERROR(IF(ISBLANK(R162),S161,IF(ISNUMBER(S161),S161,0)+R162),"")</f>
        <v/>
      </c>
      <c r="T162" s="52">
        <f>IFERROR(IF(OR(ISBLANK(Q162),ISBLANK(L162)),"",Q162*L162*VLOOKUP(C162,設定!$B$9:$D$23,3,FALSE)),"")</f>
        <v/>
      </c>
      <c r="U162" s="46" t="n"/>
      <c r="V162" s="46" t="n"/>
    </row>
    <row r="163">
      <c r="A163" s="53">
        <f>IF(ISBLANK(B163),"",COUNTA($B$18:B163))</f>
        <v/>
      </c>
      <c r="B163" s="54" t="n"/>
      <c r="C163" s="55" t="n"/>
      <c r="D163" s="55" t="n"/>
      <c r="E163" s="53" t="n"/>
      <c r="F163" s="56" t="n"/>
      <c r="G163" s="56" t="n"/>
      <c r="H163" s="56" t="n"/>
      <c r="I163" s="56" t="n"/>
      <c r="J163" s="56" t="n"/>
      <c r="K163" s="56" t="n"/>
      <c r="L163" s="57" t="n"/>
      <c r="M163" s="56" t="n"/>
      <c r="N163" s="55" t="n"/>
      <c r="O163" s="58">
        <f>IFERROR(IF(OR(ISBLANK(G163),ISBLANK(I163)),"",ABS(G163-I163)/VLOOKUP(C163,設定!$B$9:$D$23,2,FALSE)),"")</f>
        <v/>
      </c>
      <c r="P163" s="57">
        <f>IFERROR(IF(OR(ISBLANK(F163),ISBLANK(H163),ISBLANK(J163)),"",ABS(J163-F163)/ABS(F163-H163)),"")</f>
        <v/>
      </c>
      <c r="Q163" s="59">
        <f>IFERROR(IF(OR(ISBLANK(M163),ISBLANK(D163),ISBLANK(G163)),"",IF(D163="Long",(M163-G163),(G163-M163))/VLOOKUP(C163,設定!$B$9:$D$23,2,FALSE)),"")</f>
        <v/>
      </c>
      <c r="R163" s="60">
        <f>IFERROR(IF(OR(ISBLANK(Q163),O163=0),"",Q163/O163),"")</f>
        <v/>
      </c>
      <c r="S163" s="60">
        <f>IFERROR(IF(ISBLANK(R163),S162,IF(ISNUMBER(S162),S162,0)+R163),"")</f>
        <v/>
      </c>
      <c r="T163" s="61">
        <f>IFERROR(IF(OR(ISBLANK(Q163),ISBLANK(L163)),"",Q163*L163*VLOOKUP(C163,設定!$B$9:$D$23,3,FALSE)),"")</f>
        <v/>
      </c>
      <c r="U163" s="55" t="n"/>
      <c r="V163" s="55" t="n"/>
    </row>
    <row r="164">
      <c r="A164" s="44">
        <f>IF(ISBLANK(B164),"",COUNTA($B$18:B164))</f>
        <v/>
      </c>
      <c r="B164" s="45" t="n"/>
      <c r="C164" s="46" t="n"/>
      <c r="D164" s="46" t="n"/>
      <c r="E164" s="44" t="n"/>
      <c r="F164" s="47" t="n"/>
      <c r="G164" s="47" t="n"/>
      <c r="H164" s="47" t="n"/>
      <c r="I164" s="47" t="n"/>
      <c r="J164" s="47" t="n"/>
      <c r="K164" s="47" t="n"/>
      <c r="L164" s="48" t="n"/>
      <c r="M164" s="47" t="n"/>
      <c r="N164" s="46" t="n"/>
      <c r="O164" s="49">
        <f>IFERROR(IF(OR(ISBLANK(G164),ISBLANK(I164)),"",ABS(G164-I164)/VLOOKUP(C164,設定!$B$9:$D$23,2,FALSE)),"")</f>
        <v/>
      </c>
      <c r="P164" s="48">
        <f>IFERROR(IF(OR(ISBLANK(F164),ISBLANK(H164),ISBLANK(J164)),"",ABS(J164-F164)/ABS(F164-H164)),"")</f>
        <v/>
      </c>
      <c r="Q164" s="50">
        <f>IFERROR(IF(OR(ISBLANK(M164),ISBLANK(D164),ISBLANK(G164)),"",IF(D164="Long",(M164-G164),(G164-M164))/VLOOKUP(C164,設定!$B$9:$D$23,2,FALSE)),"")</f>
        <v/>
      </c>
      <c r="R164" s="51">
        <f>IFERROR(IF(OR(ISBLANK(Q164),O164=0),"",Q164/O164),"")</f>
        <v/>
      </c>
      <c r="S164" s="51">
        <f>IFERROR(IF(ISBLANK(R164),S163,IF(ISNUMBER(S163),S163,0)+R164),"")</f>
        <v/>
      </c>
      <c r="T164" s="52">
        <f>IFERROR(IF(OR(ISBLANK(Q164),ISBLANK(L164)),"",Q164*L164*VLOOKUP(C164,設定!$B$9:$D$23,3,FALSE)),"")</f>
        <v/>
      </c>
      <c r="U164" s="46" t="n"/>
      <c r="V164" s="46" t="n"/>
    </row>
    <row r="165">
      <c r="A165" s="53">
        <f>IF(ISBLANK(B165),"",COUNTA($B$18:B165))</f>
        <v/>
      </c>
      <c r="B165" s="54" t="n"/>
      <c r="C165" s="55" t="n"/>
      <c r="D165" s="55" t="n"/>
      <c r="E165" s="53" t="n"/>
      <c r="F165" s="56" t="n"/>
      <c r="G165" s="56" t="n"/>
      <c r="H165" s="56" t="n"/>
      <c r="I165" s="56" t="n"/>
      <c r="J165" s="56" t="n"/>
      <c r="K165" s="56" t="n"/>
      <c r="L165" s="57" t="n"/>
      <c r="M165" s="56" t="n"/>
      <c r="N165" s="55" t="n"/>
      <c r="O165" s="58">
        <f>IFERROR(IF(OR(ISBLANK(G165),ISBLANK(I165)),"",ABS(G165-I165)/VLOOKUP(C165,設定!$B$9:$D$23,2,FALSE)),"")</f>
        <v/>
      </c>
      <c r="P165" s="57">
        <f>IFERROR(IF(OR(ISBLANK(F165),ISBLANK(H165),ISBLANK(J165)),"",ABS(J165-F165)/ABS(F165-H165)),"")</f>
        <v/>
      </c>
      <c r="Q165" s="59">
        <f>IFERROR(IF(OR(ISBLANK(M165),ISBLANK(D165),ISBLANK(G165)),"",IF(D165="Long",(M165-G165),(G165-M165))/VLOOKUP(C165,設定!$B$9:$D$23,2,FALSE)),"")</f>
        <v/>
      </c>
      <c r="R165" s="60">
        <f>IFERROR(IF(OR(ISBLANK(Q165),O165=0),"",Q165/O165),"")</f>
        <v/>
      </c>
      <c r="S165" s="60">
        <f>IFERROR(IF(ISBLANK(R165),S164,IF(ISNUMBER(S164),S164,0)+R165),"")</f>
        <v/>
      </c>
      <c r="T165" s="61">
        <f>IFERROR(IF(OR(ISBLANK(Q165),ISBLANK(L165)),"",Q165*L165*VLOOKUP(C165,設定!$B$9:$D$23,3,FALSE)),"")</f>
        <v/>
      </c>
      <c r="U165" s="55" t="n"/>
      <c r="V165" s="55" t="n"/>
    </row>
    <row r="166">
      <c r="A166" s="44">
        <f>IF(ISBLANK(B166),"",COUNTA($B$18:B166))</f>
        <v/>
      </c>
      <c r="B166" s="45" t="n"/>
      <c r="C166" s="46" t="n"/>
      <c r="D166" s="46" t="n"/>
      <c r="E166" s="44" t="n"/>
      <c r="F166" s="47" t="n"/>
      <c r="G166" s="47" t="n"/>
      <c r="H166" s="47" t="n"/>
      <c r="I166" s="47" t="n"/>
      <c r="J166" s="47" t="n"/>
      <c r="K166" s="47" t="n"/>
      <c r="L166" s="48" t="n"/>
      <c r="M166" s="47" t="n"/>
      <c r="N166" s="46" t="n"/>
      <c r="O166" s="49">
        <f>IFERROR(IF(OR(ISBLANK(G166),ISBLANK(I166)),"",ABS(G166-I166)/VLOOKUP(C166,設定!$B$9:$D$23,2,FALSE)),"")</f>
        <v/>
      </c>
      <c r="P166" s="48">
        <f>IFERROR(IF(OR(ISBLANK(F166),ISBLANK(H166),ISBLANK(J166)),"",ABS(J166-F166)/ABS(F166-H166)),"")</f>
        <v/>
      </c>
      <c r="Q166" s="50">
        <f>IFERROR(IF(OR(ISBLANK(M166),ISBLANK(D166),ISBLANK(G166)),"",IF(D166="Long",(M166-G166),(G166-M166))/VLOOKUP(C166,設定!$B$9:$D$23,2,FALSE)),"")</f>
        <v/>
      </c>
      <c r="R166" s="51">
        <f>IFERROR(IF(OR(ISBLANK(Q166),O166=0),"",Q166/O166),"")</f>
        <v/>
      </c>
      <c r="S166" s="51">
        <f>IFERROR(IF(ISBLANK(R166),S165,IF(ISNUMBER(S165),S165,0)+R166),"")</f>
        <v/>
      </c>
      <c r="T166" s="52">
        <f>IFERROR(IF(OR(ISBLANK(Q166),ISBLANK(L166)),"",Q166*L166*VLOOKUP(C166,設定!$B$9:$D$23,3,FALSE)),"")</f>
        <v/>
      </c>
      <c r="U166" s="46" t="n"/>
      <c r="V166" s="46" t="n"/>
    </row>
    <row r="167">
      <c r="A167" s="53">
        <f>IF(ISBLANK(B167),"",COUNTA($B$18:B167))</f>
        <v/>
      </c>
      <c r="B167" s="54" t="n"/>
      <c r="C167" s="55" t="n"/>
      <c r="D167" s="55" t="n"/>
      <c r="E167" s="53" t="n"/>
      <c r="F167" s="56" t="n"/>
      <c r="G167" s="56" t="n"/>
      <c r="H167" s="56" t="n"/>
      <c r="I167" s="56" t="n"/>
      <c r="J167" s="56" t="n"/>
      <c r="K167" s="56" t="n"/>
      <c r="L167" s="57" t="n"/>
      <c r="M167" s="56" t="n"/>
      <c r="N167" s="55" t="n"/>
      <c r="O167" s="58">
        <f>IFERROR(IF(OR(ISBLANK(G167),ISBLANK(I167)),"",ABS(G167-I167)/VLOOKUP(C167,設定!$B$9:$D$23,2,FALSE)),"")</f>
        <v/>
      </c>
      <c r="P167" s="57">
        <f>IFERROR(IF(OR(ISBLANK(F167),ISBLANK(H167),ISBLANK(J167)),"",ABS(J167-F167)/ABS(F167-H167)),"")</f>
        <v/>
      </c>
      <c r="Q167" s="59">
        <f>IFERROR(IF(OR(ISBLANK(M167),ISBLANK(D167),ISBLANK(G167)),"",IF(D167="Long",(M167-G167),(G167-M167))/VLOOKUP(C167,設定!$B$9:$D$23,2,FALSE)),"")</f>
        <v/>
      </c>
      <c r="R167" s="60">
        <f>IFERROR(IF(OR(ISBLANK(Q167),O167=0),"",Q167/O167),"")</f>
        <v/>
      </c>
      <c r="S167" s="60">
        <f>IFERROR(IF(ISBLANK(R167),S166,IF(ISNUMBER(S166),S166,0)+R167),"")</f>
        <v/>
      </c>
      <c r="T167" s="61">
        <f>IFERROR(IF(OR(ISBLANK(Q167),ISBLANK(L167)),"",Q167*L167*VLOOKUP(C167,設定!$B$9:$D$23,3,FALSE)),"")</f>
        <v/>
      </c>
      <c r="U167" s="55" t="n"/>
      <c r="V167" s="55" t="n"/>
    </row>
    <row r="168">
      <c r="A168" s="44">
        <f>IF(ISBLANK(B168),"",COUNTA($B$18:B168))</f>
        <v/>
      </c>
      <c r="B168" s="45" t="n"/>
      <c r="C168" s="46" t="n"/>
      <c r="D168" s="46" t="n"/>
      <c r="E168" s="44" t="n"/>
      <c r="F168" s="47" t="n"/>
      <c r="G168" s="47" t="n"/>
      <c r="H168" s="47" t="n"/>
      <c r="I168" s="47" t="n"/>
      <c r="J168" s="47" t="n"/>
      <c r="K168" s="47" t="n"/>
      <c r="L168" s="48" t="n"/>
      <c r="M168" s="47" t="n"/>
      <c r="N168" s="46" t="n"/>
      <c r="O168" s="49">
        <f>IFERROR(IF(OR(ISBLANK(G168),ISBLANK(I168)),"",ABS(G168-I168)/VLOOKUP(C168,設定!$B$9:$D$23,2,FALSE)),"")</f>
        <v/>
      </c>
      <c r="P168" s="48">
        <f>IFERROR(IF(OR(ISBLANK(F168),ISBLANK(H168),ISBLANK(J168)),"",ABS(J168-F168)/ABS(F168-H168)),"")</f>
        <v/>
      </c>
      <c r="Q168" s="50">
        <f>IFERROR(IF(OR(ISBLANK(M168),ISBLANK(D168),ISBLANK(G168)),"",IF(D168="Long",(M168-G168),(G168-M168))/VLOOKUP(C168,設定!$B$9:$D$23,2,FALSE)),"")</f>
        <v/>
      </c>
      <c r="R168" s="51">
        <f>IFERROR(IF(OR(ISBLANK(Q168),O168=0),"",Q168/O168),"")</f>
        <v/>
      </c>
      <c r="S168" s="51">
        <f>IFERROR(IF(ISBLANK(R168),S167,IF(ISNUMBER(S167),S167,0)+R168),"")</f>
        <v/>
      </c>
      <c r="T168" s="52">
        <f>IFERROR(IF(OR(ISBLANK(Q168),ISBLANK(L168)),"",Q168*L168*VLOOKUP(C168,設定!$B$9:$D$23,3,FALSE)),"")</f>
        <v/>
      </c>
      <c r="U168" s="46" t="n"/>
      <c r="V168" s="46" t="n"/>
    </row>
    <row r="169">
      <c r="A169" s="53">
        <f>IF(ISBLANK(B169),"",COUNTA($B$18:B169))</f>
        <v/>
      </c>
      <c r="B169" s="54" t="n"/>
      <c r="C169" s="55" t="n"/>
      <c r="D169" s="55" t="n"/>
      <c r="E169" s="53" t="n"/>
      <c r="F169" s="56" t="n"/>
      <c r="G169" s="56" t="n"/>
      <c r="H169" s="56" t="n"/>
      <c r="I169" s="56" t="n"/>
      <c r="J169" s="56" t="n"/>
      <c r="K169" s="56" t="n"/>
      <c r="L169" s="57" t="n"/>
      <c r="M169" s="56" t="n"/>
      <c r="N169" s="55" t="n"/>
      <c r="O169" s="58">
        <f>IFERROR(IF(OR(ISBLANK(G169),ISBLANK(I169)),"",ABS(G169-I169)/VLOOKUP(C169,設定!$B$9:$D$23,2,FALSE)),"")</f>
        <v/>
      </c>
      <c r="P169" s="57">
        <f>IFERROR(IF(OR(ISBLANK(F169),ISBLANK(H169),ISBLANK(J169)),"",ABS(J169-F169)/ABS(F169-H169)),"")</f>
        <v/>
      </c>
      <c r="Q169" s="59">
        <f>IFERROR(IF(OR(ISBLANK(M169),ISBLANK(D169),ISBLANK(G169)),"",IF(D169="Long",(M169-G169),(G169-M169))/VLOOKUP(C169,設定!$B$9:$D$23,2,FALSE)),"")</f>
        <v/>
      </c>
      <c r="R169" s="60">
        <f>IFERROR(IF(OR(ISBLANK(Q169),O169=0),"",Q169/O169),"")</f>
        <v/>
      </c>
      <c r="S169" s="60">
        <f>IFERROR(IF(ISBLANK(R169),S168,IF(ISNUMBER(S168),S168,0)+R169),"")</f>
        <v/>
      </c>
      <c r="T169" s="61">
        <f>IFERROR(IF(OR(ISBLANK(Q169),ISBLANK(L169)),"",Q169*L169*VLOOKUP(C169,設定!$B$9:$D$23,3,FALSE)),"")</f>
        <v/>
      </c>
      <c r="U169" s="55" t="n"/>
      <c r="V169" s="55" t="n"/>
    </row>
    <row r="170">
      <c r="A170" s="44">
        <f>IF(ISBLANK(B170),"",COUNTA($B$18:B170))</f>
        <v/>
      </c>
      <c r="B170" s="45" t="n"/>
      <c r="C170" s="46" t="n"/>
      <c r="D170" s="46" t="n"/>
      <c r="E170" s="44" t="n"/>
      <c r="F170" s="47" t="n"/>
      <c r="G170" s="47" t="n"/>
      <c r="H170" s="47" t="n"/>
      <c r="I170" s="47" t="n"/>
      <c r="J170" s="47" t="n"/>
      <c r="K170" s="47" t="n"/>
      <c r="L170" s="48" t="n"/>
      <c r="M170" s="47" t="n"/>
      <c r="N170" s="46" t="n"/>
      <c r="O170" s="49">
        <f>IFERROR(IF(OR(ISBLANK(G170),ISBLANK(I170)),"",ABS(G170-I170)/VLOOKUP(C170,設定!$B$9:$D$23,2,FALSE)),"")</f>
        <v/>
      </c>
      <c r="P170" s="48">
        <f>IFERROR(IF(OR(ISBLANK(F170),ISBLANK(H170),ISBLANK(J170)),"",ABS(J170-F170)/ABS(F170-H170)),"")</f>
        <v/>
      </c>
      <c r="Q170" s="50">
        <f>IFERROR(IF(OR(ISBLANK(M170),ISBLANK(D170),ISBLANK(G170)),"",IF(D170="Long",(M170-G170),(G170-M170))/VLOOKUP(C170,設定!$B$9:$D$23,2,FALSE)),"")</f>
        <v/>
      </c>
      <c r="R170" s="51">
        <f>IFERROR(IF(OR(ISBLANK(Q170),O170=0),"",Q170/O170),"")</f>
        <v/>
      </c>
      <c r="S170" s="51">
        <f>IFERROR(IF(ISBLANK(R170),S169,IF(ISNUMBER(S169),S169,0)+R170),"")</f>
        <v/>
      </c>
      <c r="T170" s="52">
        <f>IFERROR(IF(OR(ISBLANK(Q170),ISBLANK(L170)),"",Q170*L170*VLOOKUP(C170,設定!$B$9:$D$23,3,FALSE)),"")</f>
        <v/>
      </c>
      <c r="U170" s="46" t="n"/>
      <c r="V170" s="46" t="n"/>
    </row>
    <row r="171">
      <c r="A171" s="53">
        <f>IF(ISBLANK(B171),"",COUNTA($B$18:B171))</f>
        <v/>
      </c>
      <c r="B171" s="54" t="n"/>
      <c r="C171" s="55" t="n"/>
      <c r="D171" s="55" t="n"/>
      <c r="E171" s="53" t="n"/>
      <c r="F171" s="56" t="n"/>
      <c r="G171" s="56" t="n"/>
      <c r="H171" s="56" t="n"/>
      <c r="I171" s="56" t="n"/>
      <c r="J171" s="56" t="n"/>
      <c r="K171" s="56" t="n"/>
      <c r="L171" s="57" t="n"/>
      <c r="M171" s="56" t="n"/>
      <c r="N171" s="55" t="n"/>
      <c r="O171" s="58">
        <f>IFERROR(IF(OR(ISBLANK(G171),ISBLANK(I171)),"",ABS(G171-I171)/VLOOKUP(C171,設定!$B$9:$D$23,2,FALSE)),"")</f>
        <v/>
      </c>
      <c r="P171" s="57">
        <f>IFERROR(IF(OR(ISBLANK(F171),ISBLANK(H171),ISBLANK(J171)),"",ABS(J171-F171)/ABS(F171-H171)),"")</f>
        <v/>
      </c>
      <c r="Q171" s="59">
        <f>IFERROR(IF(OR(ISBLANK(M171),ISBLANK(D171),ISBLANK(G171)),"",IF(D171="Long",(M171-G171),(G171-M171))/VLOOKUP(C171,設定!$B$9:$D$23,2,FALSE)),"")</f>
        <v/>
      </c>
      <c r="R171" s="60">
        <f>IFERROR(IF(OR(ISBLANK(Q171),O171=0),"",Q171/O171),"")</f>
        <v/>
      </c>
      <c r="S171" s="60">
        <f>IFERROR(IF(ISBLANK(R171),S170,IF(ISNUMBER(S170),S170,0)+R171),"")</f>
        <v/>
      </c>
      <c r="T171" s="61">
        <f>IFERROR(IF(OR(ISBLANK(Q171),ISBLANK(L171)),"",Q171*L171*VLOOKUP(C171,設定!$B$9:$D$23,3,FALSE)),"")</f>
        <v/>
      </c>
      <c r="U171" s="55" t="n"/>
      <c r="V171" s="55" t="n"/>
    </row>
    <row r="172">
      <c r="A172" s="44">
        <f>IF(ISBLANK(B172),"",COUNTA($B$18:B172))</f>
        <v/>
      </c>
      <c r="B172" s="45" t="n"/>
      <c r="C172" s="46" t="n"/>
      <c r="D172" s="46" t="n"/>
      <c r="E172" s="44" t="n"/>
      <c r="F172" s="47" t="n"/>
      <c r="G172" s="47" t="n"/>
      <c r="H172" s="47" t="n"/>
      <c r="I172" s="47" t="n"/>
      <c r="J172" s="47" t="n"/>
      <c r="K172" s="47" t="n"/>
      <c r="L172" s="48" t="n"/>
      <c r="M172" s="47" t="n"/>
      <c r="N172" s="46" t="n"/>
      <c r="O172" s="49">
        <f>IFERROR(IF(OR(ISBLANK(G172),ISBLANK(I172)),"",ABS(G172-I172)/VLOOKUP(C172,設定!$B$9:$D$23,2,FALSE)),"")</f>
        <v/>
      </c>
      <c r="P172" s="48">
        <f>IFERROR(IF(OR(ISBLANK(F172),ISBLANK(H172),ISBLANK(J172)),"",ABS(J172-F172)/ABS(F172-H172)),"")</f>
        <v/>
      </c>
      <c r="Q172" s="50">
        <f>IFERROR(IF(OR(ISBLANK(M172),ISBLANK(D172),ISBLANK(G172)),"",IF(D172="Long",(M172-G172),(G172-M172))/VLOOKUP(C172,設定!$B$9:$D$23,2,FALSE)),"")</f>
        <v/>
      </c>
      <c r="R172" s="51">
        <f>IFERROR(IF(OR(ISBLANK(Q172),O172=0),"",Q172/O172),"")</f>
        <v/>
      </c>
      <c r="S172" s="51">
        <f>IFERROR(IF(ISBLANK(R172),S171,IF(ISNUMBER(S171),S171,0)+R172),"")</f>
        <v/>
      </c>
      <c r="T172" s="52">
        <f>IFERROR(IF(OR(ISBLANK(Q172),ISBLANK(L172)),"",Q172*L172*VLOOKUP(C172,設定!$B$9:$D$23,3,FALSE)),"")</f>
        <v/>
      </c>
      <c r="U172" s="46" t="n"/>
      <c r="V172" s="46" t="n"/>
    </row>
    <row r="173">
      <c r="A173" s="53">
        <f>IF(ISBLANK(B173),"",COUNTA($B$18:B173))</f>
        <v/>
      </c>
      <c r="B173" s="54" t="n"/>
      <c r="C173" s="55" t="n"/>
      <c r="D173" s="55" t="n"/>
      <c r="E173" s="53" t="n"/>
      <c r="F173" s="56" t="n"/>
      <c r="G173" s="56" t="n"/>
      <c r="H173" s="56" t="n"/>
      <c r="I173" s="56" t="n"/>
      <c r="J173" s="56" t="n"/>
      <c r="K173" s="56" t="n"/>
      <c r="L173" s="57" t="n"/>
      <c r="M173" s="56" t="n"/>
      <c r="N173" s="55" t="n"/>
      <c r="O173" s="58">
        <f>IFERROR(IF(OR(ISBLANK(G173),ISBLANK(I173)),"",ABS(G173-I173)/VLOOKUP(C173,設定!$B$9:$D$23,2,FALSE)),"")</f>
        <v/>
      </c>
      <c r="P173" s="57">
        <f>IFERROR(IF(OR(ISBLANK(F173),ISBLANK(H173),ISBLANK(J173)),"",ABS(J173-F173)/ABS(F173-H173)),"")</f>
        <v/>
      </c>
      <c r="Q173" s="59">
        <f>IFERROR(IF(OR(ISBLANK(M173),ISBLANK(D173),ISBLANK(G173)),"",IF(D173="Long",(M173-G173),(G173-M173))/VLOOKUP(C173,設定!$B$9:$D$23,2,FALSE)),"")</f>
        <v/>
      </c>
      <c r="R173" s="60">
        <f>IFERROR(IF(OR(ISBLANK(Q173),O173=0),"",Q173/O173),"")</f>
        <v/>
      </c>
      <c r="S173" s="60">
        <f>IFERROR(IF(ISBLANK(R173),S172,IF(ISNUMBER(S172),S172,0)+R173),"")</f>
        <v/>
      </c>
      <c r="T173" s="61">
        <f>IFERROR(IF(OR(ISBLANK(Q173),ISBLANK(L173)),"",Q173*L173*VLOOKUP(C173,設定!$B$9:$D$23,3,FALSE)),"")</f>
        <v/>
      </c>
      <c r="U173" s="55" t="n"/>
      <c r="V173" s="55" t="n"/>
    </row>
    <row r="174">
      <c r="A174" s="44">
        <f>IF(ISBLANK(B174),"",COUNTA($B$18:B174))</f>
        <v/>
      </c>
      <c r="B174" s="45" t="n"/>
      <c r="C174" s="46" t="n"/>
      <c r="D174" s="46" t="n"/>
      <c r="E174" s="44" t="n"/>
      <c r="F174" s="47" t="n"/>
      <c r="G174" s="47" t="n"/>
      <c r="H174" s="47" t="n"/>
      <c r="I174" s="47" t="n"/>
      <c r="J174" s="47" t="n"/>
      <c r="K174" s="47" t="n"/>
      <c r="L174" s="48" t="n"/>
      <c r="M174" s="47" t="n"/>
      <c r="N174" s="46" t="n"/>
      <c r="O174" s="49">
        <f>IFERROR(IF(OR(ISBLANK(G174),ISBLANK(I174)),"",ABS(G174-I174)/VLOOKUP(C174,設定!$B$9:$D$23,2,FALSE)),"")</f>
        <v/>
      </c>
      <c r="P174" s="48">
        <f>IFERROR(IF(OR(ISBLANK(F174),ISBLANK(H174),ISBLANK(J174)),"",ABS(J174-F174)/ABS(F174-H174)),"")</f>
        <v/>
      </c>
      <c r="Q174" s="50">
        <f>IFERROR(IF(OR(ISBLANK(M174),ISBLANK(D174),ISBLANK(G174)),"",IF(D174="Long",(M174-G174),(G174-M174))/VLOOKUP(C174,設定!$B$9:$D$23,2,FALSE)),"")</f>
        <v/>
      </c>
      <c r="R174" s="51">
        <f>IFERROR(IF(OR(ISBLANK(Q174),O174=0),"",Q174/O174),"")</f>
        <v/>
      </c>
      <c r="S174" s="51">
        <f>IFERROR(IF(ISBLANK(R174),S173,IF(ISNUMBER(S173),S173,0)+R174),"")</f>
        <v/>
      </c>
      <c r="T174" s="52">
        <f>IFERROR(IF(OR(ISBLANK(Q174),ISBLANK(L174)),"",Q174*L174*VLOOKUP(C174,設定!$B$9:$D$23,3,FALSE)),"")</f>
        <v/>
      </c>
      <c r="U174" s="46" t="n"/>
      <c r="V174" s="46" t="n"/>
    </row>
    <row r="175">
      <c r="A175" s="53">
        <f>IF(ISBLANK(B175),"",COUNTA($B$18:B175))</f>
        <v/>
      </c>
      <c r="B175" s="54" t="n"/>
      <c r="C175" s="55" t="n"/>
      <c r="D175" s="55" t="n"/>
      <c r="E175" s="53" t="n"/>
      <c r="F175" s="56" t="n"/>
      <c r="G175" s="56" t="n"/>
      <c r="H175" s="56" t="n"/>
      <c r="I175" s="56" t="n"/>
      <c r="J175" s="56" t="n"/>
      <c r="K175" s="56" t="n"/>
      <c r="L175" s="57" t="n"/>
      <c r="M175" s="56" t="n"/>
      <c r="N175" s="55" t="n"/>
      <c r="O175" s="58">
        <f>IFERROR(IF(OR(ISBLANK(G175),ISBLANK(I175)),"",ABS(G175-I175)/VLOOKUP(C175,設定!$B$9:$D$23,2,FALSE)),"")</f>
        <v/>
      </c>
      <c r="P175" s="57">
        <f>IFERROR(IF(OR(ISBLANK(F175),ISBLANK(H175),ISBLANK(J175)),"",ABS(J175-F175)/ABS(F175-H175)),"")</f>
        <v/>
      </c>
      <c r="Q175" s="59">
        <f>IFERROR(IF(OR(ISBLANK(M175),ISBLANK(D175),ISBLANK(G175)),"",IF(D175="Long",(M175-G175),(G175-M175))/VLOOKUP(C175,設定!$B$9:$D$23,2,FALSE)),"")</f>
        <v/>
      </c>
      <c r="R175" s="60">
        <f>IFERROR(IF(OR(ISBLANK(Q175),O175=0),"",Q175/O175),"")</f>
        <v/>
      </c>
      <c r="S175" s="60">
        <f>IFERROR(IF(ISBLANK(R175),S174,IF(ISNUMBER(S174),S174,0)+R175),"")</f>
        <v/>
      </c>
      <c r="T175" s="61">
        <f>IFERROR(IF(OR(ISBLANK(Q175),ISBLANK(L175)),"",Q175*L175*VLOOKUP(C175,設定!$B$9:$D$23,3,FALSE)),"")</f>
        <v/>
      </c>
      <c r="U175" s="55" t="n"/>
      <c r="V175" s="55" t="n"/>
    </row>
    <row r="176">
      <c r="A176" s="44">
        <f>IF(ISBLANK(B176),"",COUNTA($B$18:B176))</f>
        <v/>
      </c>
      <c r="B176" s="45" t="n"/>
      <c r="C176" s="46" t="n"/>
      <c r="D176" s="46" t="n"/>
      <c r="E176" s="44" t="n"/>
      <c r="F176" s="47" t="n"/>
      <c r="G176" s="47" t="n"/>
      <c r="H176" s="47" t="n"/>
      <c r="I176" s="47" t="n"/>
      <c r="J176" s="47" t="n"/>
      <c r="K176" s="47" t="n"/>
      <c r="L176" s="48" t="n"/>
      <c r="M176" s="47" t="n"/>
      <c r="N176" s="46" t="n"/>
      <c r="O176" s="49">
        <f>IFERROR(IF(OR(ISBLANK(G176),ISBLANK(I176)),"",ABS(G176-I176)/VLOOKUP(C176,設定!$B$9:$D$23,2,FALSE)),"")</f>
        <v/>
      </c>
      <c r="P176" s="48">
        <f>IFERROR(IF(OR(ISBLANK(F176),ISBLANK(H176),ISBLANK(J176)),"",ABS(J176-F176)/ABS(F176-H176)),"")</f>
        <v/>
      </c>
      <c r="Q176" s="50">
        <f>IFERROR(IF(OR(ISBLANK(M176),ISBLANK(D176),ISBLANK(G176)),"",IF(D176="Long",(M176-G176),(G176-M176))/VLOOKUP(C176,設定!$B$9:$D$23,2,FALSE)),"")</f>
        <v/>
      </c>
      <c r="R176" s="51">
        <f>IFERROR(IF(OR(ISBLANK(Q176),O176=0),"",Q176/O176),"")</f>
        <v/>
      </c>
      <c r="S176" s="51">
        <f>IFERROR(IF(ISBLANK(R176),S175,IF(ISNUMBER(S175),S175,0)+R176),"")</f>
        <v/>
      </c>
      <c r="T176" s="52">
        <f>IFERROR(IF(OR(ISBLANK(Q176),ISBLANK(L176)),"",Q176*L176*VLOOKUP(C176,設定!$B$9:$D$23,3,FALSE)),"")</f>
        <v/>
      </c>
      <c r="U176" s="46" t="n"/>
      <c r="V176" s="46" t="n"/>
    </row>
    <row r="177">
      <c r="A177" s="53">
        <f>IF(ISBLANK(B177),"",COUNTA($B$18:B177))</f>
        <v/>
      </c>
      <c r="B177" s="54" t="n"/>
      <c r="C177" s="55" t="n"/>
      <c r="D177" s="55" t="n"/>
      <c r="E177" s="53" t="n"/>
      <c r="F177" s="56" t="n"/>
      <c r="G177" s="56" t="n"/>
      <c r="H177" s="56" t="n"/>
      <c r="I177" s="56" t="n"/>
      <c r="J177" s="56" t="n"/>
      <c r="K177" s="56" t="n"/>
      <c r="L177" s="57" t="n"/>
      <c r="M177" s="56" t="n"/>
      <c r="N177" s="55" t="n"/>
      <c r="O177" s="58">
        <f>IFERROR(IF(OR(ISBLANK(G177),ISBLANK(I177)),"",ABS(G177-I177)/VLOOKUP(C177,設定!$B$9:$D$23,2,FALSE)),"")</f>
        <v/>
      </c>
      <c r="P177" s="57">
        <f>IFERROR(IF(OR(ISBLANK(F177),ISBLANK(H177),ISBLANK(J177)),"",ABS(J177-F177)/ABS(F177-H177)),"")</f>
        <v/>
      </c>
      <c r="Q177" s="59">
        <f>IFERROR(IF(OR(ISBLANK(M177),ISBLANK(D177),ISBLANK(G177)),"",IF(D177="Long",(M177-G177),(G177-M177))/VLOOKUP(C177,設定!$B$9:$D$23,2,FALSE)),"")</f>
        <v/>
      </c>
      <c r="R177" s="60">
        <f>IFERROR(IF(OR(ISBLANK(Q177),O177=0),"",Q177/O177),"")</f>
        <v/>
      </c>
      <c r="S177" s="60">
        <f>IFERROR(IF(ISBLANK(R177),S176,IF(ISNUMBER(S176),S176,0)+R177),"")</f>
        <v/>
      </c>
      <c r="T177" s="61">
        <f>IFERROR(IF(OR(ISBLANK(Q177),ISBLANK(L177)),"",Q177*L177*VLOOKUP(C177,設定!$B$9:$D$23,3,FALSE)),"")</f>
        <v/>
      </c>
      <c r="U177" s="55" t="n"/>
      <c r="V177" s="55" t="n"/>
    </row>
    <row r="178">
      <c r="A178" s="44">
        <f>IF(ISBLANK(B178),"",COUNTA($B$18:B178))</f>
        <v/>
      </c>
      <c r="B178" s="45" t="n"/>
      <c r="C178" s="46" t="n"/>
      <c r="D178" s="46" t="n"/>
      <c r="E178" s="44" t="n"/>
      <c r="F178" s="47" t="n"/>
      <c r="G178" s="47" t="n"/>
      <c r="H178" s="47" t="n"/>
      <c r="I178" s="47" t="n"/>
      <c r="J178" s="47" t="n"/>
      <c r="K178" s="47" t="n"/>
      <c r="L178" s="48" t="n"/>
      <c r="M178" s="47" t="n"/>
      <c r="N178" s="46" t="n"/>
      <c r="O178" s="49">
        <f>IFERROR(IF(OR(ISBLANK(G178),ISBLANK(I178)),"",ABS(G178-I178)/VLOOKUP(C178,設定!$B$9:$D$23,2,FALSE)),"")</f>
        <v/>
      </c>
      <c r="P178" s="48">
        <f>IFERROR(IF(OR(ISBLANK(F178),ISBLANK(H178),ISBLANK(J178)),"",ABS(J178-F178)/ABS(F178-H178)),"")</f>
        <v/>
      </c>
      <c r="Q178" s="50">
        <f>IFERROR(IF(OR(ISBLANK(M178),ISBLANK(D178),ISBLANK(G178)),"",IF(D178="Long",(M178-G178),(G178-M178))/VLOOKUP(C178,設定!$B$9:$D$23,2,FALSE)),"")</f>
        <v/>
      </c>
      <c r="R178" s="51">
        <f>IFERROR(IF(OR(ISBLANK(Q178),O178=0),"",Q178/O178),"")</f>
        <v/>
      </c>
      <c r="S178" s="51">
        <f>IFERROR(IF(ISBLANK(R178),S177,IF(ISNUMBER(S177),S177,0)+R178),"")</f>
        <v/>
      </c>
      <c r="T178" s="52">
        <f>IFERROR(IF(OR(ISBLANK(Q178),ISBLANK(L178)),"",Q178*L178*VLOOKUP(C178,設定!$B$9:$D$23,3,FALSE)),"")</f>
        <v/>
      </c>
      <c r="U178" s="46" t="n"/>
      <c r="V178" s="46" t="n"/>
    </row>
    <row r="179">
      <c r="A179" s="53">
        <f>IF(ISBLANK(B179),"",COUNTA($B$18:B179))</f>
        <v/>
      </c>
      <c r="B179" s="54" t="n"/>
      <c r="C179" s="55" t="n"/>
      <c r="D179" s="55" t="n"/>
      <c r="E179" s="53" t="n"/>
      <c r="F179" s="56" t="n"/>
      <c r="G179" s="56" t="n"/>
      <c r="H179" s="56" t="n"/>
      <c r="I179" s="56" t="n"/>
      <c r="J179" s="56" t="n"/>
      <c r="K179" s="56" t="n"/>
      <c r="L179" s="57" t="n"/>
      <c r="M179" s="56" t="n"/>
      <c r="N179" s="55" t="n"/>
      <c r="O179" s="58">
        <f>IFERROR(IF(OR(ISBLANK(G179),ISBLANK(I179)),"",ABS(G179-I179)/VLOOKUP(C179,設定!$B$9:$D$23,2,FALSE)),"")</f>
        <v/>
      </c>
      <c r="P179" s="57">
        <f>IFERROR(IF(OR(ISBLANK(F179),ISBLANK(H179),ISBLANK(J179)),"",ABS(J179-F179)/ABS(F179-H179)),"")</f>
        <v/>
      </c>
      <c r="Q179" s="59">
        <f>IFERROR(IF(OR(ISBLANK(M179),ISBLANK(D179),ISBLANK(G179)),"",IF(D179="Long",(M179-G179),(G179-M179))/VLOOKUP(C179,設定!$B$9:$D$23,2,FALSE)),"")</f>
        <v/>
      </c>
      <c r="R179" s="60">
        <f>IFERROR(IF(OR(ISBLANK(Q179),O179=0),"",Q179/O179),"")</f>
        <v/>
      </c>
      <c r="S179" s="60">
        <f>IFERROR(IF(ISBLANK(R179),S178,IF(ISNUMBER(S178),S178,0)+R179),"")</f>
        <v/>
      </c>
      <c r="T179" s="61">
        <f>IFERROR(IF(OR(ISBLANK(Q179),ISBLANK(L179)),"",Q179*L179*VLOOKUP(C179,設定!$B$9:$D$23,3,FALSE)),"")</f>
        <v/>
      </c>
      <c r="U179" s="55" t="n"/>
      <c r="V179" s="55" t="n"/>
    </row>
    <row r="180">
      <c r="A180" s="44">
        <f>IF(ISBLANK(B180),"",COUNTA($B$18:B180))</f>
        <v/>
      </c>
      <c r="B180" s="45" t="n"/>
      <c r="C180" s="46" t="n"/>
      <c r="D180" s="46" t="n"/>
      <c r="E180" s="44" t="n"/>
      <c r="F180" s="47" t="n"/>
      <c r="G180" s="47" t="n"/>
      <c r="H180" s="47" t="n"/>
      <c r="I180" s="47" t="n"/>
      <c r="J180" s="47" t="n"/>
      <c r="K180" s="47" t="n"/>
      <c r="L180" s="48" t="n"/>
      <c r="M180" s="47" t="n"/>
      <c r="N180" s="46" t="n"/>
      <c r="O180" s="49">
        <f>IFERROR(IF(OR(ISBLANK(G180),ISBLANK(I180)),"",ABS(G180-I180)/VLOOKUP(C180,設定!$B$9:$D$23,2,FALSE)),"")</f>
        <v/>
      </c>
      <c r="P180" s="48">
        <f>IFERROR(IF(OR(ISBLANK(F180),ISBLANK(H180),ISBLANK(J180)),"",ABS(J180-F180)/ABS(F180-H180)),"")</f>
        <v/>
      </c>
      <c r="Q180" s="50">
        <f>IFERROR(IF(OR(ISBLANK(M180),ISBLANK(D180),ISBLANK(G180)),"",IF(D180="Long",(M180-G180),(G180-M180))/VLOOKUP(C180,設定!$B$9:$D$23,2,FALSE)),"")</f>
        <v/>
      </c>
      <c r="R180" s="51">
        <f>IFERROR(IF(OR(ISBLANK(Q180),O180=0),"",Q180/O180),"")</f>
        <v/>
      </c>
      <c r="S180" s="51">
        <f>IFERROR(IF(ISBLANK(R180),S179,IF(ISNUMBER(S179),S179,0)+R180),"")</f>
        <v/>
      </c>
      <c r="T180" s="52">
        <f>IFERROR(IF(OR(ISBLANK(Q180),ISBLANK(L180)),"",Q180*L180*VLOOKUP(C180,設定!$B$9:$D$23,3,FALSE)),"")</f>
        <v/>
      </c>
      <c r="U180" s="46" t="n"/>
      <c r="V180" s="46" t="n"/>
    </row>
    <row r="181">
      <c r="A181" s="53">
        <f>IF(ISBLANK(B181),"",COUNTA($B$18:B181))</f>
        <v/>
      </c>
      <c r="B181" s="54" t="n"/>
      <c r="C181" s="55" t="n"/>
      <c r="D181" s="55" t="n"/>
      <c r="E181" s="53" t="n"/>
      <c r="F181" s="56" t="n"/>
      <c r="G181" s="56" t="n"/>
      <c r="H181" s="56" t="n"/>
      <c r="I181" s="56" t="n"/>
      <c r="J181" s="56" t="n"/>
      <c r="K181" s="56" t="n"/>
      <c r="L181" s="57" t="n"/>
      <c r="M181" s="56" t="n"/>
      <c r="N181" s="55" t="n"/>
      <c r="O181" s="58">
        <f>IFERROR(IF(OR(ISBLANK(G181),ISBLANK(I181)),"",ABS(G181-I181)/VLOOKUP(C181,設定!$B$9:$D$23,2,FALSE)),"")</f>
        <v/>
      </c>
      <c r="P181" s="57">
        <f>IFERROR(IF(OR(ISBLANK(F181),ISBLANK(H181),ISBLANK(J181)),"",ABS(J181-F181)/ABS(F181-H181)),"")</f>
        <v/>
      </c>
      <c r="Q181" s="59">
        <f>IFERROR(IF(OR(ISBLANK(M181),ISBLANK(D181),ISBLANK(G181)),"",IF(D181="Long",(M181-G181),(G181-M181))/VLOOKUP(C181,設定!$B$9:$D$23,2,FALSE)),"")</f>
        <v/>
      </c>
      <c r="R181" s="60">
        <f>IFERROR(IF(OR(ISBLANK(Q181),O181=0),"",Q181/O181),"")</f>
        <v/>
      </c>
      <c r="S181" s="60">
        <f>IFERROR(IF(ISBLANK(R181),S180,IF(ISNUMBER(S180),S180,0)+R181),"")</f>
        <v/>
      </c>
      <c r="T181" s="61">
        <f>IFERROR(IF(OR(ISBLANK(Q181),ISBLANK(L181)),"",Q181*L181*VLOOKUP(C181,設定!$B$9:$D$23,3,FALSE)),"")</f>
        <v/>
      </c>
      <c r="U181" s="55" t="n"/>
      <c r="V181" s="55" t="n"/>
    </row>
    <row r="182">
      <c r="A182" s="44">
        <f>IF(ISBLANK(B182),"",COUNTA($B$18:B182))</f>
        <v/>
      </c>
      <c r="B182" s="45" t="n"/>
      <c r="C182" s="46" t="n"/>
      <c r="D182" s="46" t="n"/>
      <c r="E182" s="44" t="n"/>
      <c r="F182" s="47" t="n"/>
      <c r="G182" s="47" t="n"/>
      <c r="H182" s="47" t="n"/>
      <c r="I182" s="47" t="n"/>
      <c r="J182" s="47" t="n"/>
      <c r="K182" s="47" t="n"/>
      <c r="L182" s="48" t="n"/>
      <c r="M182" s="47" t="n"/>
      <c r="N182" s="46" t="n"/>
      <c r="O182" s="49">
        <f>IFERROR(IF(OR(ISBLANK(G182),ISBLANK(I182)),"",ABS(G182-I182)/VLOOKUP(C182,設定!$B$9:$D$23,2,FALSE)),"")</f>
        <v/>
      </c>
      <c r="P182" s="48">
        <f>IFERROR(IF(OR(ISBLANK(F182),ISBLANK(H182),ISBLANK(J182)),"",ABS(J182-F182)/ABS(F182-H182)),"")</f>
        <v/>
      </c>
      <c r="Q182" s="50">
        <f>IFERROR(IF(OR(ISBLANK(M182),ISBLANK(D182),ISBLANK(G182)),"",IF(D182="Long",(M182-G182),(G182-M182))/VLOOKUP(C182,設定!$B$9:$D$23,2,FALSE)),"")</f>
        <v/>
      </c>
      <c r="R182" s="51">
        <f>IFERROR(IF(OR(ISBLANK(Q182),O182=0),"",Q182/O182),"")</f>
        <v/>
      </c>
      <c r="S182" s="51">
        <f>IFERROR(IF(ISBLANK(R182),S181,IF(ISNUMBER(S181),S181,0)+R182),"")</f>
        <v/>
      </c>
      <c r="T182" s="52">
        <f>IFERROR(IF(OR(ISBLANK(Q182),ISBLANK(L182)),"",Q182*L182*VLOOKUP(C182,設定!$B$9:$D$23,3,FALSE)),"")</f>
        <v/>
      </c>
      <c r="U182" s="46" t="n"/>
      <c r="V182" s="46" t="n"/>
    </row>
    <row r="183">
      <c r="A183" s="53">
        <f>IF(ISBLANK(B183),"",COUNTA($B$18:B183))</f>
        <v/>
      </c>
      <c r="B183" s="54" t="n"/>
      <c r="C183" s="55" t="n"/>
      <c r="D183" s="55" t="n"/>
      <c r="E183" s="53" t="n"/>
      <c r="F183" s="56" t="n"/>
      <c r="G183" s="56" t="n"/>
      <c r="H183" s="56" t="n"/>
      <c r="I183" s="56" t="n"/>
      <c r="J183" s="56" t="n"/>
      <c r="K183" s="56" t="n"/>
      <c r="L183" s="57" t="n"/>
      <c r="M183" s="56" t="n"/>
      <c r="N183" s="55" t="n"/>
      <c r="O183" s="58">
        <f>IFERROR(IF(OR(ISBLANK(G183),ISBLANK(I183)),"",ABS(G183-I183)/VLOOKUP(C183,設定!$B$9:$D$23,2,FALSE)),"")</f>
        <v/>
      </c>
      <c r="P183" s="57">
        <f>IFERROR(IF(OR(ISBLANK(F183),ISBLANK(H183),ISBLANK(J183)),"",ABS(J183-F183)/ABS(F183-H183)),"")</f>
        <v/>
      </c>
      <c r="Q183" s="59">
        <f>IFERROR(IF(OR(ISBLANK(M183),ISBLANK(D183),ISBLANK(G183)),"",IF(D183="Long",(M183-G183),(G183-M183))/VLOOKUP(C183,設定!$B$9:$D$23,2,FALSE)),"")</f>
        <v/>
      </c>
      <c r="R183" s="60">
        <f>IFERROR(IF(OR(ISBLANK(Q183),O183=0),"",Q183/O183),"")</f>
        <v/>
      </c>
      <c r="S183" s="60">
        <f>IFERROR(IF(ISBLANK(R183),S182,IF(ISNUMBER(S182),S182,0)+R183),"")</f>
        <v/>
      </c>
      <c r="T183" s="61">
        <f>IFERROR(IF(OR(ISBLANK(Q183),ISBLANK(L183)),"",Q183*L183*VLOOKUP(C183,設定!$B$9:$D$23,3,FALSE)),"")</f>
        <v/>
      </c>
      <c r="U183" s="55" t="n"/>
      <c r="V183" s="55" t="n"/>
    </row>
    <row r="184">
      <c r="A184" s="44">
        <f>IF(ISBLANK(B184),"",COUNTA($B$18:B184))</f>
        <v/>
      </c>
      <c r="B184" s="45" t="n"/>
      <c r="C184" s="46" t="n"/>
      <c r="D184" s="46" t="n"/>
      <c r="E184" s="44" t="n"/>
      <c r="F184" s="47" t="n"/>
      <c r="G184" s="47" t="n"/>
      <c r="H184" s="47" t="n"/>
      <c r="I184" s="47" t="n"/>
      <c r="J184" s="47" t="n"/>
      <c r="K184" s="47" t="n"/>
      <c r="L184" s="48" t="n"/>
      <c r="M184" s="47" t="n"/>
      <c r="N184" s="46" t="n"/>
      <c r="O184" s="49">
        <f>IFERROR(IF(OR(ISBLANK(G184),ISBLANK(I184)),"",ABS(G184-I184)/VLOOKUP(C184,設定!$B$9:$D$23,2,FALSE)),"")</f>
        <v/>
      </c>
      <c r="P184" s="48">
        <f>IFERROR(IF(OR(ISBLANK(F184),ISBLANK(H184),ISBLANK(J184)),"",ABS(J184-F184)/ABS(F184-H184)),"")</f>
        <v/>
      </c>
      <c r="Q184" s="50">
        <f>IFERROR(IF(OR(ISBLANK(M184),ISBLANK(D184),ISBLANK(G184)),"",IF(D184="Long",(M184-G184),(G184-M184))/VLOOKUP(C184,設定!$B$9:$D$23,2,FALSE)),"")</f>
        <v/>
      </c>
      <c r="R184" s="51">
        <f>IFERROR(IF(OR(ISBLANK(Q184),O184=0),"",Q184/O184),"")</f>
        <v/>
      </c>
      <c r="S184" s="51">
        <f>IFERROR(IF(ISBLANK(R184),S183,IF(ISNUMBER(S183),S183,0)+R184),"")</f>
        <v/>
      </c>
      <c r="T184" s="52">
        <f>IFERROR(IF(OR(ISBLANK(Q184),ISBLANK(L184)),"",Q184*L184*VLOOKUP(C184,設定!$B$9:$D$23,3,FALSE)),"")</f>
        <v/>
      </c>
      <c r="U184" s="46" t="n"/>
      <c r="V184" s="46" t="n"/>
    </row>
    <row r="185">
      <c r="A185" s="53">
        <f>IF(ISBLANK(B185),"",COUNTA($B$18:B185))</f>
        <v/>
      </c>
      <c r="B185" s="54" t="n"/>
      <c r="C185" s="55" t="n"/>
      <c r="D185" s="55" t="n"/>
      <c r="E185" s="53" t="n"/>
      <c r="F185" s="56" t="n"/>
      <c r="G185" s="56" t="n"/>
      <c r="H185" s="56" t="n"/>
      <c r="I185" s="56" t="n"/>
      <c r="J185" s="56" t="n"/>
      <c r="K185" s="56" t="n"/>
      <c r="L185" s="57" t="n"/>
      <c r="M185" s="56" t="n"/>
      <c r="N185" s="55" t="n"/>
      <c r="O185" s="58">
        <f>IFERROR(IF(OR(ISBLANK(G185),ISBLANK(I185)),"",ABS(G185-I185)/VLOOKUP(C185,設定!$B$9:$D$23,2,FALSE)),"")</f>
        <v/>
      </c>
      <c r="P185" s="57">
        <f>IFERROR(IF(OR(ISBLANK(F185),ISBLANK(H185),ISBLANK(J185)),"",ABS(J185-F185)/ABS(F185-H185)),"")</f>
        <v/>
      </c>
      <c r="Q185" s="59">
        <f>IFERROR(IF(OR(ISBLANK(M185),ISBLANK(D185),ISBLANK(G185)),"",IF(D185="Long",(M185-G185),(G185-M185))/VLOOKUP(C185,設定!$B$9:$D$23,2,FALSE)),"")</f>
        <v/>
      </c>
      <c r="R185" s="60">
        <f>IFERROR(IF(OR(ISBLANK(Q185),O185=0),"",Q185/O185),"")</f>
        <v/>
      </c>
      <c r="S185" s="60">
        <f>IFERROR(IF(ISBLANK(R185),S184,IF(ISNUMBER(S184),S184,0)+R185),"")</f>
        <v/>
      </c>
      <c r="T185" s="61">
        <f>IFERROR(IF(OR(ISBLANK(Q185),ISBLANK(L185)),"",Q185*L185*VLOOKUP(C185,設定!$B$9:$D$23,3,FALSE)),"")</f>
        <v/>
      </c>
      <c r="U185" s="55" t="n"/>
      <c r="V185" s="55" t="n"/>
    </row>
    <row r="186">
      <c r="A186" s="44">
        <f>IF(ISBLANK(B186),"",COUNTA($B$18:B186))</f>
        <v/>
      </c>
      <c r="B186" s="45" t="n"/>
      <c r="C186" s="46" t="n"/>
      <c r="D186" s="46" t="n"/>
      <c r="E186" s="44" t="n"/>
      <c r="F186" s="47" t="n"/>
      <c r="G186" s="47" t="n"/>
      <c r="H186" s="47" t="n"/>
      <c r="I186" s="47" t="n"/>
      <c r="J186" s="47" t="n"/>
      <c r="K186" s="47" t="n"/>
      <c r="L186" s="48" t="n"/>
      <c r="M186" s="47" t="n"/>
      <c r="N186" s="46" t="n"/>
      <c r="O186" s="49">
        <f>IFERROR(IF(OR(ISBLANK(G186),ISBLANK(I186)),"",ABS(G186-I186)/VLOOKUP(C186,設定!$B$9:$D$23,2,FALSE)),"")</f>
        <v/>
      </c>
      <c r="P186" s="48">
        <f>IFERROR(IF(OR(ISBLANK(F186),ISBLANK(H186),ISBLANK(J186)),"",ABS(J186-F186)/ABS(F186-H186)),"")</f>
        <v/>
      </c>
      <c r="Q186" s="50">
        <f>IFERROR(IF(OR(ISBLANK(M186),ISBLANK(D186),ISBLANK(G186)),"",IF(D186="Long",(M186-G186),(G186-M186))/VLOOKUP(C186,設定!$B$9:$D$23,2,FALSE)),"")</f>
        <v/>
      </c>
      <c r="R186" s="51">
        <f>IFERROR(IF(OR(ISBLANK(Q186),O186=0),"",Q186/O186),"")</f>
        <v/>
      </c>
      <c r="S186" s="51">
        <f>IFERROR(IF(ISBLANK(R186),S185,IF(ISNUMBER(S185),S185,0)+R186),"")</f>
        <v/>
      </c>
      <c r="T186" s="52">
        <f>IFERROR(IF(OR(ISBLANK(Q186),ISBLANK(L186)),"",Q186*L186*VLOOKUP(C186,設定!$B$9:$D$23,3,FALSE)),"")</f>
        <v/>
      </c>
      <c r="U186" s="46" t="n"/>
      <c r="V186" s="46" t="n"/>
    </row>
    <row r="187">
      <c r="A187" s="53">
        <f>IF(ISBLANK(B187),"",COUNTA($B$18:B187))</f>
        <v/>
      </c>
      <c r="B187" s="54" t="n"/>
      <c r="C187" s="55" t="n"/>
      <c r="D187" s="55" t="n"/>
      <c r="E187" s="53" t="n"/>
      <c r="F187" s="56" t="n"/>
      <c r="G187" s="56" t="n"/>
      <c r="H187" s="56" t="n"/>
      <c r="I187" s="56" t="n"/>
      <c r="J187" s="56" t="n"/>
      <c r="K187" s="56" t="n"/>
      <c r="L187" s="57" t="n"/>
      <c r="M187" s="56" t="n"/>
      <c r="N187" s="55" t="n"/>
      <c r="O187" s="58">
        <f>IFERROR(IF(OR(ISBLANK(G187),ISBLANK(I187)),"",ABS(G187-I187)/VLOOKUP(C187,設定!$B$9:$D$23,2,FALSE)),"")</f>
        <v/>
      </c>
      <c r="P187" s="57">
        <f>IFERROR(IF(OR(ISBLANK(F187),ISBLANK(H187),ISBLANK(J187)),"",ABS(J187-F187)/ABS(F187-H187)),"")</f>
        <v/>
      </c>
      <c r="Q187" s="59">
        <f>IFERROR(IF(OR(ISBLANK(M187),ISBLANK(D187),ISBLANK(G187)),"",IF(D187="Long",(M187-G187),(G187-M187))/VLOOKUP(C187,設定!$B$9:$D$23,2,FALSE)),"")</f>
        <v/>
      </c>
      <c r="R187" s="60">
        <f>IFERROR(IF(OR(ISBLANK(Q187),O187=0),"",Q187/O187),"")</f>
        <v/>
      </c>
      <c r="S187" s="60">
        <f>IFERROR(IF(ISBLANK(R187),S186,IF(ISNUMBER(S186),S186,0)+R187),"")</f>
        <v/>
      </c>
      <c r="T187" s="61">
        <f>IFERROR(IF(OR(ISBLANK(Q187),ISBLANK(L187)),"",Q187*L187*VLOOKUP(C187,設定!$B$9:$D$23,3,FALSE)),"")</f>
        <v/>
      </c>
      <c r="U187" s="55" t="n"/>
      <c r="V187" s="55" t="n"/>
    </row>
    <row r="188">
      <c r="A188" s="44">
        <f>IF(ISBLANK(B188),"",COUNTA($B$18:B188))</f>
        <v/>
      </c>
      <c r="B188" s="45" t="n"/>
      <c r="C188" s="46" t="n"/>
      <c r="D188" s="46" t="n"/>
      <c r="E188" s="44" t="n"/>
      <c r="F188" s="47" t="n"/>
      <c r="G188" s="47" t="n"/>
      <c r="H188" s="47" t="n"/>
      <c r="I188" s="47" t="n"/>
      <c r="J188" s="47" t="n"/>
      <c r="K188" s="47" t="n"/>
      <c r="L188" s="48" t="n"/>
      <c r="M188" s="47" t="n"/>
      <c r="N188" s="46" t="n"/>
      <c r="O188" s="49">
        <f>IFERROR(IF(OR(ISBLANK(G188),ISBLANK(I188)),"",ABS(G188-I188)/VLOOKUP(C188,設定!$B$9:$D$23,2,FALSE)),"")</f>
        <v/>
      </c>
      <c r="P188" s="48">
        <f>IFERROR(IF(OR(ISBLANK(F188),ISBLANK(H188),ISBLANK(J188)),"",ABS(J188-F188)/ABS(F188-H188)),"")</f>
        <v/>
      </c>
      <c r="Q188" s="50">
        <f>IFERROR(IF(OR(ISBLANK(M188),ISBLANK(D188),ISBLANK(G188)),"",IF(D188="Long",(M188-G188),(G188-M188))/VLOOKUP(C188,設定!$B$9:$D$23,2,FALSE)),"")</f>
        <v/>
      </c>
      <c r="R188" s="51">
        <f>IFERROR(IF(OR(ISBLANK(Q188),O188=0),"",Q188/O188),"")</f>
        <v/>
      </c>
      <c r="S188" s="51">
        <f>IFERROR(IF(ISBLANK(R188),S187,IF(ISNUMBER(S187),S187,0)+R188),"")</f>
        <v/>
      </c>
      <c r="T188" s="52">
        <f>IFERROR(IF(OR(ISBLANK(Q188),ISBLANK(L188)),"",Q188*L188*VLOOKUP(C188,設定!$B$9:$D$23,3,FALSE)),"")</f>
        <v/>
      </c>
      <c r="U188" s="46" t="n"/>
      <c r="V188" s="46" t="n"/>
    </row>
    <row r="189">
      <c r="A189" s="53">
        <f>IF(ISBLANK(B189),"",COUNTA($B$18:B189))</f>
        <v/>
      </c>
      <c r="B189" s="54" t="n"/>
      <c r="C189" s="55" t="n"/>
      <c r="D189" s="55" t="n"/>
      <c r="E189" s="53" t="n"/>
      <c r="F189" s="56" t="n"/>
      <c r="G189" s="56" t="n"/>
      <c r="H189" s="56" t="n"/>
      <c r="I189" s="56" t="n"/>
      <c r="J189" s="56" t="n"/>
      <c r="K189" s="56" t="n"/>
      <c r="L189" s="57" t="n"/>
      <c r="M189" s="56" t="n"/>
      <c r="N189" s="55" t="n"/>
      <c r="O189" s="58">
        <f>IFERROR(IF(OR(ISBLANK(G189),ISBLANK(I189)),"",ABS(G189-I189)/VLOOKUP(C189,設定!$B$9:$D$23,2,FALSE)),"")</f>
        <v/>
      </c>
      <c r="P189" s="57">
        <f>IFERROR(IF(OR(ISBLANK(F189),ISBLANK(H189),ISBLANK(J189)),"",ABS(J189-F189)/ABS(F189-H189)),"")</f>
        <v/>
      </c>
      <c r="Q189" s="59">
        <f>IFERROR(IF(OR(ISBLANK(M189),ISBLANK(D189),ISBLANK(G189)),"",IF(D189="Long",(M189-G189),(G189-M189))/VLOOKUP(C189,設定!$B$9:$D$23,2,FALSE)),"")</f>
        <v/>
      </c>
      <c r="R189" s="60">
        <f>IFERROR(IF(OR(ISBLANK(Q189),O189=0),"",Q189/O189),"")</f>
        <v/>
      </c>
      <c r="S189" s="60">
        <f>IFERROR(IF(ISBLANK(R189),S188,IF(ISNUMBER(S188),S188,0)+R189),"")</f>
        <v/>
      </c>
      <c r="T189" s="61">
        <f>IFERROR(IF(OR(ISBLANK(Q189),ISBLANK(L189)),"",Q189*L189*VLOOKUP(C189,設定!$B$9:$D$23,3,FALSE)),"")</f>
        <v/>
      </c>
      <c r="U189" s="55" t="n"/>
      <c r="V189" s="55" t="n"/>
    </row>
    <row r="190">
      <c r="A190" s="44">
        <f>IF(ISBLANK(B190),"",COUNTA($B$18:B190))</f>
        <v/>
      </c>
      <c r="B190" s="45" t="n"/>
      <c r="C190" s="46" t="n"/>
      <c r="D190" s="46" t="n"/>
      <c r="E190" s="44" t="n"/>
      <c r="F190" s="47" t="n"/>
      <c r="G190" s="47" t="n"/>
      <c r="H190" s="47" t="n"/>
      <c r="I190" s="47" t="n"/>
      <c r="J190" s="47" t="n"/>
      <c r="K190" s="47" t="n"/>
      <c r="L190" s="48" t="n"/>
      <c r="M190" s="47" t="n"/>
      <c r="N190" s="46" t="n"/>
      <c r="O190" s="49">
        <f>IFERROR(IF(OR(ISBLANK(G190),ISBLANK(I190)),"",ABS(G190-I190)/VLOOKUP(C190,設定!$B$9:$D$23,2,FALSE)),"")</f>
        <v/>
      </c>
      <c r="P190" s="48">
        <f>IFERROR(IF(OR(ISBLANK(F190),ISBLANK(H190),ISBLANK(J190)),"",ABS(J190-F190)/ABS(F190-H190)),"")</f>
        <v/>
      </c>
      <c r="Q190" s="50">
        <f>IFERROR(IF(OR(ISBLANK(M190),ISBLANK(D190),ISBLANK(G190)),"",IF(D190="Long",(M190-G190),(G190-M190))/VLOOKUP(C190,設定!$B$9:$D$23,2,FALSE)),"")</f>
        <v/>
      </c>
      <c r="R190" s="51">
        <f>IFERROR(IF(OR(ISBLANK(Q190),O190=0),"",Q190/O190),"")</f>
        <v/>
      </c>
      <c r="S190" s="51">
        <f>IFERROR(IF(ISBLANK(R190),S189,IF(ISNUMBER(S189),S189,0)+R190),"")</f>
        <v/>
      </c>
      <c r="T190" s="52">
        <f>IFERROR(IF(OR(ISBLANK(Q190),ISBLANK(L190)),"",Q190*L190*VLOOKUP(C190,設定!$B$9:$D$23,3,FALSE)),"")</f>
        <v/>
      </c>
      <c r="U190" s="46" t="n"/>
      <c r="V190" s="46" t="n"/>
    </row>
    <row r="191">
      <c r="A191" s="53">
        <f>IF(ISBLANK(B191),"",COUNTA($B$18:B191))</f>
        <v/>
      </c>
      <c r="B191" s="54" t="n"/>
      <c r="C191" s="55" t="n"/>
      <c r="D191" s="55" t="n"/>
      <c r="E191" s="53" t="n"/>
      <c r="F191" s="56" t="n"/>
      <c r="G191" s="56" t="n"/>
      <c r="H191" s="56" t="n"/>
      <c r="I191" s="56" t="n"/>
      <c r="J191" s="56" t="n"/>
      <c r="K191" s="56" t="n"/>
      <c r="L191" s="57" t="n"/>
      <c r="M191" s="56" t="n"/>
      <c r="N191" s="55" t="n"/>
      <c r="O191" s="58">
        <f>IFERROR(IF(OR(ISBLANK(G191),ISBLANK(I191)),"",ABS(G191-I191)/VLOOKUP(C191,設定!$B$9:$D$23,2,FALSE)),"")</f>
        <v/>
      </c>
      <c r="P191" s="57">
        <f>IFERROR(IF(OR(ISBLANK(F191),ISBLANK(H191),ISBLANK(J191)),"",ABS(J191-F191)/ABS(F191-H191)),"")</f>
        <v/>
      </c>
      <c r="Q191" s="59">
        <f>IFERROR(IF(OR(ISBLANK(M191),ISBLANK(D191),ISBLANK(G191)),"",IF(D191="Long",(M191-G191),(G191-M191))/VLOOKUP(C191,設定!$B$9:$D$23,2,FALSE)),"")</f>
        <v/>
      </c>
      <c r="R191" s="60">
        <f>IFERROR(IF(OR(ISBLANK(Q191),O191=0),"",Q191/O191),"")</f>
        <v/>
      </c>
      <c r="S191" s="60">
        <f>IFERROR(IF(ISBLANK(R191),S190,IF(ISNUMBER(S190),S190,0)+R191),"")</f>
        <v/>
      </c>
      <c r="T191" s="61">
        <f>IFERROR(IF(OR(ISBLANK(Q191),ISBLANK(L191)),"",Q191*L191*VLOOKUP(C191,設定!$B$9:$D$23,3,FALSE)),"")</f>
        <v/>
      </c>
      <c r="U191" s="55" t="n"/>
      <c r="V191" s="55" t="n"/>
    </row>
    <row r="192">
      <c r="A192" s="44">
        <f>IF(ISBLANK(B192),"",COUNTA($B$18:B192))</f>
        <v/>
      </c>
      <c r="B192" s="45" t="n"/>
      <c r="C192" s="46" t="n"/>
      <c r="D192" s="46" t="n"/>
      <c r="E192" s="44" t="n"/>
      <c r="F192" s="47" t="n"/>
      <c r="G192" s="47" t="n"/>
      <c r="H192" s="47" t="n"/>
      <c r="I192" s="47" t="n"/>
      <c r="J192" s="47" t="n"/>
      <c r="K192" s="47" t="n"/>
      <c r="L192" s="48" t="n"/>
      <c r="M192" s="47" t="n"/>
      <c r="N192" s="46" t="n"/>
      <c r="O192" s="49">
        <f>IFERROR(IF(OR(ISBLANK(G192),ISBLANK(I192)),"",ABS(G192-I192)/VLOOKUP(C192,設定!$B$9:$D$23,2,FALSE)),"")</f>
        <v/>
      </c>
      <c r="P192" s="48">
        <f>IFERROR(IF(OR(ISBLANK(F192),ISBLANK(H192),ISBLANK(J192)),"",ABS(J192-F192)/ABS(F192-H192)),"")</f>
        <v/>
      </c>
      <c r="Q192" s="50">
        <f>IFERROR(IF(OR(ISBLANK(M192),ISBLANK(D192),ISBLANK(G192)),"",IF(D192="Long",(M192-G192),(G192-M192))/VLOOKUP(C192,設定!$B$9:$D$23,2,FALSE)),"")</f>
        <v/>
      </c>
      <c r="R192" s="51">
        <f>IFERROR(IF(OR(ISBLANK(Q192),O192=0),"",Q192/O192),"")</f>
        <v/>
      </c>
      <c r="S192" s="51">
        <f>IFERROR(IF(ISBLANK(R192),S191,IF(ISNUMBER(S191),S191,0)+R192),"")</f>
        <v/>
      </c>
      <c r="T192" s="52">
        <f>IFERROR(IF(OR(ISBLANK(Q192),ISBLANK(L192)),"",Q192*L192*VLOOKUP(C192,設定!$B$9:$D$23,3,FALSE)),"")</f>
        <v/>
      </c>
      <c r="U192" s="46" t="n"/>
      <c r="V192" s="46" t="n"/>
    </row>
    <row r="193">
      <c r="A193" s="53">
        <f>IF(ISBLANK(B193),"",COUNTA($B$18:B193))</f>
        <v/>
      </c>
      <c r="B193" s="54" t="n"/>
      <c r="C193" s="55" t="n"/>
      <c r="D193" s="55" t="n"/>
      <c r="E193" s="53" t="n"/>
      <c r="F193" s="56" t="n"/>
      <c r="G193" s="56" t="n"/>
      <c r="H193" s="56" t="n"/>
      <c r="I193" s="56" t="n"/>
      <c r="J193" s="56" t="n"/>
      <c r="K193" s="56" t="n"/>
      <c r="L193" s="57" t="n"/>
      <c r="M193" s="56" t="n"/>
      <c r="N193" s="55" t="n"/>
      <c r="O193" s="58">
        <f>IFERROR(IF(OR(ISBLANK(G193),ISBLANK(I193)),"",ABS(G193-I193)/VLOOKUP(C193,設定!$B$9:$D$23,2,FALSE)),"")</f>
        <v/>
      </c>
      <c r="P193" s="57">
        <f>IFERROR(IF(OR(ISBLANK(F193),ISBLANK(H193),ISBLANK(J193)),"",ABS(J193-F193)/ABS(F193-H193)),"")</f>
        <v/>
      </c>
      <c r="Q193" s="59">
        <f>IFERROR(IF(OR(ISBLANK(M193),ISBLANK(D193),ISBLANK(G193)),"",IF(D193="Long",(M193-G193),(G193-M193))/VLOOKUP(C193,設定!$B$9:$D$23,2,FALSE)),"")</f>
        <v/>
      </c>
      <c r="R193" s="60">
        <f>IFERROR(IF(OR(ISBLANK(Q193),O193=0),"",Q193/O193),"")</f>
        <v/>
      </c>
      <c r="S193" s="60">
        <f>IFERROR(IF(ISBLANK(R193),S192,IF(ISNUMBER(S192),S192,0)+R193),"")</f>
        <v/>
      </c>
      <c r="T193" s="61">
        <f>IFERROR(IF(OR(ISBLANK(Q193),ISBLANK(L193)),"",Q193*L193*VLOOKUP(C193,設定!$B$9:$D$23,3,FALSE)),"")</f>
        <v/>
      </c>
      <c r="U193" s="55" t="n"/>
      <c r="V193" s="55" t="n"/>
    </row>
    <row r="194">
      <c r="A194" s="44">
        <f>IF(ISBLANK(B194),"",COUNTA($B$18:B194))</f>
        <v/>
      </c>
      <c r="B194" s="45" t="n"/>
      <c r="C194" s="46" t="n"/>
      <c r="D194" s="46" t="n"/>
      <c r="E194" s="44" t="n"/>
      <c r="F194" s="47" t="n"/>
      <c r="G194" s="47" t="n"/>
      <c r="H194" s="47" t="n"/>
      <c r="I194" s="47" t="n"/>
      <c r="J194" s="47" t="n"/>
      <c r="K194" s="47" t="n"/>
      <c r="L194" s="48" t="n"/>
      <c r="M194" s="47" t="n"/>
      <c r="N194" s="46" t="n"/>
      <c r="O194" s="49">
        <f>IFERROR(IF(OR(ISBLANK(G194),ISBLANK(I194)),"",ABS(G194-I194)/VLOOKUP(C194,設定!$B$9:$D$23,2,FALSE)),"")</f>
        <v/>
      </c>
      <c r="P194" s="48">
        <f>IFERROR(IF(OR(ISBLANK(F194),ISBLANK(H194),ISBLANK(J194)),"",ABS(J194-F194)/ABS(F194-H194)),"")</f>
        <v/>
      </c>
      <c r="Q194" s="50">
        <f>IFERROR(IF(OR(ISBLANK(M194),ISBLANK(D194),ISBLANK(G194)),"",IF(D194="Long",(M194-G194),(G194-M194))/VLOOKUP(C194,設定!$B$9:$D$23,2,FALSE)),"")</f>
        <v/>
      </c>
      <c r="R194" s="51">
        <f>IFERROR(IF(OR(ISBLANK(Q194),O194=0),"",Q194/O194),"")</f>
        <v/>
      </c>
      <c r="S194" s="51">
        <f>IFERROR(IF(ISBLANK(R194),S193,IF(ISNUMBER(S193),S193,0)+R194),"")</f>
        <v/>
      </c>
      <c r="T194" s="52">
        <f>IFERROR(IF(OR(ISBLANK(Q194),ISBLANK(L194)),"",Q194*L194*VLOOKUP(C194,設定!$B$9:$D$23,3,FALSE)),"")</f>
        <v/>
      </c>
      <c r="U194" s="46" t="n"/>
      <c r="V194" s="46" t="n"/>
    </row>
    <row r="195">
      <c r="A195" s="53">
        <f>IF(ISBLANK(B195),"",COUNTA($B$18:B195))</f>
        <v/>
      </c>
      <c r="B195" s="54" t="n"/>
      <c r="C195" s="55" t="n"/>
      <c r="D195" s="55" t="n"/>
      <c r="E195" s="53" t="n"/>
      <c r="F195" s="56" t="n"/>
      <c r="G195" s="56" t="n"/>
      <c r="H195" s="56" t="n"/>
      <c r="I195" s="56" t="n"/>
      <c r="J195" s="56" t="n"/>
      <c r="K195" s="56" t="n"/>
      <c r="L195" s="57" t="n"/>
      <c r="M195" s="56" t="n"/>
      <c r="N195" s="55" t="n"/>
      <c r="O195" s="58">
        <f>IFERROR(IF(OR(ISBLANK(G195),ISBLANK(I195)),"",ABS(G195-I195)/VLOOKUP(C195,設定!$B$9:$D$23,2,FALSE)),"")</f>
        <v/>
      </c>
      <c r="P195" s="57">
        <f>IFERROR(IF(OR(ISBLANK(F195),ISBLANK(H195),ISBLANK(J195)),"",ABS(J195-F195)/ABS(F195-H195)),"")</f>
        <v/>
      </c>
      <c r="Q195" s="59">
        <f>IFERROR(IF(OR(ISBLANK(M195),ISBLANK(D195),ISBLANK(G195)),"",IF(D195="Long",(M195-G195),(G195-M195))/VLOOKUP(C195,設定!$B$9:$D$23,2,FALSE)),"")</f>
        <v/>
      </c>
      <c r="R195" s="60">
        <f>IFERROR(IF(OR(ISBLANK(Q195),O195=0),"",Q195/O195),"")</f>
        <v/>
      </c>
      <c r="S195" s="60">
        <f>IFERROR(IF(ISBLANK(R195),S194,IF(ISNUMBER(S194),S194,0)+R195),"")</f>
        <v/>
      </c>
      <c r="T195" s="61">
        <f>IFERROR(IF(OR(ISBLANK(Q195),ISBLANK(L195)),"",Q195*L195*VLOOKUP(C195,設定!$B$9:$D$23,3,FALSE)),"")</f>
        <v/>
      </c>
      <c r="U195" s="55" t="n"/>
      <c r="V195" s="55" t="n"/>
    </row>
    <row r="196">
      <c r="A196" s="44">
        <f>IF(ISBLANK(B196),"",COUNTA($B$18:B196))</f>
        <v/>
      </c>
      <c r="B196" s="45" t="n"/>
      <c r="C196" s="46" t="n"/>
      <c r="D196" s="46" t="n"/>
      <c r="E196" s="44" t="n"/>
      <c r="F196" s="47" t="n"/>
      <c r="G196" s="47" t="n"/>
      <c r="H196" s="47" t="n"/>
      <c r="I196" s="47" t="n"/>
      <c r="J196" s="47" t="n"/>
      <c r="K196" s="47" t="n"/>
      <c r="L196" s="48" t="n"/>
      <c r="M196" s="47" t="n"/>
      <c r="N196" s="46" t="n"/>
      <c r="O196" s="49">
        <f>IFERROR(IF(OR(ISBLANK(G196),ISBLANK(I196)),"",ABS(G196-I196)/VLOOKUP(C196,設定!$B$9:$D$23,2,FALSE)),"")</f>
        <v/>
      </c>
      <c r="P196" s="48">
        <f>IFERROR(IF(OR(ISBLANK(F196),ISBLANK(H196),ISBLANK(J196)),"",ABS(J196-F196)/ABS(F196-H196)),"")</f>
        <v/>
      </c>
      <c r="Q196" s="50">
        <f>IFERROR(IF(OR(ISBLANK(M196),ISBLANK(D196),ISBLANK(G196)),"",IF(D196="Long",(M196-G196),(G196-M196))/VLOOKUP(C196,設定!$B$9:$D$23,2,FALSE)),"")</f>
        <v/>
      </c>
      <c r="R196" s="51">
        <f>IFERROR(IF(OR(ISBLANK(Q196),O196=0),"",Q196/O196),"")</f>
        <v/>
      </c>
      <c r="S196" s="51">
        <f>IFERROR(IF(ISBLANK(R196),S195,IF(ISNUMBER(S195),S195,0)+R196),"")</f>
        <v/>
      </c>
      <c r="T196" s="52">
        <f>IFERROR(IF(OR(ISBLANK(Q196),ISBLANK(L196)),"",Q196*L196*VLOOKUP(C196,設定!$B$9:$D$23,3,FALSE)),"")</f>
        <v/>
      </c>
      <c r="U196" s="46" t="n"/>
      <c r="V196" s="46" t="n"/>
    </row>
    <row r="197">
      <c r="A197" s="53">
        <f>IF(ISBLANK(B197),"",COUNTA($B$18:B197))</f>
        <v/>
      </c>
      <c r="B197" s="54" t="n"/>
      <c r="C197" s="55" t="n"/>
      <c r="D197" s="55" t="n"/>
      <c r="E197" s="53" t="n"/>
      <c r="F197" s="56" t="n"/>
      <c r="G197" s="56" t="n"/>
      <c r="H197" s="56" t="n"/>
      <c r="I197" s="56" t="n"/>
      <c r="J197" s="56" t="n"/>
      <c r="K197" s="56" t="n"/>
      <c r="L197" s="57" t="n"/>
      <c r="M197" s="56" t="n"/>
      <c r="N197" s="55" t="n"/>
      <c r="O197" s="58">
        <f>IFERROR(IF(OR(ISBLANK(G197),ISBLANK(I197)),"",ABS(G197-I197)/VLOOKUP(C197,設定!$B$9:$D$23,2,FALSE)),"")</f>
        <v/>
      </c>
      <c r="P197" s="57">
        <f>IFERROR(IF(OR(ISBLANK(F197),ISBLANK(H197),ISBLANK(J197)),"",ABS(J197-F197)/ABS(F197-H197)),"")</f>
        <v/>
      </c>
      <c r="Q197" s="59">
        <f>IFERROR(IF(OR(ISBLANK(M197),ISBLANK(D197),ISBLANK(G197)),"",IF(D197="Long",(M197-G197),(G197-M197))/VLOOKUP(C197,設定!$B$9:$D$23,2,FALSE)),"")</f>
        <v/>
      </c>
      <c r="R197" s="60">
        <f>IFERROR(IF(OR(ISBLANK(Q197),O197=0),"",Q197/O197),"")</f>
        <v/>
      </c>
      <c r="S197" s="60">
        <f>IFERROR(IF(ISBLANK(R197),S196,IF(ISNUMBER(S196),S196,0)+R197),"")</f>
        <v/>
      </c>
      <c r="T197" s="61">
        <f>IFERROR(IF(OR(ISBLANK(Q197),ISBLANK(L197)),"",Q197*L197*VLOOKUP(C197,設定!$B$9:$D$23,3,FALSE)),"")</f>
        <v/>
      </c>
      <c r="U197" s="55" t="n"/>
      <c r="V197" s="55" t="n"/>
    </row>
    <row r="198">
      <c r="A198" s="44">
        <f>IF(ISBLANK(B198),"",COUNTA($B$18:B198))</f>
        <v/>
      </c>
      <c r="B198" s="45" t="n"/>
      <c r="C198" s="46" t="n"/>
      <c r="D198" s="46" t="n"/>
      <c r="E198" s="44" t="n"/>
      <c r="F198" s="47" t="n"/>
      <c r="G198" s="47" t="n"/>
      <c r="H198" s="47" t="n"/>
      <c r="I198" s="47" t="n"/>
      <c r="J198" s="47" t="n"/>
      <c r="K198" s="47" t="n"/>
      <c r="L198" s="48" t="n"/>
      <c r="M198" s="47" t="n"/>
      <c r="N198" s="46" t="n"/>
      <c r="O198" s="49">
        <f>IFERROR(IF(OR(ISBLANK(G198),ISBLANK(I198)),"",ABS(G198-I198)/VLOOKUP(C198,設定!$B$9:$D$23,2,FALSE)),"")</f>
        <v/>
      </c>
      <c r="P198" s="48">
        <f>IFERROR(IF(OR(ISBLANK(F198),ISBLANK(H198),ISBLANK(J198)),"",ABS(J198-F198)/ABS(F198-H198)),"")</f>
        <v/>
      </c>
      <c r="Q198" s="50">
        <f>IFERROR(IF(OR(ISBLANK(M198),ISBLANK(D198),ISBLANK(G198)),"",IF(D198="Long",(M198-G198),(G198-M198))/VLOOKUP(C198,設定!$B$9:$D$23,2,FALSE)),"")</f>
        <v/>
      </c>
      <c r="R198" s="51">
        <f>IFERROR(IF(OR(ISBLANK(Q198),O198=0),"",Q198/O198),"")</f>
        <v/>
      </c>
      <c r="S198" s="51">
        <f>IFERROR(IF(ISBLANK(R198),S197,IF(ISNUMBER(S197),S197,0)+R198),"")</f>
        <v/>
      </c>
      <c r="T198" s="52">
        <f>IFERROR(IF(OR(ISBLANK(Q198),ISBLANK(L198)),"",Q198*L198*VLOOKUP(C198,設定!$B$9:$D$23,3,FALSE)),"")</f>
        <v/>
      </c>
      <c r="U198" s="46" t="n"/>
      <c r="V198" s="46" t="n"/>
    </row>
    <row r="199">
      <c r="A199" s="53">
        <f>IF(ISBLANK(B199),"",COUNTA($B$18:B199))</f>
        <v/>
      </c>
      <c r="B199" s="54" t="n"/>
      <c r="C199" s="55" t="n"/>
      <c r="D199" s="55" t="n"/>
      <c r="E199" s="53" t="n"/>
      <c r="F199" s="56" t="n"/>
      <c r="G199" s="56" t="n"/>
      <c r="H199" s="56" t="n"/>
      <c r="I199" s="56" t="n"/>
      <c r="J199" s="56" t="n"/>
      <c r="K199" s="56" t="n"/>
      <c r="L199" s="57" t="n"/>
      <c r="M199" s="56" t="n"/>
      <c r="N199" s="55" t="n"/>
      <c r="O199" s="58">
        <f>IFERROR(IF(OR(ISBLANK(G199),ISBLANK(I199)),"",ABS(G199-I199)/VLOOKUP(C199,設定!$B$9:$D$23,2,FALSE)),"")</f>
        <v/>
      </c>
      <c r="P199" s="57">
        <f>IFERROR(IF(OR(ISBLANK(F199),ISBLANK(H199),ISBLANK(J199)),"",ABS(J199-F199)/ABS(F199-H199)),"")</f>
        <v/>
      </c>
      <c r="Q199" s="59">
        <f>IFERROR(IF(OR(ISBLANK(M199),ISBLANK(D199),ISBLANK(G199)),"",IF(D199="Long",(M199-G199),(G199-M199))/VLOOKUP(C199,設定!$B$9:$D$23,2,FALSE)),"")</f>
        <v/>
      </c>
      <c r="R199" s="60">
        <f>IFERROR(IF(OR(ISBLANK(Q199),O199=0),"",Q199/O199),"")</f>
        <v/>
      </c>
      <c r="S199" s="60">
        <f>IFERROR(IF(ISBLANK(R199),S198,IF(ISNUMBER(S198),S198,0)+R199),"")</f>
        <v/>
      </c>
      <c r="T199" s="61">
        <f>IFERROR(IF(OR(ISBLANK(Q199),ISBLANK(L199)),"",Q199*L199*VLOOKUP(C199,設定!$B$9:$D$23,3,FALSE)),"")</f>
        <v/>
      </c>
      <c r="U199" s="55" t="n"/>
      <c r="V199" s="55" t="n"/>
    </row>
    <row r="200">
      <c r="A200" s="44">
        <f>IF(ISBLANK(B200),"",COUNTA($B$18:B200))</f>
        <v/>
      </c>
      <c r="B200" s="45" t="n"/>
      <c r="C200" s="46" t="n"/>
      <c r="D200" s="46" t="n"/>
      <c r="E200" s="44" t="n"/>
      <c r="F200" s="47" t="n"/>
      <c r="G200" s="47" t="n"/>
      <c r="H200" s="47" t="n"/>
      <c r="I200" s="47" t="n"/>
      <c r="J200" s="47" t="n"/>
      <c r="K200" s="47" t="n"/>
      <c r="L200" s="48" t="n"/>
      <c r="M200" s="47" t="n"/>
      <c r="N200" s="46" t="n"/>
      <c r="O200" s="49">
        <f>IFERROR(IF(OR(ISBLANK(G200),ISBLANK(I200)),"",ABS(G200-I200)/VLOOKUP(C200,設定!$B$9:$D$23,2,FALSE)),"")</f>
        <v/>
      </c>
      <c r="P200" s="48">
        <f>IFERROR(IF(OR(ISBLANK(F200),ISBLANK(H200),ISBLANK(J200)),"",ABS(J200-F200)/ABS(F200-H200)),"")</f>
        <v/>
      </c>
      <c r="Q200" s="50">
        <f>IFERROR(IF(OR(ISBLANK(M200),ISBLANK(D200),ISBLANK(G200)),"",IF(D200="Long",(M200-G200),(G200-M200))/VLOOKUP(C200,設定!$B$9:$D$23,2,FALSE)),"")</f>
        <v/>
      </c>
      <c r="R200" s="51">
        <f>IFERROR(IF(OR(ISBLANK(Q200),O200=0),"",Q200/O200),"")</f>
        <v/>
      </c>
      <c r="S200" s="51">
        <f>IFERROR(IF(ISBLANK(R200),S199,IF(ISNUMBER(S199),S199,0)+R200),"")</f>
        <v/>
      </c>
      <c r="T200" s="52">
        <f>IFERROR(IF(OR(ISBLANK(Q200),ISBLANK(L200)),"",Q200*L200*VLOOKUP(C200,設定!$B$9:$D$23,3,FALSE)),"")</f>
        <v/>
      </c>
      <c r="U200" s="46" t="n"/>
      <c r="V200" s="46" t="n"/>
    </row>
    <row r="201">
      <c r="A201" s="53">
        <f>IF(ISBLANK(B201),"",COUNTA($B$18:B201))</f>
        <v/>
      </c>
      <c r="B201" s="54" t="n"/>
      <c r="C201" s="55" t="n"/>
      <c r="D201" s="55" t="n"/>
      <c r="E201" s="53" t="n"/>
      <c r="F201" s="56" t="n"/>
      <c r="G201" s="56" t="n"/>
      <c r="H201" s="56" t="n"/>
      <c r="I201" s="56" t="n"/>
      <c r="J201" s="56" t="n"/>
      <c r="K201" s="56" t="n"/>
      <c r="L201" s="57" t="n"/>
      <c r="M201" s="56" t="n"/>
      <c r="N201" s="55" t="n"/>
      <c r="O201" s="58">
        <f>IFERROR(IF(OR(ISBLANK(G201),ISBLANK(I201)),"",ABS(G201-I201)/VLOOKUP(C201,設定!$B$9:$D$23,2,FALSE)),"")</f>
        <v/>
      </c>
      <c r="P201" s="57">
        <f>IFERROR(IF(OR(ISBLANK(F201),ISBLANK(H201),ISBLANK(J201)),"",ABS(J201-F201)/ABS(F201-H201)),"")</f>
        <v/>
      </c>
      <c r="Q201" s="59">
        <f>IFERROR(IF(OR(ISBLANK(M201),ISBLANK(D201),ISBLANK(G201)),"",IF(D201="Long",(M201-G201),(G201-M201))/VLOOKUP(C201,設定!$B$9:$D$23,2,FALSE)),"")</f>
        <v/>
      </c>
      <c r="R201" s="60">
        <f>IFERROR(IF(OR(ISBLANK(Q201),O201=0),"",Q201/O201),"")</f>
        <v/>
      </c>
      <c r="S201" s="60">
        <f>IFERROR(IF(ISBLANK(R201),S200,IF(ISNUMBER(S200),S200,0)+R201),"")</f>
        <v/>
      </c>
      <c r="T201" s="61">
        <f>IFERROR(IF(OR(ISBLANK(Q201),ISBLANK(L201)),"",Q201*L201*VLOOKUP(C201,設定!$B$9:$D$23,3,FALSE)),"")</f>
        <v/>
      </c>
      <c r="U201" s="55" t="n"/>
      <c r="V201" s="55" t="n"/>
    </row>
    <row r="202">
      <c r="A202" s="44">
        <f>IF(ISBLANK(B202),"",COUNTA($B$18:B202))</f>
        <v/>
      </c>
      <c r="B202" s="45" t="n"/>
      <c r="C202" s="46" t="n"/>
      <c r="D202" s="46" t="n"/>
      <c r="E202" s="44" t="n"/>
      <c r="F202" s="47" t="n"/>
      <c r="G202" s="47" t="n"/>
      <c r="H202" s="47" t="n"/>
      <c r="I202" s="47" t="n"/>
      <c r="J202" s="47" t="n"/>
      <c r="K202" s="47" t="n"/>
      <c r="L202" s="48" t="n"/>
      <c r="M202" s="47" t="n"/>
      <c r="N202" s="46" t="n"/>
      <c r="O202" s="49">
        <f>IFERROR(IF(OR(ISBLANK(G202),ISBLANK(I202)),"",ABS(G202-I202)/VLOOKUP(C202,設定!$B$9:$D$23,2,FALSE)),"")</f>
        <v/>
      </c>
      <c r="P202" s="48">
        <f>IFERROR(IF(OR(ISBLANK(F202),ISBLANK(H202),ISBLANK(J202)),"",ABS(J202-F202)/ABS(F202-H202)),"")</f>
        <v/>
      </c>
      <c r="Q202" s="50">
        <f>IFERROR(IF(OR(ISBLANK(M202),ISBLANK(D202),ISBLANK(G202)),"",IF(D202="Long",(M202-G202),(G202-M202))/VLOOKUP(C202,設定!$B$9:$D$23,2,FALSE)),"")</f>
        <v/>
      </c>
      <c r="R202" s="51">
        <f>IFERROR(IF(OR(ISBLANK(Q202),O202=0),"",Q202/O202),"")</f>
        <v/>
      </c>
      <c r="S202" s="51">
        <f>IFERROR(IF(ISBLANK(R202),S201,IF(ISNUMBER(S201),S201,0)+R202),"")</f>
        <v/>
      </c>
      <c r="T202" s="52">
        <f>IFERROR(IF(OR(ISBLANK(Q202),ISBLANK(L202)),"",Q202*L202*VLOOKUP(C202,設定!$B$9:$D$23,3,FALSE)),"")</f>
        <v/>
      </c>
      <c r="U202" s="46" t="n"/>
      <c r="V202" s="46" t="n"/>
    </row>
    <row r="203">
      <c r="A203" s="53">
        <f>IF(ISBLANK(B203),"",COUNTA($B$18:B203))</f>
        <v/>
      </c>
      <c r="B203" s="54" t="n"/>
      <c r="C203" s="55" t="n"/>
      <c r="D203" s="55" t="n"/>
      <c r="E203" s="53" t="n"/>
      <c r="F203" s="56" t="n"/>
      <c r="G203" s="56" t="n"/>
      <c r="H203" s="56" t="n"/>
      <c r="I203" s="56" t="n"/>
      <c r="J203" s="56" t="n"/>
      <c r="K203" s="56" t="n"/>
      <c r="L203" s="57" t="n"/>
      <c r="M203" s="56" t="n"/>
      <c r="N203" s="55" t="n"/>
      <c r="O203" s="58">
        <f>IFERROR(IF(OR(ISBLANK(G203),ISBLANK(I203)),"",ABS(G203-I203)/VLOOKUP(C203,設定!$B$9:$D$23,2,FALSE)),"")</f>
        <v/>
      </c>
      <c r="P203" s="57">
        <f>IFERROR(IF(OR(ISBLANK(F203),ISBLANK(H203),ISBLANK(J203)),"",ABS(J203-F203)/ABS(F203-H203)),"")</f>
        <v/>
      </c>
      <c r="Q203" s="59">
        <f>IFERROR(IF(OR(ISBLANK(M203),ISBLANK(D203),ISBLANK(G203)),"",IF(D203="Long",(M203-G203),(G203-M203))/VLOOKUP(C203,設定!$B$9:$D$23,2,FALSE)),"")</f>
        <v/>
      </c>
      <c r="R203" s="60">
        <f>IFERROR(IF(OR(ISBLANK(Q203),O203=0),"",Q203/O203),"")</f>
        <v/>
      </c>
      <c r="S203" s="60">
        <f>IFERROR(IF(ISBLANK(R203),S202,IF(ISNUMBER(S202),S202,0)+R203),"")</f>
        <v/>
      </c>
      <c r="T203" s="61">
        <f>IFERROR(IF(OR(ISBLANK(Q203),ISBLANK(L203)),"",Q203*L203*VLOOKUP(C203,設定!$B$9:$D$23,3,FALSE)),"")</f>
        <v/>
      </c>
      <c r="U203" s="55" t="n"/>
      <c r="V203" s="55" t="n"/>
    </row>
    <row r="204">
      <c r="A204" s="44">
        <f>IF(ISBLANK(B204),"",COUNTA($B$18:B204))</f>
        <v/>
      </c>
      <c r="B204" s="45" t="n"/>
      <c r="C204" s="46" t="n"/>
      <c r="D204" s="46" t="n"/>
      <c r="E204" s="44" t="n"/>
      <c r="F204" s="47" t="n"/>
      <c r="G204" s="47" t="n"/>
      <c r="H204" s="47" t="n"/>
      <c r="I204" s="47" t="n"/>
      <c r="J204" s="47" t="n"/>
      <c r="K204" s="47" t="n"/>
      <c r="L204" s="48" t="n"/>
      <c r="M204" s="47" t="n"/>
      <c r="N204" s="46" t="n"/>
      <c r="O204" s="49">
        <f>IFERROR(IF(OR(ISBLANK(G204),ISBLANK(I204)),"",ABS(G204-I204)/VLOOKUP(C204,設定!$B$9:$D$23,2,FALSE)),"")</f>
        <v/>
      </c>
      <c r="P204" s="48">
        <f>IFERROR(IF(OR(ISBLANK(F204),ISBLANK(H204),ISBLANK(J204)),"",ABS(J204-F204)/ABS(F204-H204)),"")</f>
        <v/>
      </c>
      <c r="Q204" s="50">
        <f>IFERROR(IF(OR(ISBLANK(M204),ISBLANK(D204),ISBLANK(G204)),"",IF(D204="Long",(M204-G204),(G204-M204))/VLOOKUP(C204,設定!$B$9:$D$23,2,FALSE)),"")</f>
        <v/>
      </c>
      <c r="R204" s="51">
        <f>IFERROR(IF(OR(ISBLANK(Q204),O204=0),"",Q204/O204),"")</f>
        <v/>
      </c>
      <c r="S204" s="51">
        <f>IFERROR(IF(ISBLANK(R204),S203,IF(ISNUMBER(S203),S203,0)+R204),"")</f>
        <v/>
      </c>
      <c r="T204" s="52">
        <f>IFERROR(IF(OR(ISBLANK(Q204),ISBLANK(L204)),"",Q204*L204*VLOOKUP(C204,設定!$B$9:$D$23,3,FALSE)),"")</f>
        <v/>
      </c>
      <c r="U204" s="46" t="n"/>
      <c r="V204" s="46" t="n"/>
    </row>
    <row r="205">
      <c r="A205" s="53">
        <f>IF(ISBLANK(B205),"",COUNTA($B$18:B205))</f>
        <v/>
      </c>
      <c r="B205" s="54" t="n"/>
      <c r="C205" s="55" t="n"/>
      <c r="D205" s="55" t="n"/>
      <c r="E205" s="53" t="n"/>
      <c r="F205" s="56" t="n"/>
      <c r="G205" s="56" t="n"/>
      <c r="H205" s="56" t="n"/>
      <c r="I205" s="56" t="n"/>
      <c r="J205" s="56" t="n"/>
      <c r="K205" s="56" t="n"/>
      <c r="L205" s="57" t="n"/>
      <c r="M205" s="56" t="n"/>
      <c r="N205" s="55" t="n"/>
      <c r="O205" s="58">
        <f>IFERROR(IF(OR(ISBLANK(G205),ISBLANK(I205)),"",ABS(G205-I205)/VLOOKUP(C205,設定!$B$9:$D$23,2,FALSE)),"")</f>
        <v/>
      </c>
      <c r="P205" s="57">
        <f>IFERROR(IF(OR(ISBLANK(F205),ISBLANK(H205),ISBLANK(J205)),"",ABS(J205-F205)/ABS(F205-H205)),"")</f>
        <v/>
      </c>
      <c r="Q205" s="59">
        <f>IFERROR(IF(OR(ISBLANK(M205),ISBLANK(D205),ISBLANK(G205)),"",IF(D205="Long",(M205-G205),(G205-M205))/VLOOKUP(C205,設定!$B$9:$D$23,2,FALSE)),"")</f>
        <v/>
      </c>
      <c r="R205" s="60">
        <f>IFERROR(IF(OR(ISBLANK(Q205),O205=0),"",Q205/O205),"")</f>
        <v/>
      </c>
      <c r="S205" s="60">
        <f>IFERROR(IF(ISBLANK(R205),S204,IF(ISNUMBER(S204),S204,0)+R205),"")</f>
        <v/>
      </c>
      <c r="T205" s="61">
        <f>IFERROR(IF(OR(ISBLANK(Q205),ISBLANK(L205)),"",Q205*L205*VLOOKUP(C205,設定!$B$9:$D$23,3,FALSE)),"")</f>
        <v/>
      </c>
      <c r="U205" s="55" t="n"/>
      <c r="V205" s="55" t="n"/>
    </row>
    <row r="206">
      <c r="A206" s="44">
        <f>IF(ISBLANK(B206),"",COUNTA($B$18:B206))</f>
        <v/>
      </c>
      <c r="B206" s="45" t="n"/>
      <c r="C206" s="46" t="n"/>
      <c r="D206" s="46" t="n"/>
      <c r="E206" s="44" t="n"/>
      <c r="F206" s="47" t="n"/>
      <c r="G206" s="47" t="n"/>
      <c r="H206" s="47" t="n"/>
      <c r="I206" s="47" t="n"/>
      <c r="J206" s="47" t="n"/>
      <c r="K206" s="47" t="n"/>
      <c r="L206" s="48" t="n"/>
      <c r="M206" s="47" t="n"/>
      <c r="N206" s="46" t="n"/>
      <c r="O206" s="49">
        <f>IFERROR(IF(OR(ISBLANK(G206),ISBLANK(I206)),"",ABS(G206-I206)/VLOOKUP(C206,設定!$B$9:$D$23,2,FALSE)),"")</f>
        <v/>
      </c>
      <c r="P206" s="48">
        <f>IFERROR(IF(OR(ISBLANK(F206),ISBLANK(H206),ISBLANK(J206)),"",ABS(J206-F206)/ABS(F206-H206)),"")</f>
        <v/>
      </c>
      <c r="Q206" s="50">
        <f>IFERROR(IF(OR(ISBLANK(M206),ISBLANK(D206),ISBLANK(G206)),"",IF(D206="Long",(M206-G206),(G206-M206))/VLOOKUP(C206,設定!$B$9:$D$23,2,FALSE)),"")</f>
        <v/>
      </c>
      <c r="R206" s="51">
        <f>IFERROR(IF(OR(ISBLANK(Q206),O206=0),"",Q206/O206),"")</f>
        <v/>
      </c>
      <c r="S206" s="51">
        <f>IFERROR(IF(ISBLANK(R206),S205,IF(ISNUMBER(S205),S205,0)+R206),"")</f>
        <v/>
      </c>
      <c r="T206" s="52">
        <f>IFERROR(IF(OR(ISBLANK(Q206),ISBLANK(L206)),"",Q206*L206*VLOOKUP(C206,設定!$B$9:$D$23,3,FALSE)),"")</f>
        <v/>
      </c>
      <c r="U206" s="46" t="n"/>
      <c r="V206" s="46" t="n"/>
    </row>
    <row r="207">
      <c r="A207" s="53">
        <f>IF(ISBLANK(B207),"",COUNTA($B$18:B207))</f>
        <v/>
      </c>
      <c r="B207" s="54" t="n"/>
      <c r="C207" s="55" t="n"/>
      <c r="D207" s="55" t="n"/>
      <c r="E207" s="53" t="n"/>
      <c r="F207" s="56" t="n"/>
      <c r="G207" s="56" t="n"/>
      <c r="H207" s="56" t="n"/>
      <c r="I207" s="56" t="n"/>
      <c r="J207" s="56" t="n"/>
      <c r="K207" s="56" t="n"/>
      <c r="L207" s="57" t="n"/>
      <c r="M207" s="56" t="n"/>
      <c r="N207" s="55" t="n"/>
      <c r="O207" s="58">
        <f>IFERROR(IF(OR(ISBLANK(G207),ISBLANK(I207)),"",ABS(G207-I207)/VLOOKUP(C207,設定!$B$9:$D$23,2,FALSE)),"")</f>
        <v/>
      </c>
      <c r="P207" s="57">
        <f>IFERROR(IF(OR(ISBLANK(F207),ISBLANK(H207),ISBLANK(J207)),"",ABS(J207-F207)/ABS(F207-H207)),"")</f>
        <v/>
      </c>
      <c r="Q207" s="59">
        <f>IFERROR(IF(OR(ISBLANK(M207),ISBLANK(D207),ISBLANK(G207)),"",IF(D207="Long",(M207-G207),(G207-M207))/VLOOKUP(C207,設定!$B$9:$D$23,2,FALSE)),"")</f>
        <v/>
      </c>
      <c r="R207" s="60">
        <f>IFERROR(IF(OR(ISBLANK(Q207),O207=0),"",Q207/O207),"")</f>
        <v/>
      </c>
      <c r="S207" s="60">
        <f>IFERROR(IF(ISBLANK(R207),S206,IF(ISNUMBER(S206),S206,0)+R207),"")</f>
        <v/>
      </c>
      <c r="T207" s="61">
        <f>IFERROR(IF(OR(ISBLANK(Q207),ISBLANK(L207)),"",Q207*L207*VLOOKUP(C207,設定!$B$9:$D$23,3,FALSE)),"")</f>
        <v/>
      </c>
      <c r="U207" s="55" t="n"/>
      <c r="V207" s="55" t="n"/>
    </row>
    <row r="208">
      <c r="A208" s="44">
        <f>IF(ISBLANK(B208),"",COUNTA($B$18:B208))</f>
        <v/>
      </c>
      <c r="B208" s="45" t="n"/>
      <c r="C208" s="46" t="n"/>
      <c r="D208" s="46" t="n"/>
      <c r="E208" s="44" t="n"/>
      <c r="F208" s="47" t="n"/>
      <c r="G208" s="47" t="n"/>
      <c r="H208" s="47" t="n"/>
      <c r="I208" s="47" t="n"/>
      <c r="J208" s="47" t="n"/>
      <c r="K208" s="47" t="n"/>
      <c r="L208" s="48" t="n"/>
      <c r="M208" s="47" t="n"/>
      <c r="N208" s="46" t="n"/>
      <c r="O208" s="49">
        <f>IFERROR(IF(OR(ISBLANK(G208),ISBLANK(I208)),"",ABS(G208-I208)/VLOOKUP(C208,設定!$B$9:$D$23,2,FALSE)),"")</f>
        <v/>
      </c>
      <c r="P208" s="48">
        <f>IFERROR(IF(OR(ISBLANK(F208),ISBLANK(H208),ISBLANK(J208)),"",ABS(J208-F208)/ABS(F208-H208)),"")</f>
        <v/>
      </c>
      <c r="Q208" s="50">
        <f>IFERROR(IF(OR(ISBLANK(M208),ISBLANK(D208),ISBLANK(G208)),"",IF(D208="Long",(M208-G208),(G208-M208))/VLOOKUP(C208,設定!$B$9:$D$23,2,FALSE)),"")</f>
        <v/>
      </c>
      <c r="R208" s="51">
        <f>IFERROR(IF(OR(ISBLANK(Q208),O208=0),"",Q208/O208),"")</f>
        <v/>
      </c>
      <c r="S208" s="51">
        <f>IFERROR(IF(ISBLANK(R208),S207,IF(ISNUMBER(S207),S207,0)+R208),"")</f>
        <v/>
      </c>
      <c r="T208" s="52">
        <f>IFERROR(IF(OR(ISBLANK(Q208),ISBLANK(L208)),"",Q208*L208*VLOOKUP(C208,設定!$B$9:$D$23,3,FALSE)),"")</f>
        <v/>
      </c>
      <c r="U208" s="46" t="n"/>
      <c r="V208" s="46" t="n"/>
    </row>
    <row r="209">
      <c r="A209" s="53">
        <f>IF(ISBLANK(B209),"",COUNTA($B$18:B209))</f>
        <v/>
      </c>
      <c r="B209" s="54" t="n"/>
      <c r="C209" s="55" t="n"/>
      <c r="D209" s="55" t="n"/>
      <c r="E209" s="53" t="n"/>
      <c r="F209" s="56" t="n"/>
      <c r="G209" s="56" t="n"/>
      <c r="H209" s="56" t="n"/>
      <c r="I209" s="56" t="n"/>
      <c r="J209" s="56" t="n"/>
      <c r="K209" s="56" t="n"/>
      <c r="L209" s="57" t="n"/>
      <c r="M209" s="56" t="n"/>
      <c r="N209" s="55" t="n"/>
      <c r="O209" s="58">
        <f>IFERROR(IF(OR(ISBLANK(G209),ISBLANK(I209)),"",ABS(G209-I209)/VLOOKUP(C209,設定!$B$9:$D$23,2,FALSE)),"")</f>
        <v/>
      </c>
      <c r="P209" s="57">
        <f>IFERROR(IF(OR(ISBLANK(F209),ISBLANK(H209),ISBLANK(J209)),"",ABS(J209-F209)/ABS(F209-H209)),"")</f>
        <v/>
      </c>
      <c r="Q209" s="59">
        <f>IFERROR(IF(OR(ISBLANK(M209),ISBLANK(D209),ISBLANK(G209)),"",IF(D209="Long",(M209-G209),(G209-M209))/VLOOKUP(C209,設定!$B$9:$D$23,2,FALSE)),"")</f>
        <v/>
      </c>
      <c r="R209" s="60">
        <f>IFERROR(IF(OR(ISBLANK(Q209),O209=0),"",Q209/O209),"")</f>
        <v/>
      </c>
      <c r="S209" s="60">
        <f>IFERROR(IF(ISBLANK(R209),S208,IF(ISNUMBER(S208),S208,0)+R209),"")</f>
        <v/>
      </c>
      <c r="T209" s="61">
        <f>IFERROR(IF(OR(ISBLANK(Q209),ISBLANK(L209)),"",Q209*L209*VLOOKUP(C209,設定!$B$9:$D$23,3,FALSE)),"")</f>
        <v/>
      </c>
      <c r="U209" s="55" t="n"/>
      <c r="V209" s="55" t="n"/>
    </row>
    <row r="210">
      <c r="A210" s="44">
        <f>IF(ISBLANK(B210),"",COUNTA($B$18:B210))</f>
        <v/>
      </c>
      <c r="B210" s="45" t="n"/>
      <c r="C210" s="46" t="n"/>
      <c r="D210" s="46" t="n"/>
      <c r="E210" s="44" t="n"/>
      <c r="F210" s="47" t="n"/>
      <c r="G210" s="47" t="n"/>
      <c r="H210" s="47" t="n"/>
      <c r="I210" s="47" t="n"/>
      <c r="J210" s="47" t="n"/>
      <c r="K210" s="47" t="n"/>
      <c r="L210" s="48" t="n"/>
      <c r="M210" s="47" t="n"/>
      <c r="N210" s="46" t="n"/>
      <c r="O210" s="49">
        <f>IFERROR(IF(OR(ISBLANK(G210),ISBLANK(I210)),"",ABS(G210-I210)/VLOOKUP(C210,設定!$B$9:$D$23,2,FALSE)),"")</f>
        <v/>
      </c>
      <c r="P210" s="48">
        <f>IFERROR(IF(OR(ISBLANK(F210),ISBLANK(H210),ISBLANK(J210)),"",ABS(J210-F210)/ABS(F210-H210)),"")</f>
        <v/>
      </c>
      <c r="Q210" s="50">
        <f>IFERROR(IF(OR(ISBLANK(M210),ISBLANK(D210),ISBLANK(G210)),"",IF(D210="Long",(M210-G210),(G210-M210))/VLOOKUP(C210,設定!$B$9:$D$23,2,FALSE)),"")</f>
        <v/>
      </c>
      <c r="R210" s="51">
        <f>IFERROR(IF(OR(ISBLANK(Q210),O210=0),"",Q210/O210),"")</f>
        <v/>
      </c>
      <c r="S210" s="51">
        <f>IFERROR(IF(ISBLANK(R210),S209,IF(ISNUMBER(S209),S209,0)+R210),"")</f>
        <v/>
      </c>
      <c r="T210" s="52">
        <f>IFERROR(IF(OR(ISBLANK(Q210),ISBLANK(L210)),"",Q210*L210*VLOOKUP(C210,設定!$B$9:$D$23,3,FALSE)),"")</f>
        <v/>
      </c>
      <c r="U210" s="46" t="n"/>
      <c r="V210" s="46" t="n"/>
    </row>
    <row r="211">
      <c r="A211" s="53">
        <f>IF(ISBLANK(B211),"",COUNTA($B$18:B211))</f>
        <v/>
      </c>
      <c r="B211" s="54" t="n"/>
      <c r="C211" s="55" t="n"/>
      <c r="D211" s="55" t="n"/>
      <c r="E211" s="53" t="n"/>
      <c r="F211" s="56" t="n"/>
      <c r="G211" s="56" t="n"/>
      <c r="H211" s="56" t="n"/>
      <c r="I211" s="56" t="n"/>
      <c r="J211" s="56" t="n"/>
      <c r="K211" s="56" t="n"/>
      <c r="L211" s="57" t="n"/>
      <c r="M211" s="56" t="n"/>
      <c r="N211" s="55" t="n"/>
      <c r="O211" s="58">
        <f>IFERROR(IF(OR(ISBLANK(G211),ISBLANK(I211)),"",ABS(G211-I211)/VLOOKUP(C211,設定!$B$9:$D$23,2,FALSE)),"")</f>
        <v/>
      </c>
      <c r="P211" s="57">
        <f>IFERROR(IF(OR(ISBLANK(F211),ISBLANK(H211),ISBLANK(J211)),"",ABS(J211-F211)/ABS(F211-H211)),"")</f>
        <v/>
      </c>
      <c r="Q211" s="59">
        <f>IFERROR(IF(OR(ISBLANK(M211),ISBLANK(D211),ISBLANK(G211)),"",IF(D211="Long",(M211-G211),(G211-M211))/VLOOKUP(C211,設定!$B$9:$D$23,2,FALSE)),"")</f>
        <v/>
      </c>
      <c r="R211" s="60">
        <f>IFERROR(IF(OR(ISBLANK(Q211),O211=0),"",Q211/O211),"")</f>
        <v/>
      </c>
      <c r="S211" s="60">
        <f>IFERROR(IF(ISBLANK(R211),S210,IF(ISNUMBER(S210),S210,0)+R211),"")</f>
        <v/>
      </c>
      <c r="T211" s="61">
        <f>IFERROR(IF(OR(ISBLANK(Q211),ISBLANK(L211)),"",Q211*L211*VLOOKUP(C211,設定!$B$9:$D$23,3,FALSE)),"")</f>
        <v/>
      </c>
      <c r="U211" s="55" t="n"/>
      <c r="V211" s="55" t="n"/>
    </row>
    <row r="212">
      <c r="A212" s="44">
        <f>IF(ISBLANK(B212),"",COUNTA($B$18:B212))</f>
        <v/>
      </c>
      <c r="B212" s="45" t="n"/>
      <c r="C212" s="46" t="n"/>
      <c r="D212" s="46" t="n"/>
      <c r="E212" s="44" t="n"/>
      <c r="F212" s="47" t="n"/>
      <c r="G212" s="47" t="n"/>
      <c r="H212" s="47" t="n"/>
      <c r="I212" s="47" t="n"/>
      <c r="J212" s="47" t="n"/>
      <c r="K212" s="47" t="n"/>
      <c r="L212" s="48" t="n"/>
      <c r="M212" s="47" t="n"/>
      <c r="N212" s="46" t="n"/>
      <c r="O212" s="49">
        <f>IFERROR(IF(OR(ISBLANK(G212),ISBLANK(I212)),"",ABS(G212-I212)/VLOOKUP(C212,設定!$B$9:$D$23,2,FALSE)),"")</f>
        <v/>
      </c>
      <c r="P212" s="48">
        <f>IFERROR(IF(OR(ISBLANK(F212),ISBLANK(H212),ISBLANK(J212)),"",ABS(J212-F212)/ABS(F212-H212)),"")</f>
        <v/>
      </c>
      <c r="Q212" s="50">
        <f>IFERROR(IF(OR(ISBLANK(M212),ISBLANK(D212),ISBLANK(G212)),"",IF(D212="Long",(M212-G212),(G212-M212))/VLOOKUP(C212,設定!$B$9:$D$23,2,FALSE)),"")</f>
        <v/>
      </c>
      <c r="R212" s="51">
        <f>IFERROR(IF(OR(ISBLANK(Q212),O212=0),"",Q212/O212),"")</f>
        <v/>
      </c>
      <c r="S212" s="51">
        <f>IFERROR(IF(ISBLANK(R212),S211,IF(ISNUMBER(S211),S211,0)+R212),"")</f>
        <v/>
      </c>
      <c r="T212" s="52">
        <f>IFERROR(IF(OR(ISBLANK(Q212),ISBLANK(L212)),"",Q212*L212*VLOOKUP(C212,設定!$B$9:$D$23,3,FALSE)),"")</f>
        <v/>
      </c>
      <c r="U212" s="46" t="n"/>
      <c r="V212" s="46" t="n"/>
    </row>
    <row r="213">
      <c r="A213" s="53">
        <f>IF(ISBLANK(B213),"",COUNTA($B$18:B213))</f>
        <v/>
      </c>
      <c r="B213" s="54" t="n"/>
      <c r="C213" s="55" t="n"/>
      <c r="D213" s="55" t="n"/>
      <c r="E213" s="53" t="n"/>
      <c r="F213" s="56" t="n"/>
      <c r="G213" s="56" t="n"/>
      <c r="H213" s="56" t="n"/>
      <c r="I213" s="56" t="n"/>
      <c r="J213" s="56" t="n"/>
      <c r="K213" s="56" t="n"/>
      <c r="L213" s="57" t="n"/>
      <c r="M213" s="56" t="n"/>
      <c r="N213" s="55" t="n"/>
      <c r="O213" s="58">
        <f>IFERROR(IF(OR(ISBLANK(G213),ISBLANK(I213)),"",ABS(G213-I213)/VLOOKUP(C213,設定!$B$9:$D$23,2,FALSE)),"")</f>
        <v/>
      </c>
      <c r="P213" s="57">
        <f>IFERROR(IF(OR(ISBLANK(F213),ISBLANK(H213),ISBLANK(J213)),"",ABS(J213-F213)/ABS(F213-H213)),"")</f>
        <v/>
      </c>
      <c r="Q213" s="59">
        <f>IFERROR(IF(OR(ISBLANK(M213),ISBLANK(D213),ISBLANK(G213)),"",IF(D213="Long",(M213-G213),(G213-M213))/VLOOKUP(C213,設定!$B$9:$D$23,2,FALSE)),"")</f>
        <v/>
      </c>
      <c r="R213" s="60">
        <f>IFERROR(IF(OR(ISBLANK(Q213),O213=0),"",Q213/O213),"")</f>
        <v/>
      </c>
      <c r="S213" s="60">
        <f>IFERROR(IF(ISBLANK(R213),S212,IF(ISNUMBER(S212),S212,0)+R213),"")</f>
        <v/>
      </c>
      <c r="T213" s="61">
        <f>IFERROR(IF(OR(ISBLANK(Q213),ISBLANK(L213)),"",Q213*L213*VLOOKUP(C213,設定!$B$9:$D$23,3,FALSE)),"")</f>
        <v/>
      </c>
      <c r="U213" s="55" t="n"/>
      <c r="V213" s="55" t="n"/>
    </row>
    <row r="214">
      <c r="A214" s="44">
        <f>IF(ISBLANK(B214),"",COUNTA($B$18:B214))</f>
        <v/>
      </c>
      <c r="B214" s="45" t="n"/>
      <c r="C214" s="46" t="n"/>
      <c r="D214" s="46" t="n"/>
      <c r="E214" s="44" t="n"/>
      <c r="F214" s="47" t="n"/>
      <c r="G214" s="47" t="n"/>
      <c r="H214" s="47" t="n"/>
      <c r="I214" s="47" t="n"/>
      <c r="J214" s="47" t="n"/>
      <c r="K214" s="47" t="n"/>
      <c r="L214" s="48" t="n"/>
      <c r="M214" s="47" t="n"/>
      <c r="N214" s="46" t="n"/>
      <c r="O214" s="49">
        <f>IFERROR(IF(OR(ISBLANK(G214),ISBLANK(I214)),"",ABS(G214-I214)/VLOOKUP(C214,設定!$B$9:$D$23,2,FALSE)),"")</f>
        <v/>
      </c>
      <c r="P214" s="48">
        <f>IFERROR(IF(OR(ISBLANK(F214),ISBLANK(H214),ISBLANK(J214)),"",ABS(J214-F214)/ABS(F214-H214)),"")</f>
        <v/>
      </c>
      <c r="Q214" s="50">
        <f>IFERROR(IF(OR(ISBLANK(M214),ISBLANK(D214),ISBLANK(G214)),"",IF(D214="Long",(M214-G214),(G214-M214))/VLOOKUP(C214,設定!$B$9:$D$23,2,FALSE)),"")</f>
        <v/>
      </c>
      <c r="R214" s="51">
        <f>IFERROR(IF(OR(ISBLANK(Q214),O214=0),"",Q214/O214),"")</f>
        <v/>
      </c>
      <c r="S214" s="51">
        <f>IFERROR(IF(ISBLANK(R214),S213,IF(ISNUMBER(S213),S213,0)+R214),"")</f>
        <v/>
      </c>
      <c r="T214" s="52">
        <f>IFERROR(IF(OR(ISBLANK(Q214),ISBLANK(L214)),"",Q214*L214*VLOOKUP(C214,設定!$B$9:$D$23,3,FALSE)),"")</f>
        <v/>
      </c>
      <c r="U214" s="46" t="n"/>
      <c r="V214" s="46" t="n"/>
    </row>
    <row r="215">
      <c r="A215" s="53">
        <f>IF(ISBLANK(B215),"",COUNTA($B$18:B215))</f>
        <v/>
      </c>
      <c r="B215" s="54" t="n"/>
      <c r="C215" s="55" t="n"/>
      <c r="D215" s="55" t="n"/>
      <c r="E215" s="53" t="n"/>
      <c r="F215" s="56" t="n"/>
      <c r="G215" s="56" t="n"/>
      <c r="H215" s="56" t="n"/>
      <c r="I215" s="56" t="n"/>
      <c r="J215" s="56" t="n"/>
      <c r="K215" s="56" t="n"/>
      <c r="L215" s="57" t="n"/>
      <c r="M215" s="56" t="n"/>
      <c r="N215" s="55" t="n"/>
      <c r="O215" s="58">
        <f>IFERROR(IF(OR(ISBLANK(G215),ISBLANK(I215)),"",ABS(G215-I215)/VLOOKUP(C215,設定!$B$9:$D$23,2,FALSE)),"")</f>
        <v/>
      </c>
      <c r="P215" s="57">
        <f>IFERROR(IF(OR(ISBLANK(F215),ISBLANK(H215),ISBLANK(J215)),"",ABS(J215-F215)/ABS(F215-H215)),"")</f>
        <v/>
      </c>
      <c r="Q215" s="59">
        <f>IFERROR(IF(OR(ISBLANK(M215),ISBLANK(D215),ISBLANK(G215)),"",IF(D215="Long",(M215-G215),(G215-M215))/VLOOKUP(C215,設定!$B$9:$D$23,2,FALSE)),"")</f>
        <v/>
      </c>
      <c r="R215" s="60">
        <f>IFERROR(IF(OR(ISBLANK(Q215),O215=0),"",Q215/O215),"")</f>
        <v/>
      </c>
      <c r="S215" s="60">
        <f>IFERROR(IF(ISBLANK(R215),S214,IF(ISNUMBER(S214),S214,0)+R215),"")</f>
        <v/>
      </c>
      <c r="T215" s="61">
        <f>IFERROR(IF(OR(ISBLANK(Q215),ISBLANK(L215)),"",Q215*L215*VLOOKUP(C215,設定!$B$9:$D$23,3,FALSE)),"")</f>
        <v/>
      </c>
      <c r="U215" s="55" t="n"/>
      <c r="V215" s="55" t="n"/>
    </row>
    <row r="216">
      <c r="A216" s="44">
        <f>IF(ISBLANK(B216),"",COUNTA($B$18:B216))</f>
        <v/>
      </c>
      <c r="B216" s="45" t="n"/>
      <c r="C216" s="46" t="n"/>
      <c r="D216" s="46" t="n"/>
      <c r="E216" s="44" t="n"/>
      <c r="F216" s="47" t="n"/>
      <c r="G216" s="47" t="n"/>
      <c r="H216" s="47" t="n"/>
      <c r="I216" s="47" t="n"/>
      <c r="J216" s="47" t="n"/>
      <c r="K216" s="47" t="n"/>
      <c r="L216" s="48" t="n"/>
      <c r="M216" s="47" t="n"/>
      <c r="N216" s="46" t="n"/>
      <c r="O216" s="49">
        <f>IFERROR(IF(OR(ISBLANK(G216),ISBLANK(I216)),"",ABS(G216-I216)/VLOOKUP(C216,設定!$B$9:$D$23,2,FALSE)),"")</f>
        <v/>
      </c>
      <c r="P216" s="48">
        <f>IFERROR(IF(OR(ISBLANK(F216),ISBLANK(H216),ISBLANK(J216)),"",ABS(J216-F216)/ABS(F216-H216)),"")</f>
        <v/>
      </c>
      <c r="Q216" s="50">
        <f>IFERROR(IF(OR(ISBLANK(M216),ISBLANK(D216),ISBLANK(G216)),"",IF(D216="Long",(M216-G216),(G216-M216))/VLOOKUP(C216,設定!$B$9:$D$23,2,FALSE)),"")</f>
        <v/>
      </c>
      <c r="R216" s="51">
        <f>IFERROR(IF(OR(ISBLANK(Q216),O216=0),"",Q216/O216),"")</f>
        <v/>
      </c>
      <c r="S216" s="51">
        <f>IFERROR(IF(ISBLANK(R216),S215,IF(ISNUMBER(S215),S215,0)+R216),"")</f>
        <v/>
      </c>
      <c r="T216" s="52">
        <f>IFERROR(IF(OR(ISBLANK(Q216),ISBLANK(L216)),"",Q216*L216*VLOOKUP(C216,設定!$B$9:$D$23,3,FALSE)),"")</f>
        <v/>
      </c>
      <c r="U216" s="46" t="n"/>
      <c r="V216" s="46" t="n"/>
    </row>
    <row r="217">
      <c r="A217" s="53">
        <f>IF(ISBLANK(B217),"",COUNTA($B$18:B217))</f>
        <v/>
      </c>
      <c r="B217" s="54" t="n"/>
      <c r="C217" s="55" t="n"/>
      <c r="D217" s="55" t="n"/>
      <c r="E217" s="53" t="n"/>
      <c r="F217" s="56" t="n"/>
      <c r="G217" s="56" t="n"/>
      <c r="H217" s="56" t="n"/>
      <c r="I217" s="56" t="n"/>
      <c r="J217" s="56" t="n"/>
      <c r="K217" s="56" t="n"/>
      <c r="L217" s="57" t="n"/>
      <c r="M217" s="56" t="n"/>
      <c r="N217" s="55" t="n"/>
      <c r="O217" s="58">
        <f>IFERROR(IF(OR(ISBLANK(G217),ISBLANK(I217)),"",ABS(G217-I217)/VLOOKUP(C217,設定!$B$9:$D$23,2,FALSE)),"")</f>
        <v/>
      </c>
      <c r="P217" s="57">
        <f>IFERROR(IF(OR(ISBLANK(F217),ISBLANK(H217),ISBLANK(J217)),"",ABS(J217-F217)/ABS(F217-H217)),"")</f>
        <v/>
      </c>
      <c r="Q217" s="59">
        <f>IFERROR(IF(OR(ISBLANK(M217),ISBLANK(D217),ISBLANK(G217)),"",IF(D217="Long",(M217-G217),(G217-M217))/VLOOKUP(C217,設定!$B$9:$D$23,2,FALSE)),"")</f>
        <v/>
      </c>
      <c r="R217" s="60">
        <f>IFERROR(IF(OR(ISBLANK(Q217),O217=0),"",Q217/O217),"")</f>
        <v/>
      </c>
      <c r="S217" s="60">
        <f>IFERROR(IF(ISBLANK(R217),S216,IF(ISNUMBER(S216),S216,0)+R217),"")</f>
        <v/>
      </c>
      <c r="T217" s="61">
        <f>IFERROR(IF(OR(ISBLANK(Q217),ISBLANK(L217)),"",Q217*L217*VLOOKUP(C217,設定!$B$9:$D$23,3,FALSE)),"")</f>
        <v/>
      </c>
      <c r="U217" s="55" t="n"/>
      <c r="V217" s="55" t="n"/>
    </row>
  </sheetData>
  <mergeCells count="6">
    <mergeCell ref="A2:V2"/>
    <mergeCell ref="I3:V3"/>
    <mergeCell ref="E3:H3"/>
    <mergeCell ref="B3:C3"/>
    <mergeCell ref="A1:V1"/>
    <mergeCell ref="I4:V15"/>
  </mergeCells>
  <conditionalFormatting sqref="R18:R2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18:N217">
    <cfRule type="expression" priority="3" dxfId="0">
      <formula>$N18="TP"</formula>
    </cfRule>
    <cfRule type="expression" priority="4" dxfId="1">
      <formula>$N18="SL"</formula>
    </cfRule>
  </conditionalFormatting>
  <conditionalFormatting sqref="U18:U217">
    <cfRule type="expression" priority="5" dxfId="4">
      <formula>$U18="S"</formula>
    </cfRule>
    <cfRule type="expression" priority="6" dxfId="0">
      <formula>$U18="A"</formula>
    </cfRule>
    <cfRule type="expression" priority="7" dxfId="1">
      <formula>$U18="D"</formula>
    </cfRule>
  </conditionalFormatting>
  <dataValidations count="4">
    <dataValidation sqref="C18:C217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18:D217" showDropDown="0" showInputMessage="0" showErrorMessage="0" allowBlank="1" type="list">
      <formula1>"Long,Short"</formula1>
    </dataValidation>
    <dataValidation sqref="N18:N217" showDropDown="0" showInputMessage="0" showErrorMessage="0" allowBlank="1" type="list">
      <formula1>"TP,SL,手動,強制,建値撤退"</formula1>
    </dataValidation>
    <dataValidation sqref="U18:U21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7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11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35" customWidth="1" min="22" max="22"/>
  </cols>
  <sheetData>
    <row r="1" ht="36" customHeight="1">
      <c r="A1" s="68" t="inlineStr">
        <is>
          <t>BOTH  ·  手動トレード履歴</t>
        </is>
      </c>
    </row>
    <row r="2" ht="32" customHeight="1">
      <c r="A2" s="69" t="inlineStr">
        <is>
          <t>ORZ と PDHL が同一方向で合意したときのみ発火。独立な 2 手法の確証で勝率向上を狙う。</t>
        </is>
      </c>
    </row>
    <row r="3">
      <c r="B3" s="4" t="inlineStr">
        <is>
          <t>📊 集計サマリ</t>
        </is>
      </c>
      <c r="C3" s="28" t="n"/>
      <c r="E3" s="4" t="inlineStr">
        <is>
          <t>🏅 トレード評価分布</t>
        </is>
      </c>
      <c r="I3" s="4" t="inlineStr">
        <is>
          <t>📝 BOTH で学んだこと · 観察メモ</t>
        </is>
      </c>
    </row>
    <row r="4">
      <c r="B4" s="10" t="inlineStr">
        <is>
          <t>件数</t>
        </is>
      </c>
      <c r="C4" s="29">
        <f>COUNT(R18:R217)</f>
        <v/>
      </c>
      <c r="E4" s="10" t="inlineStr">
        <is>
          <t>S ランク</t>
        </is>
      </c>
      <c r="F4" s="30">
        <f>COUNTIF(U18:U217,"S")</f>
        <v/>
      </c>
      <c r="G4" s="31">
        <f>IFERROR(F4/COUNTA(U18:U217),0)</f>
        <v/>
      </c>
      <c r="H4" s="32" t="inlineStr">
        <is>
          <t>完璧 (計画通り + 理想的展開)</t>
        </is>
      </c>
      <c r="I4" s="70" t="inlineStr">
        <is>
          <t>(ここに BOTH で気づいたこと・パターン・反省を自由記述。例:
 ・東京時間の発火は勝率が低い、ロンドン時間に絞ると改善
 ・スコア 80+ のシグナルだけ取ると勝率が劇的に上がる
 ・SL を少しタイトめにすると RR 向上)</t>
        </is>
      </c>
    </row>
    <row r="5">
      <c r="B5" s="10" t="inlineStr">
        <is>
          <t>勝率</t>
        </is>
      </c>
      <c r="C5" s="34">
        <f>IFERROR(COUNTIF(R18:R217,"&gt;0")/COUNT(R18:R217),0)</f>
        <v/>
      </c>
      <c r="E5" s="10" t="inlineStr">
        <is>
          <t>A ランク</t>
        </is>
      </c>
      <c r="F5" s="35">
        <f>COUNTIF(U18:U217,"A")</f>
        <v/>
      </c>
      <c r="G5" s="31">
        <f>IFERROR(F5/COUNTA(U18:U217),0)</f>
        <v/>
      </c>
      <c r="H5" s="32" t="inlineStr">
        <is>
          <t>良い (利益確保)</t>
        </is>
      </c>
    </row>
    <row r="6">
      <c r="B6" s="10" t="inlineStr">
        <is>
          <t>平均 RR (計画)</t>
        </is>
      </c>
      <c r="C6" s="36">
        <f>IFERROR(AVERAGE(P18:P217),0)</f>
        <v/>
      </c>
      <c r="E6" s="10" t="inlineStr">
        <is>
          <t>B ランク</t>
        </is>
      </c>
      <c r="F6" s="37">
        <f>COUNTIF(U18:U217,"B")</f>
        <v/>
      </c>
      <c r="G6" s="31">
        <f>IFERROR(F6/COUNTA(U18:U217),0)</f>
        <v/>
      </c>
      <c r="H6" s="32" t="inlineStr">
        <is>
          <t>普通 (微益微損)</t>
        </is>
      </c>
    </row>
    <row r="7">
      <c r="B7" s="10" t="inlineStr">
        <is>
          <t>PF</t>
        </is>
      </c>
      <c r="C7" s="36">
        <f>IFERROR(SUMIF(R18:R217,"&gt;0")/-SUMIF(R18:R217,"&lt;0"),0)</f>
        <v/>
      </c>
      <c r="E7" s="10" t="inlineStr">
        <is>
          <t>C ランク</t>
        </is>
      </c>
      <c r="F7" s="38">
        <f>COUNTIF(U18:U217,"C")</f>
        <v/>
      </c>
      <c r="G7" s="31">
        <f>IFERROR(F7/COUNTA(U18:U217),0)</f>
        <v/>
      </c>
      <c r="H7" s="32" t="inlineStr">
        <is>
          <t>悪い (損失だが学びあり)</t>
        </is>
      </c>
    </row>
    <row r="8">
      <c r="B8" s="10" t="inlineStr">
        <is>
          <t>期待値 (R)</t>
        </is>
      </c>
      <c r="C8" s="39">
        <f>IFERROR(AVERAGE(R18:R217),0)</f>
        <v/>
      </c>
      <c r="E8" s="10" t="inlineStr">
        <is>
          <t>D ランク</t>
        </is>
      </c>
      <c r="F8" s="40">
        <f>COUNTIF(U18:U217,"D")</f>
        <v/>
      </c>
      <c r="G8" s="31">
        <f>IFERROR(F8/COUNTA(U18:U217),0)</f>
        <v/>
      </c>
      <c r="H8" s="32" t="inlineStr">
        <is>
          <t>失敗 (規律違反含む)</t>
        </is>
      </c>
    </row>
    <row r="9">
      <c r="B9" s="10" t="inlineStr">
        <is>
          <t>累計 R</t>
        </is>
      </c>
      <c r="C9" s="22">
        <f>SUM(R18:R217)</f>
        <v/>
      </c>
    </row>
    <row r="10">
      <c r="B10" s="10" t="inlineStr">
        <is>
          <t>累計損益 ¥</t>
        </is>
      </c>
      <c r="C10" s="23">
        <f>SUM(T18:T217)</f>
        <v/>
      </c>
    </row>
    <row r="11">
      <c r="B11" s="10" t="inlineStr">
        <is>
          <t>最大 DD (R)</t>
        </is>
      </c>
      <c r="C11" s="41">
        <f>IFERROR(MAX(S18:S217)-MIN(S18:S217),0)</f>
        <v/>
      </c>
    </row>
    <row r="12">
      <c r="B12" s="10" t="inlineStr">
        <is>
          <t>勝ち平均 R</t>
        </is>
      </c>
      <c r="C12" s="42">
        <f>IFERROR(AVERAGEIF(R18:R217,"&gt;0"),0)</f>
        <v/>
      </c>
    </row>
    <row r="13">
      <c r="B13" s="10" t="inlineStr">
        <is>
          <t>負け平均 R</t>
        </is>
      </c>
      <c r="C13" s="42">
        <f>IFERROR(AVERAGEIF(R18:R217,"&lt;0"),0)</f>
        <v/>
      </c>
    </row>
    <row r="14">
      <c r="B14" s="10" t="inlineStr">
        <is>
          <t>評価 S 件数</t>
        </is>
      </c>
      <c r="C14" s="29">
        <f>COUNTIF(U18:U217,"S")</f>
        <v/>
      </c>
    </row>
    <row r="15">
      <c r="B15" s="10" t="inlineStr">
        <is>
          <t>評価 D 件数</t>
        </is>
      </c>
      <c r="C15" s="29">
        <f>COUNTIF(U18:U217,"D")</f>
        <v/>
      </c>
    </row>
    <row r="17" ht="28" customHeight="1">
      <c r="A17" s="43" t="inlineStr">
        <is>
          <t>#</t>
        </is>
      </c>
      <c r="B17" s="43" t="inlineStr">
        <is>
          <t>日付</t>
        </is>
      </c>
      <c r="C17" s="43" t="inlineStr">
        <is>
          <t>通貨ペア</t>
        </is>
      </c>
      <c r="D17" s="43" t="inlineStr">
        <is>
          <t>方向</t>
        </is>
      </c>
      <c r="E17" s="43" t="inlineStr">
        <is>
          <t>スコア</t>
        </is>
      </c>
      <c r="F17" s="43" t="inlineStr">
        <is>
          <t>計画Entry</t>
        </is>
      </c>
      <c r="G17" s="43" t="inlineStr">
        <is>
          <t>実Entry</t>
        </is>
      </c>
      <c r="H17" s="43" t="inlineStr">
        <is>
          <t>計画SL</t>
        </is>
      </c>
      <c r="I17" s="43" t="inlineStr">
        <is>
          <t>実SL</t>
        </is>
      </c>
      <c r="J17" s="43" t="inlineStr">
        <is>
          <t>計画TP</t>
        </is>
      </c>
      <c r="K17" s="43" t="inlineStr">
        <is>
          <t>実TP</t>
        </is>
      </c>
      <c r="L17" s="43" t="inlineStr">
        <is>
          <t>ロット</t>
        </is>
      </c>
      <c r="M17" s="43" t="inlineStr">
        <is>
          <t>決済価格</t>
        </is>
      </c>
      <c r="N17" s="43" t="inlineStr">
        <is>
          <t>決済理由</t>
        </is>
      </c>
      <c r="O17" s="43" t="inlineStr">
        <is>
          <t>実SL pips</t>
        </is>
      </c>
      <c r="P17" s="43" t="inlineStr">
        <is>
          <t>計画RR</t>
        </is>
      </c>
      <c r="Q17" s="43" t="inlineStr">
        <is>
          <t>損益 pips</t>
        </is>
      </c>
      <c r="R17" s="43" t="inlineStr">
        <is>
          <t>R-mult</t>
        </is>
      </c>
      <c r="S17" s="43" t="inlineStr">
        <is>
          <t>累計R</t>
        </is>
      </c>
      <c r="T17" s="43" t="inlineStr">
        <is>
          <t>損益 ¥</t>
        </is>
      </c>
      <c r="U17" s="43" t="inlineStr">
        <is>
          <t>評価</t>
        </is>
      </c>
      <c r="V17" s="43" t="inlineStr">
        <is>
          <t>学び / 反省</t>
        </is>
      </c>
    </row>
    <row r="18">
      <c r="A18" s="44">
        <f>IF(ISBLANK(B18),"",COUNTA($B$18:B18))</f>
        <v/>
      </c>
      <c r="B18" s="45" t="n"/>
      <c r="C18" s="46" t="n"/>
      <c r="D18" s="46" t="n"/>
      <c r="E18" s="44" t="n"/>
      <c r="F18" s="47" t="n"/>
      <c r="G18" s="47" t="n"/>
      <c r="H18" s="47" t="n"/>
      <c r="I18" s="47" t="n"/>
      <c r="J18" s="47" t="n"/>
      <c r="K18" s="47" t="n"/>
      <c r="L18" s="48" t="n"/>
      <c r="M18" s="47" t="n"/>
      <c r="N18" s="46" t="n"/>
      <c r="O18" s="49">
        <f>IFERROR(IF(OR(ISBLANK(G18),ISBLANK(I18)),"",ABS(G18-I18)/VLOOKUP(C18,設定!$B$9:$D$23,2,FALSE)),"")</f>
        <v/>
      </c>
      <c r="P18" s="48">
        <f>IFERROR(IF(OR(ISBLANK(F18),ISBLANK(H18),ISBLANK(J18)),"",ABS(J18-F18)/ABS(F18-H18)),"")</f>
        <v/>
      </c>
      <c r="Q18" s="50">
        <f>IFERROR(IF(OR(ISBLANK(M18),ISBLANK(D18),ISBLANK(G18)),"",IF(D18="Long",(M18-G18),(G18-M18))/VLOOKUP(C18,設定!$B$9:$D$23,2,FALSE)),"")</f>
        <v/>
      </c>
      <c r="R18" s="51">
        <f>IFERROR(IF(OR(ISBLANK(Q18),O18=0),"",Q18/O18),"")</f>
        <v/>
      </c>
      <c r="S18" s="51">
        <f>IFERROR(IF(ISBLANK(R18),"",R18),"")</f>
        <v/>
      </c>
      <c r="T18" s="52">
        <f>IFERROR(IF(OR(ISBLANK(Q18),ISBLANK(L18)),"",Q18*L18*VLOOKUP(C18,設定!$B$9:$D$23,3,FALSE)),"")</f>
        <v/>
      </c>
      <c r="U18" s="46" t="n"/>
      <c r="V18" s="46" t="n"/>
    </row>
    <row r="19">
      <c r="A19" s="53">
        <f>IF(ISBLANK(B19),"",COUNTA($B$18:B19))</f>
        <v/>
      </c>
      <c r="B19" s="54" t="n"/>
      <c r="C19" s="55" t="n"/>
      <c r="D19" s="55" t="n"/>
      <c r="E19" s="53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5" t="n"/>
      <c r="O19" s="58">
        <f>IFERROR(IF(OR(ISBLANK(G19),ISBLANK(I19)),"",ABS(G19-I19)/VLOOKUP(C19,設定!$B$9:$D$23,2,FALSE)),"")</f>
        <v/>
      </c>
      <c r="P19" s="57">
        <f>IFERROR(IF(OR(ISBLANK(F19),ISBLANK(H19),ISBLANK(J19)),"",ABS(J19-F19)/ABS(F19-H19)),"")</f>
        <v/>
      </c>
      <c r="Q19" s="59">
        <f>IFERROR(IF(OR(ISBLANK(M19),ISBLANK(D19),ISBLANK(G19)),"",IF(D19="Long",(M19-G19),(G19-M19))/VLOOKUP(C19,設定!$B$9:$D$23,2,FALSE)),"")</f>
        <v/>
      </c>
      <c r="R19" s="60">
        <f>IFERROR(IF(OR(ISBLANK(Q19),O19=0),"",Q19/O19),"")</f>
        <v/>
      </c>
      <c r="S19" s="60">
        <f>IFERROR(IF(ISBLANK(R19),S18,IF(ISNUMBER(S18),S18,0)+R19),"")</f>
        <v/>
      </c>
      <c r="T19" s="61">
        <f>IFERROR(IF(OR(ISBLANK(Q19),ISBLANK(L19)),"",Q19*L19*VLOOKUP(C19,設定!$B$9:$D$23,3,FALSE)),"")</f>
        <v/>
      </c>
      <c r="U19" s="55" t="n"/>
      <c r="V19" s="55" t="n"/>
    </row>
    <row r="20">
      <c r="A20" s="44">
        <f>IF(ISBLANK(B20),"",COUNTA($B$18:B20))</f>
        <v/>
      </c>
      <c r="B20" s="45" t="n"/>
      <c r="C20" s="46" t="n"/>
      <c r="D20" s="46" t="n"/>
      <c r="E20" s="44" t="n"/>
      <c r="F20" s="47" t="n"/>
      <c r="G20" s="47" t="n"/>
      <c r="H20" s="47" t="n"/>
      <c r="I20" s="47" t="n"/>
      <c r="J20" s="47" t="n"/>
      <c r="K20" s="47" t="n"/>
      <c r="L20" s="48" t="n"/>
      <c r="M20" s="47" t="n"/>
      <c r="N20" s="46" t="n"/>
      <c r="O20" s="49">
        <f>IFERROR(IF(OR(ISBLANK(G20),ISBLANK(I20)),"",ABS(G20-I20)/VLOOKUP(C20,設定!$B$9:$D$23,2,FALSE)),"")</f>
        <v/>
      </c>
      <c r="P20" s="48">
        <f>IFERROR(IF(OR(ISBLANK(F20),ISBLANK(H20),ISBLANK(J20)),"",ABS(J20-F20)/ABS(F20-H20)),"")</f>
        <v/>
      </c>
      <c r="Q20" s="50">
        <f>IFERROR(IF(OR(ISBLANK(M20),ISBLANK(D20),ISBLANK(G20)),"",IF(D20="Long",(M20-G20),(G20-M20))/VLOOKUP(C20,設定!$B$9:$D$23,2,FALSE)),"")</f>
        <v/>
      </c>
      <c r="R20" s="51">
        <f>IFERROR(IF(OR(ISBLANK(Q20),O20=0),"",Q20/O20),"")</f>
        <v/>
      </c>
      <c r="S20" s="51">
        <f>IFERROR(IF(ISBLANK(R20),S19,IF(ISNUMBER(S19),S19,0)+R20),"")</f>
        <v/>
      </c>
      <c r="T20" s="52">
        <f>IFERROR(IF(OR(ISBLANK(Q20),ISBLANK(L20)),"",Q20*L20*VLOOKUP(C20,設定!$B$9:$D$23,3,FALSE)),"")</f>
        <v/>
      </c>
      <c r="U20" s="46" t="n"/>
      <c r="V20" s="46" t="n"/>
    </row>
    <row r="21">
      <c r="A21" s="53">
        <f>IF(ISBLANK(B21),"",COUNTA($B$18:B21))</f>
        <v/>
      </c>
      <c r="B21" s="54" t="n"/>
      <c r="C21" s="55" t="n"/>
      <c r="D21" s="55" t="n"/>
      <c r="E21" s="53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5" t="n"/>
      <c r="O21" s="58">
        <f>IFERROR(IF(OR(ISBLANK(G21),ISBLANK(I21)),"",ABS(G21-I21)/VLOOKUP(C21,設定!$B$9:$D$23,2,FALSE)),"")</f>
        <v/>
      </c>
      <c r="P21" s="57">
        <f>IFERROR(IF(OR(ISBLANK(F21),ISBLANK(H21),ISBLANK(J21)),"",ABS(J21-F21)/ABS(F21-H21)),"")</f>
        <v/>
      </c>
      <c r="Q21" s="59">
        <f>IFERROR(IF(OR(ISBLANK(M21),ISBLANK(D21),ISBLANK(G21)),"",IF(D21="Long",(M21-G21),(G21-M21))/VLOOKUP(C21,設定!$B$9:$D$23,2,FALSE)),"")</f>
        <v/>
      </c>
      <c r="R21" s="60">
        <f>IFERROR(IF(OR(ISBLANK(Q21),O21=0),"",Q21/O21),"")</f>
        <v/>
      </c>
      <c r="S21" s="60">
        <f>IFERROR(IF(ISBLANK(R21),S20,IF(ISNUMBER(S20),S20,0)+R21),"")</f>
        <v/>
      </c>
      <c r="T21" s="61">
        <f>IFERROR(IF(OR(ISBLANK(Q21),ISBLANK(L21)),"",Q21*L21*VLOOKUP(C21,設定!$B$9:$D$23,3,FALSE)),"")</f>
        <v/>
      </c>
      <c r="U21" s="55" t="n"/>
      <c r="V21" s="55" t="n"/>
    </row>
    <row r="22">
      <c r="A22" s="44">
        <f>IF(ISBLANK(B22),"",COUNTA($B$18:B22))</f>
        <v/>
      </c>
      <c r="B22" s="45" t="n"/>
      <c r="C22" s="46" t="n"/>
      <c r="D22" s="46" t="n"/>
      <c r="E22" s="44" t="n"/>
      <c r="F22" s="47" t="n"/>
      <c r="G22" s="47" t="n"/>
      <c r="H22" s="47" t="n"/>
      <c r="I22" s="47" t="n"/>
      <c r="J22" s="47" t="n"/>
      <c r="K22" s="47" t="n"/>
      <c r="L22" s="48" t="n"/>
      <c r="M22" s="47" t="n"/>
      <c r="N22" s="46" t="n"/>
      <c r="O22" s="49">
        <f>IFERROR(IF(OR(ISBLANK(G22),ISBLANK(I22)),"",ABS(G22-I22)/VLOOKUP(C22,設定!$B$9:$D$23,2,FALSE)),"")</f>
        <v/>
      </c>
      <c r="P22" s="48">
        <f>IFERROR(IF(OR(ISBLANK(F22),ISBLANK(H22),ISBLANK(J22)),"",ABS(J22-F22)/ABS(F22-H22)),"")</f>
        <v/>
      </c>
      <c r="Q22" s="50">
        <f>IFERROR(IF(OR(ISBLANK(M22),ISBLANK(D22),ISBLANK(G22)),"",IF(D22="Long",(M22-G22),(G22-M22))/VLOOKUP(C22,設定!$B$9:$D$23,2,FALSE)),"")</f>
        <v/>
      </c>
      <c r="R22" s="51">
        <f>IFERROR(IF(OR(ISBLANK(Q22),O22=0),"",Q22/O22),"")</f>
        <v/>
      </c>
      <c r="S22" s="51">
        <f>IFERROR(IF(ISBLANK(R22),S21,IF(ISNUMBER(S21),S21,0)+R22),"")</f>
        <v/>
      </c>
      <c r="T22" s="52">
        <f>IFERROR(IF(OR(ISBLANK(Q22),ISBLANK(L22)),"",Q22*L22*VLOOKUP(C22,設定!$B$9:$D$23,3,FALSE)),"")</f>
        <v/>
      </c>
      <c r="U22" s="46" t="n"/>
      <c r="V22" s="46" t="n"/>
    </row>
    <row r="23">
      <c r="A23" s="53">
        <f>IF(ISBLANK(B23),"",COUNTA($B$18:B23))</f>
        <v/>
      </c>
      <c r="B23" s="54" t="n"/>
      <c r="C23" s="55" t="n"/>
      <c r="D23" s="55" t="n"/>
      <c r="E23" s="53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5" t="n"/>
      <c r="O23" s="58">
        <f>IFERROR(IF(OR(ISBLANK(G23),ISBLANK(I23)),"",ABS(G23-I23)/VLOOKUP(C23,設定!$B$9:$D$23,2,FALSE)),"")</f>
        <v/>
      </c>
      <c r="P23" s="57">
        <f>IFERROR(IF(OR(ISBLANK(F23),ISBLANK(H23),ISBLANK(J23)),"",ABS(J23-F23)/ABS(F23-H23)),"")</f>
        <v/>
      </c>
      <c r="Q23" s="59">
        <f>IFERROR(IF(OR(ISBLANK(M23),ISBLANK(D23),ISBLANK(G23)),"",IF(D23="Long",(M23-G23),(G23-M23))/VLOOKUP(C23,設定!$B$9:$D$23,2,FALSE)),"")</f>
        <v/>
      </c>
      <c r="R23" s="60">
        <f>IFERROR(IF(OR(ISBLANK(Q23),O23=0),"",Q23/O23),"")</f>
        <v/>
      </c>
      <c r="S23" s="60">
        <f>IFERROR(IF(ISBLANK(R23),S22,IF(ISNUMBER(S22),S22,0)+R23),"")</f>
        <v/>
      </c>
      <c r="T23" s="61">
        <f>IFERROR(IF(OR(ISBLANK(Q23),ISBLANK(L23)),"",Q23*L23*VLOOKUP(C23,設定!$B$9:$D$23,3,FALSE)),"")</f>
        <v/>
      </c>
      <c r="U23" s="55" t="n"/>
      <c r="V23" s="55" t="n"/>
    </row>
    <row r="24">
      <c r="A24" s="44">
        <f>IF(ISBLANK(B24),"",COUNTA($B$18:B24))</f>
        <v/>
      </c>
      <c r="B24" s="45" t="n"/>
      <c r="C24" s="46" t="n"/>
      <c r="D24" s="46" t="n"/>
      <c r="E24" s="44" t="n"/>
      <c r="F24" s="47" t="n"/>
      <c r="G24" s="47" t="n"/>
      <c r="H24" s="47" t="n"/>
      <c r="I24" s="47" t="n"/>
      <c r="J24" s="47" t="n"/>
      <c r="K24" s="47" t="n"/>
      <c r="L24" s="48" t="n"/>
      <c r="M24" s="47" t="n"/>
      <c r="N24" s="46" t="n"/>
      <c r="O24" s="49">
        <f>IFERROR(IF(OR(ISBLANK(G24),ISBLANK(I24)),"",ABS(G24-I24)/VLOOKUP(C24,設定!$B$9:$D$23,2,FALSE)),"")</f>
        <v/>
      </c>
      <c r="P24" s="48">
        <f>IFERROR(IF(OR(ISBLANK(F24),ISBLANK(H24),ISBLANK(J24)),"",ABS(J24-F24)/ABS(F24-H24)),"")</f>
        <v/>
      </c>
      <c r="Q24" s="50">
        <f>IFERROR(IF(OR(ISBLANK(M24),ISBLANK(D24),ISBLANK(G24)),"",IF(D24="Long",(M24-G24),(G24-M24))/VLOOKUP(C24,設定!$B$9:$D$23,2,FALSE)),"")</f>
        <v/>
      </c>
      <c r="R24" s="51">
        <f>IFERROR(IF(OR(ISBLANK(Q24),O24=0),"",Q24/O24),"")</f>
        <v/>
      </c>
      <c r="S24" s="51">
        <f>IFERROR(IF(ISBLANK(R24),S23,IF(ISNUMBER(S23),S23,0)+R24),"")</f>
        <v/>
      </c>
      <c r="T24" s="52">
        <f>IFERROR(IF(OR(ISBLANK(Q24),ISBLANK(L24)),"",Q24*L24*VLOOKUP(C24,設定!$B$9:$D$23,3,FALSE)),"")</f>
        <v/>
      </c>
      <c r="U24" s="46" t="n"/>
      <c r="V24" s="46" t="n"/>
    </row>
    <row r="25">
      <c r="A25" s="53">
        <f>IF(ISBLANK(B25),"",COUNTA($B$18:B25))</f>
        <v/>
      </c>
      <c r="B25" s="54" t="n"/>
      <c r="C25" s="55" t="n"/>
      <c r="D25" s="55" t="n"/>
      <c r="E25" s="53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5" t="n"/>
      <c r="O25" s="58">
        <f>IFERROR(IF(OR(ISBLANK(G25),ISBLANK(I25)),"",ABS(G25-I25)/VLOOKUP(C25,設定!$B$9:$D$23,2,FALSE)),"")</f>
        <v/>
      </c>
      <c r="P25" s="57">
        <f>IFERROR(IF(OR(ISBLANK(F25),ISBLANK(H25),ISBLANK(J25)),"",ABS(J25-F25)/ABS(F25-H25)),"")</f>
        <v/>
      </c>
      <c r="Q25" s="59">
        <f>IFERROR(IF(OR(ISBLANK(M25),ISBLANK(D25),ISBLANK(G25)),"",IF(D25="Long",(M25-G25),(G25-M25))/VLOOKUP(C25,設定!$B$9:$D$23,2,FALSE)),"")</f>
        <v/>
      </c>
      <c r="R25" s="60">
        <f>IFERROR(IF(OR(ISBLANK(Q25),O25=0),"",Q25/O25),"")</f>
        <v/>
      </c>
      <c r="S25" s="60">
        <f>IFERROR(IF(ISBLANK(R25),S24,IF(ISNUMBER(S24),S24,0)+R25),"")</f>
        <v/>
      </c>
      <c r="T25" s="61">
        <f>IFERROR(IF(OR(ISBLANK(Q25),ISBLANK(L25)),"",Q25*L25*VLOOKUP(C25,設定!$B$9:$D$23,3,FALSE)),"")</f>
        <v/>
      </c>
      <c r="U25" s="55" t="n"/>
      <c r="V25" s="55" t="n"/>
    </row>
    <row r="26">
      <c r="A26" s="44">
        <f>IF(ISBLANK(B26),"",COUNTA($B$18:B26))</f>
        <v/>
      </c>
      <c r="B26" s="45" t="n"/>
      <c r="C26" s="46" t="n"/>
      <c r="D26" s="46" t="n"/>
      <c r="E26" s="44" t="n"/>
      <c r="F26" s="47" t="n"/>
      <c r="G26" s="47" t="n"/>
      <c r="H26" s="47" t="n"/>
      <c r="I26" s="47" t="n"/>
      <c r="J26" s="47" t="n"/>
      <c r="K26" s="47" t="n"/>
      <c r="L26" s="48" t="n"/>
      <c r="M26" s="47" t="n"/>
      <c r="N26" s="46" t="n"/>
      <c r="O26" s="49">
        <f>IFERROR(IF(OR(ISBLANK(G26),ISBLANK(I26)),"",ABS(G26-I26)/VLOOKUP(C26,設定!$B$9:$D$23,2,FALSE)),"")</f>
        <v/>
      </c>
      <c r="P26" s="48">
        <f>IFERROR(IF(OR(ISBLANK(F26),ISBLANK(H26),ISBLANK(J26)),"",ABS(J26-F26)/ABS(F26-H26)),"")</f>
        <v/>
      </c>
      <c r="Q26" s="50">
        <f>IFERROR(IF(OR(ISBLANK(M26),ISBLANK(D26),ISBLANK(G26)),"",IF(D26="Long",(M26-G26),(G26-M26))/VLOOKUP(C26,設定!$B$9:$D$23,2,FALSE)),"")</f>
        <v/>
      </c>
      <c r="R26" s="51">
        <f>IFERROR(IF(OR(ISBLANK(Q26),O26=0),"",Q26/O26),"")</f>
        <v/>
      </c>
      <c r="S26" s="51">
        <f>IFERROR(IF(ISBLANK(R26),S25,IF(ISNUMBER(S25),S25,0)+R26),"")</f>
        <v/>
      </c>
      <c r="T26" s="52">
        <f>IFERROR(IF(OR(ISBLANK(Q26),ISBLANK(L26)),"",Q26*L26*VLOOKUP(C26,設定!$B$9:$D$23,3,FALSE)),"")</f>
        <v/>
      </c>
      <c r="U26" s="46" t="n"/>
      <c r="V26" s="46" t="n"/>
    </row>
    <row r="27">
      <c r="A27" s="53">
        <f>IF(ISBLANK(B27),"",COUNTA($B$18:B27))</f>
        <v/>
      </c>
      <c r="B27" s="54" t="n"/>
      <c r="C27" s="55" t="n"/>
      <c r="D27" s="55" t="n"/>
      <c r="E27" s="53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5" t="n"/>
      <c r="O27" s="58">
        <f>IFERROR(IF(OR(ISBLANK(G27),ISBLANK(I27)),"",ABS(G27-I27)/VLOOKUP(C27,設定!$B$9:$D$23,2,FALSE)),"")</f>
        <v/>
      </c>
      <c r="P27" s="57">
        <f>IFERROR(IF(OR(ISBLANK(F27),ISBLANK(H27),ISBLANK(J27)),"",ABS(J27-F27)/ABS(F27-H27)),"")</f>
        <v/>
      </c>
      <c r="Q27" s="59">
        <f>IFERROR(IF(OR(ISBLANK(M27),ISBLANK(D27),ISBLANK(G27)),"",IF(D27="Long",(M27-G27),(G27-M27))/VLOOKUP(C27,設定!$B$9:$D$23,2,FALSE)),"")</f>
        <v/>
      </c>
      <c r="R27" s="60">
        <f>IFERROR(IF(OR(ISBLANK(Q27),O27=0),"",Q27/O27),"")</f>
        <v/>
      </c>
      <c r="S27" s="60">
        <f>IFERROR(IF(ISBLANK(R27),S26,IF(ISNUMBER(S26),S26,0)+R27),"")</f>
        <v/>
      </c>
      <c r="T27" s="61">
        <f>IFERROR(IF(OR(ISBLANK(Q27),ISBLANK(L27)),"",Q27*L27*VLOOKUP(C27,設定!$B$9:$D$23,3,FALSE)),"")</f>
        <v/>
      </c>
      <c r="U27" s="55" t="n"/>
      <c r="V27" s="55" t="n"/>
    </row>
    <row r="28">
      <c r="A28" s="44">
        <f>IF(ISBLANK(B28),"",COUNTA($B$18:B28))</f>
        <v/>
      </c>
      <c r="B28" s="45" t="n"/>
      <c r="C28" s="46" t="n"/>
      <c r="D28" s="46" t="n"/>
      <c r="E28" s="44" t="n"/>
      <c r="F28" s="47" t="n"/>
      <c r="G28" s="47" t="n"/>
      <c r="H28" s="47" t="n"/>
      <c r="I28" s="47" t="n"/>
      <c r="J28" s="47" t="n"/>
      <c r="K28" s="47" t="n"/>
      <c r="L28" s="48" t="n"/>
      <c r="M28" s="47" t="n"/>
      <c r="N28" s="46" t="n"/>
      <c r="O28" s="49">
        <f>IFERROR(IF(OR(ISBLANK(G28),ISBLANK(I28)),"",ABS(G28-I28)/VLOOKUP(C28,設定!$B$9:$D$23,2,FALSE)),"")</f>
        <v/>
      </c>
      <c r="P28" s="48">
        <f>IFERROR(IF(OR(ISBLANK(F28),ISBLANK(H28),ISBLANK(J28)),"",ABS(J28-F28)/ABS(F28-H28)),"")</f>
        <v/>
      </c>
      <c r="Q28" s="50">
        <f>IFERROR(IF(OR(ISBLANK(M28),ISBLANK(D28),ISBLANK(G28)),"",IF(D28="Long",(M28-G28),(G28-M28))/VLOOKUP(C28,設定!$B$9:$D$23,2,FALSE)),"")</f>
        <v/>
      </c>
      <c r="R28" s="51">
        <f>IFERROR(IF(OR(ISBLANK(Q28),O28=0),"",Q28/O28),"")</f>
        <v/>
      </c>
      <c r="S28" s="51">
        <f>IFERROR(IF(ISBLANK(R28),S27,IF(ISNUMBER(S27),S27,0)+R28),"")</f>
        <v/>
      </c>
      <c r="T28" s="52">
        <f>IFERROR(IF(OR(ISBLANK(Q28),ISBLANK(L28)),"",Q28*L28*VLOOKUP(C28,設定!$B$9:$D$23,3,FALSE)),"")</f>
        <v/>
      </c>
      <c r="U28" s="46" t="n"/>
      <c r="V28" s="46" t="n"/>
    </row>
    <row r="29">
      <c r="A29" s="53">
        <f>IF(ISBLANK(B29),"",COUNTA($B$18:B29))</f>
        <v/>
      </c>
      <c r="B29" s="54" t="n"/>
      <c r="C29" s="55" t="n"/>
      <c r="D29" s="55" t="n"/>
      <c r="E29" s="53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5" t="n"/>
      <c r="O29" s="58">
        <f>IFERROR(IF(OR(ISBLANK(G29),ISBLANK(I29)),"",ABS(G29-I29)/VLOOKUP(C29,設定!$B$9:$D$23,2,FALSE)),"")</f>
        <v/>
      </c>
      <c r="P29" s="57">
        <f>IFERROR(IF(OR(ISBLANK(F29),ISBLANK(H29),ISBLANK(J29)),"",ABS(J29-F29)/ABS(F29-H29)),"")</f>
        <v/>
      </c>
      <c r="Q29" s="59">
        <f>IFERROR(IF(OR(ISBLANK(M29),ISBLANK(D29),ISBLANK(G29)),"",IF(D29="Long",(M29-G29),(G29-M29))/VLOOKUP(C29,設定!$B$9:$D$23,2,FALSE)),"")</f>
        <v/>
      </c>
      <c r="R29" s="60">
        <f>IFERROR(IF(OR(ISBLANK(Q29),O29=0),"",Q29/O29),"")</f>
        <v/>
      </c>
      <c r="S29" s="60">
        <f>IFERROR(IF(ISBLANK(R29),S28,IF(ISNUMBER(S28),S28,0)+R29),"")</f>
        <v/>
      </c>
      <c r="T29" s="61">
        <f>IFERROR(IF(OR(ISBLANK(Q29),ISBLANK(L29)),"",Q29*L29*VLOOKUP(C29,設定!$B$9:$D$23,3,FALSE)),"")</f>
        <v/>
      </c>
      <c r="U29" s="55" t="n"/>
      <c r="V29" s="55" t="n"/>
    </row>
    <row r="30">
      <c r="A30" s="44">
        <f>IF(ISBLANK(B30),"",COUNTA($B$18:B30))</f>
        <v/>
      </c>
      <c r="B30" s="45" t="n"/>
      <c r="C30" s="46" t="n"/>
      <c r="D30" s="46" t="n"/>
      <c r="E30" s="44" t="n"/>
      <c r="F30" s="47" t="n"/>
      <c r="G30" s="47" t="n"/>
      <c r="H30" s="47" t="n"/>
      <c r="I30" s="47" t="n"/>
      <c r="J30" s="47" t="n"/>
      <c r="K30" s="47" t="n"/>
      <c r="L30" s="48" t="n"/>
      <c r="M30" s="47" t="n"/>
      <c r="N30" s="46" t="n"/>
      <c r="O30" s="49">
        <f>IFERROR(IF(OR(ISBLANK(G30),ISBLANK(I30)),"",ABS(G30-I30)/VLOOKUP(C30,設定!$B$9:$D$23,2,FALSE)),"")</f>
        <v/>
      </c>
      <c r="P30" s="48">
        <f>IFERROR(IF(OR(ISBLANK(F30),ISBLANK(H30),ISBLANK(J30)),"",ABS(J30-F30)/ABS(F30-H30)),"")</f>
        <v/>
      </c>
      <c r="Q30" s="50">
        <f>IFERROR(IF(OR(ISBLANK(M30),ISBLANK(D30),ISBLANK(G30)),"",IF(D30="Long",(M30-G30),(G30-M30))/VLOOKUP(C30,設定!$B$9:$D$23,2,FALSE)),"")</f>
        <v/>
      </c>
      <c r="R30" s="51">
        <f>IFERROR(IF(OR(ISBLANK(Q30),O30=0),"",Q30/O30),"")</f>
        <v/>
      </c>
      <c r="S30" s="51">
        <f>IFERROR(IF(ISBLANK(R30),S29,IF(ISNUMBER(S29),S29,0)+R30),"")</f>
        <v/>
      </c>
      <c r="T30" s="52">
        <f>IFERROR(IF(OR(ISBLANK(Q30),ISBLANK(L30)),"",Q30*L30*VLOOKUP(C30,設定!$B$9:$D$23,3,FALSE)),"")</f>
        <v/>
      </c>
      <c r="U30" s="46" t="n"/>
      <c r="V30" s="46" t="n"/>
    </row>
    <row r="31">
      <c r="A31" s="53">
        <f>IF(ISBLANK(B31),"",COUNTA($B$18:B31))</f>
        <v/>
      </c>
      <c r="B31" s="54" t="n"/>
      <c r="C31" s="55" t="n"/>
      <c r="D31" s="55" t="n"/>
      <c r="E31" s="53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5" t="n"/>
      <c r="O31" s="58">
        <f>IFERROR(IF(OR(ISBLANK(G31),ISBLANK(I31)),"",ABS(G31-I31)/VLOOKUP(C31,設定!$B$9:$D$23,2,FALSE)),"")</f>
        <v/>
      </c>
      <c r="P31" s="57">
        <f>IFERROR(IF(OR(ISBLANK(F31),ISBLANK(H31),ISBLANK(J31)),"",ABS(J31-F31)/ABS(F31-H31)),"")</f>
        <v/>
      </c>
      <c r="Q31" s="59">
        <f>IFERROR(IF(OR(ISBLANK(M31),ISBLANK(D31),ISBLANK(G31)),"",IF(D31="Long",(M31-G31),(G31-M31))/VLOOKUP(C31,設定!$B$9:$D$23,2,FALSE)),"")</f>
        <v/>
      </c>
      <c r="R31" s="60">
        <f>IFERROR(IF(OR(ISBLANK(Q31),O31=0),"",Q31/O31),"")</f>
        <v/>
      </c>
      <c r="S31" s="60">
        <f>IFERROR(IF(ISBLANK(R31),S30,IF(ISNUMBER(S30),S30,0)+R31),"")</f>
        <v/>
      </c>
      <c r="T31" s="61">
        <f>IFERROR(IF(OR(ISBLANK(Q31),ISBLANK(L31)),"",Q31*L31*VLOOKUP(C31,設定!$B$9:$D$23,3,FALSE)),"")</f>
        <v/>
      </c>
      <c r="U31" s="55" t="n"/>
      <c r="V31" s="55" t="n"/>
    </row>
    <row r="32">
      <c r="A32" s="44">
        <f>IF(ISBLANK(B32),"",COUNTA($B$18:B32))</f>
        <v/>
      </c>
      <c r="B32" s="45" t="n"/>
      <c r="C32" s="46" t="n"/>
      <c r="D32" s="46" t="n"/>
      <c r="E32" s="44" t="n"/>
      <c r="F32" s="47" t="n"/>
      <c r="G32" s="47" t="n"/>
      <c r="H32" s="47" t="n"/>
      <c r="I32" s="47" t="n"/>
      <c r="J32" s="47" t="n"/>
      <c r="K32" s="47" t="n"/>
      <c r="L32" s="48" t="n"/>
      <c r="M32" s="47" t="n"/>
      <c r="N32" s="46" t="n"/>
      <c r="O32" s="49">
        <f>IFERROR(IF(OR(ISBLANK(G32),ISBLANK(I32)),"",ABS(G32-I32)/VLOOKUP(C32,設定!$B$9:$D$23,2,FALSE)),"")</f>
        <v/>
      </c>
      <c r="P32" s="48">
        <f>IFERROR(IF(OR(ISBLANK(F32),ISBLANK(H32),ISBLANK(J32)),"",ABS(J32-F32)/ABS(F32-H32)),"")</f>
        <v/>
      </c>
      <c r="Q32" s="50">
        <f>IFERROR(IF(OR(ISBLANK(M32),ISBLANK(D32),ISBLANK(G32)),"",IF(D32="Long",(M32-G32),(G32-M32))/VLOOKUP(C32,設定!$B$9:$D$23,2,FALSE)),"")</f>
        <v/>
      </c>
      <c r="R32" s="51">
        <f>IFERROR(IF(OR(ISBLANK(Q32),O32=0),"",Q32/O32),"")</f>
        <v/>
      </c>
      <c r="S32" s="51">
        <f>IFERROR(IF(ISBLANK(R32),S31,IF(ISNUMBER(S31),S31,0)+R32),"")</f>
        <v/>
      </c>
      <c r="T32" s="52">
        <f>IFERROR(IF(OR(ISBLANK(Q32),ISBLANK(L32)),"",Q32*L32*VLOOKUP(C32,設定!$B$9:$D$23,3,FALSE)),"")</f>
        <v/>
      </c>
      <c r="U32" s="46" t="n"/>
      <c r="V32" s="46" t="n"/>
    </row>
    <row r="33">
      <c r="A33" s="53">
        <f>IF(ISBLANK(B33),"",COUNTA($B$18:B33))</f>
        <v/>
      </c>
      <c r="B33" s="54" t="n"/>
      <c r="C33" s="55" t="n"/>
      <c r="D33" s="55" t="n"/>
      <c r="E33" s="53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5" t="n"/>
      <c r="O33" s="58">
        <f>IFERROR(IF(OR(ISBLANK(G33),ISBLANK(I33)),"",ABS(G33-I33)/VLOOKUP(C33,設定!$B$9:$D$23,2,FALSE)),"")</f>
        <v/>
      </c>
      <c r="P33" s="57">
        <f>IFERROR(IF(OR(ISBLANK(F33),ISBLANK(H33),ISBLANK(J33)),"",ABS(J33-F33)/ABS(F33-H33)),"")</f>
        <v/>
      </c>
      <c r="Q33" s="59">
        <f>IFERROR(IF(OR(ISBLANK(M33),ISBLANK(D33),ISBLANK(G33)),"",IF(D33="Long",(M33-G33),(G33-M33))/VLOOKUP(C33,設定!$B$9:$D$23,2,FALSE)),"")</f>
        <v/>
      </c>
      <c r="R33" s="60">
        <f>IFERROR(IF(OR(ISBLANK(Q33),O33=0),"",Q33/O33),"")</f>
        <v/>
      </c>
      <c r="S33" s="60">
        <f>IFERROR(IF(ISBLANK(R33),S32,IF(ISNUMBER(S32),S32,0)+R33),"")</f>
        <v/>
      </c>
      <c r="T33" s="61">
        <f>IFERROR(IF(OR(ISBLANK(Q33),ISBLANK(L33)),"",Q33*L33*VLOOKUP(C33,設定!$B$9:$D$23,3,FALSE)),"")</f>
        <v/>
      </c>
      <c r="U33" s="55" t="n"/>
      <c r="V33" s="55" t="n"/>
    </row>
    <row r="34">
      <c r="A34" s="44">
        <f>IF(ISBLANK(B34),"",COUNTA($B$18:B34))</f>
        <v/>
      </c>
      <c r="B34" s="45" t="n"/>
      <c r="C34" s="46" t="n"/>
      <c r="D34" s="46" t="n"/>
      <c r="E34" s="44" t="n"/>
      <c r="F34" s="47" t="n"/>
      <c r="G34" s="47" t="n"/>
      <c r="H34" s="47" t="n"/>
      <c r="I34" s="47" t="n"/>
      <c r="J34" s="47" t="n"/>
      <c r="K34" s="47" t="n"/>
      <c r="L34" s="48" t="n"/>
      <c r="M34" s="47" t="n"/>
      <c r="N34" s="46" t="n"/>
      <c r="O34" s="49">
        <f>IFERROR(IF(OR(ISBLANK(G34),ISBLANK(I34)),"",ABS(G34-I34)/VLOOKUP(C34,設定!$B$9:$D$23,2,FALSE)),"")</f>
        <v/>
      </c>
      <c r="P34" s="48">
        <f>IFERROR(IF(OR(ISBLANK(F34),ISBLANK(H34),ISBLANK(J34)),"",ABS(J34-F34)/ABS(F34-H34)),"")</f>
        <v/>
      </c>
      <c r="Q34" s="50">
        <f>IFERROR(IF(OR(ISBLANK(M34),ISBLANK(D34),ISBLANK(G34)),"",IF(D34="Long",(M34-G34),(G34-M34))/VLOOKUP(C34,設定!$B$9:$D$23,2,FALSE)),"")</f>
        <v/>
      </c>
      <c r="R34" s="51">
        <f>IFERROR(IF(OR(ISBLANK(Q34),O34=0),"",Q34/O34),"")</f>
        <v/>
      </c>
      <c r="S34" s="51">
        <f>IFERROR(IF(ISBLANK(R34),S33,IF(ISNUMBER(S33),S33,0)+R34),"")</f>
        <v/>
      </c>
      <c r="T34" s="52">
        <f>IFERROR(IF(OR(ISBLANK(Q34),ISBLANK(L34)),"",Q34*L34*VLOOKUP(C34,設定!$B$9:$D$23,3,FALSE)),"")</f>
        <v/>
      </c>
      <c r="U34" s="46" t="n"/>
      <c r="V34" s="46" t="n"/>
    </row>
    <row r="35">
      <c r="A35" s="53">
        <f>IF(ISBLANK(B35),"",COUNTA($B$18:B35))</f>
        <v/>
      </c>
      <c r="B35" s="54" t="n"/>
      <c r="C35" s="55" t="n"/>
      <c r="D35" s="55" t="n"/>
      <c r="E35" s="53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5" t="n"/>
      <c r="O35" s="58">
        <f>IFERROR(IF(OR(ISBLANK(G35),ISBLANK(I35)),"",ABS(G35-I35)/VLOOKUP(C35,設定!$B$9:$D$23,2,FALSE)),"")</f>
        <v/>
      </c>
      <c r="P35" s="57">
        <f>IFERROR(IF(OR(ISBLANK(F35),ISBLANK(H35),ISBLANK(J35)),"",ABS(J35-F35)/ABS(F35-H35)),"")</f>
        <v/>
      </c>
      <c r="Q35" s="59">
        <f>IFERROR(IF(OR(ISBLANK(M35),ISBLANK(D35),ISBLANK(G35)),"",IF(D35="Long",(M35-G35),(G35-M35))/VLOOKUP(C35,設定!$B$9:$D$23,2,FALSE)),"")</f>
        <v/>
      </c>
      <c r="R35" s="60">
        <f>IFERROR(IF(OR(ISBLANK(Q35),O35=0),"",Q35/O35),"")</f>
        <v/>
      </c>
      <c r="S35" s="60">
        <f>IFERROR(IF(ISBLANK(R35),S34,IF(ISNUMBER(S34),S34,0)+R35),"")</f>
        <v/>
      </c>
      <c r="T35" s="61">
        <f>IFERROR(IF(OR(ISBLANK(Q35),ISBLANK(L35)),"",Q35*L35*VLOOKUP(C35,設定!$B$9:$D$23,3,FALSE)),"")</f>
        <v/>
      </c>
      <c r="U35" s="55" t="n"/>
      <c r="V35" s="55" t="n"/>
    </row>
    <row r="36">
      <c r="A36" s="44">
        <f>IF(ISBLANK(B36),"",COUNTA($B$18:B36))</f>
        <v/>
      </c>
      <c r="B36" s="45" t="n"/>
      <c r="C36" s="46" t="n"/>
      <c r="D36" s="46" t="n"/>
      <c r="E36" s="44" t="n"/>
      <c r="F36" s="47" t="n"/>
      <c r="G36" s="47" t="n"/>
      <c r="H36" s="47" t="n"/>
      <c r="I36" s="47" t="n"/>
      <c r="J36" s="47" t="n"/>
      <c r="K36" s="47" t="n"/>
      <c r="L36" s="48" t="n"/>
      <c r="M36" s="47" t="n"/>
      <c r="N36" s="46" t="n"/>
      <c r="O36" s="49">
        <f>IFERROR(IF(OR(ISBLANK(G36),ISBLANK(I36)),"",ABS(G36-I36)/VLOOKUP(C36,設定!$B$9:$D$23,2,FALSE)),"")</f>
        <v/>
      </c>
      <c r="P36" s="48">
        <f>IFERROR(IF(OR(ISBLANK(F36),ISBLANK(H36),ISBLANK(J36)),"",ABS(J36-F36)/ABS(F36-H36)),"")</f>
        <v/>
      </c>
      <c r="Q36" s="50">
        <f>IFERROR(IF(OR(ISBLANK(M36),ISBLANK(D36),ISBLANK(G36)),"",IF(D36="Long",(M36-G36),(G36-M36))/VLOOKUP(C36,設定!$B$9:$D$23,2,FALSE)),"")</f>
        <v/>
      </c>
      <c r="R36" s="51">
        <f>IFERROR(IF(OR(ISBLANK(Q36),O36=0),"",Q36/O36),"")</f>
        <v/>
      </c>
      <c r="S36" s="51">
        <f>IFERROR(IF(ISBLANK(R36),S35,IF(ISNUMBER(S35),S35,0)+R36),"")</f>
        <v/>
      </c>
      <c r="T36" s="52">
        <f>IFERROR(IF(OR(ISBLANK(Q36),ISBLANK(L36)),"",Q36*L36*VLOOKUP(C36,設定!$B$9:$D$23,3,FALSE)),"")</f>
        <v/>
      </c>
      <c r="U36" s="46" t="n"/>
      <c r="V36" s="46" t="n"/>
    </row>
    <row r="37">
      <c r="A37" s="53">
        <f>IF(ISBLANK(B37),"",COUNTA($B$18:B37))</f>
        <v/>
      </c>
      <c r="B37" s="54" t="n"/>
      <c r="C37" s="55" t="n"/>
      <c r="D37" s="55" t="n"/>
      <c r="E37" s="53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5" t="n"/>
      <c r="O37" s="58">
        <f>IFERROR(IF(OR(ISBLANK(G37),ISBLANK(I37)),"",ABS(G37-I37)/VLOOKUP(C37,設定!$B$9:$D$23,2,FALSE)),"")</f>
        <v/>
      </c>
      <c r="P37" s="57">
        <f>IFERROR(IF(OR(ISBLANK(F37),ISBLANK(H37),ISBLANK(J37)),"",ABS(J37-F37)/ABS(F37-H37)),"")</f>
        <v/>
      </c>
      <c r="Q37" s="59">
        <f>IFERROR(IF(OR(ISBLANK(M37),ISBLANK(D37),ISBLANK(G37)),"",IF(D37="Long",(M37-G37),(G37-M37))/VLOOKUP(C37,設定!$B$9:$D$23,2,FALSE)),"")</f>
        <v/>
      </c>
      <c r="R37" s="60">
        <f>IFERROR(IF(OR(ISBLANK(Q37),O37=0),"",Q37/O37),"")</f>
        <v/>
      </c>
      <c r="S37" s="60">
        <f>IFERROR(IF(ISBLANK(R37),S36,IF(ISNUMBER(S36),S36,0)+R37),"")</f>
        <v/>
      </c>
      <c r="T37" s="61">
        <f>IFERROR(IF(OR(ISBLANK(Q37),ISBLANK(L37)),"",Q37*L37*VLOOKUP(C37,設定!$B$9:$D$23,3,FALSE)),"")</f>
        <v/>
      </c>
      <c r="U37" s="55" t="n"/>
      <c r="V37" s="55" t="n"/>
    </row>
    <row r="38">
      <c r="A38" s="44">
        <f>IF(ISBLANK(B38),"",COUNTA($B$18:B38))</f>
        <v/>
      </c>
      <c r="B38" s="45" t="n"/>
      <c r="C38" s="46" t="n"/>
      <c r="D38" s="46" t="n"/>
      <c r="E38" s="44" t="n"/>
      <c r="F38" s="47" t="n"/>
      <c r="G38" s="47" t="n"/>
      <c r="H38" s="47" t="n"/>
      <c r="I38" s="47" t="n"/>
      <c r="J38" s="47" t="n"/>
      <c r="K38" s="47" t="n"/>
      <c r="L38" s="48" t="n"/>
      <c r="M38" s="47" t="n"/>
      <c r="N38" s="46" t="n"/>
      <c r="O38" s="49">
        <f>IFERROR(IF(OR(ISBLANK(G38),ISBLANK(I38)),"",ABS(G38-I38)/VLOOKUP(C38,設定!$B$9:$D$23,2,FALSE)),"")</f>
        <v/>
      </c>
      <c r="P38" s="48">
        <f>IFERROR(IF(OR(ISBLANK(F38),ISBLANK(H38),ISBLANK(J38)),"",ABS(J38-F38)/ABS(F38-H38)),"")</f>
        <v/>
      </c>
      <c r="Q38" s="50">
        <f>IFERROR(IF(OR(ISBLANK(M38),ISBLANK(D38),ISBLANK(G38)),"",IF(D38="Long",(M38-G38),(G38-M38))/VLOOKUP(C38,設定!$B$9:$D$23,2,FALSE)),"")</f>
        <v/>
      </c>
      <c r="R38" s="51">
        <f>IFERROR(IF(OR(ISBLANK(Q38),O38=0),"",Q38/O38),"")</f>
        <v/>
      </c>
      <c r="S38" s="51">
        <f>IFERROR(IF(ISBLANK(R38),S37,IF(ISNUMBER(S37),S37,0)+R38),"")</f>
        <v/>
      </c>
      <c r="T38" s="52">
        <f>IFERROR(IF(OR(ISBLANK(Q38),ISBLANK(L38)),"",Q38*L38*VLOOKUP(C38,設定!$B$9:$D$23,3,FALSE)),"")</f>
        <v/>
      </c>
      <c r="U38" s="46" t="n"/>
      <c r="V38" s="46" t="n"/>
    </row>
    <row r="39">
      <c r="A39" s="53">
        <f>IF(ISBLANK(B39),"",COUNTA($B$18:B39))</f>
        <v/>
      </c>
      <c r="B39" s="54" t="n"/>
      <c r="C39" s="55" t="n"/>
      <c r="D39" s="55" t="n"/>
      <c r="E39" s="53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5" t="n"/>
      <c r="O39" s="58">
        <f>IFERROR(IF(OR(ISBLANK(G39),ISBLANK(I39)),"",ABS(G39-I39)/VLOOKUP(C39,設定!$B$9:$D$23,2,FALSE)),"")</f>
        <v/>
      </c>
      <c r="P39" s="57">
        <f>IFERROR(IF(OR(ISBLANK(F39),ISBLANK(H39),ISBLANK(J39)),"",ABS(J39-F39)/ABS(F39-H39)),"")</f>
        <v/>
      </c>
      <c r="Q39" s="59">
        <f>IFERROR(IF(OR(ISBLANK(M39),ISBLANK(D39),ISBLANK(G39)),"",IF(D39="Long",(M39-G39),(G39-M39))/VLOOKUP(C39,設定!$B$9:$D$23,2,FALSE)),"")</f>
        <v/>
      </c>
      <c r="R39" s="60">
        <f>IFERROR(IF(OR(ISBLANK(Q39),O39=0),"",Q39/O39),"")</f>
        <v/>
      </c>
      <c r="S39" s="60">
        <f>IFERROR(IF(ISBLANK(R39),S38,IF(ISNUMBER(S38),S38,0)+R39),"")</f>
        <v/>
      </c>
      <c r="T39" s="61">
        <f>IFERROR(IF(OR(ISBLANK(Q39),ISBLANK(L39)),"",Q39*L39*VLOOKUP(C39,設定!$B$9:$D$23,3,FALSE)),"")</f>
        <v/>
      </c>
      <c r="U39" s="55" t="n"/>
      <c r="V39" s="55" t="n"/>
    </row>
    <row r="40">
      <c r="A40" s="44">
        <f>IF(ISBLANK(B40),"",COUNTA($B$18:B40))</f>
        <v/>
      </c>
      <c r="B40" s="45" t="n"/>
      <c r="C40" s="46" t="n"/>
      <c r="D40" s="46" t="n"/>
      <c r="E40" s="44" t="n"/>
      <c r="F40" s="47" t="n"/>
      <c r="G40" s="47" t="n"/>
      <c r="H40" s="47" t="n"/>
      <c r="I40" s="47" t="n"/>
      <c r="J40" s="47" t="n"/>
      <c r="K40" s="47" t="n"/>
      <c r="L40" s="48" t="n"/>
      <c r="M40" s="47" t="n"/>
      <c r="N40" s="46" t="n"/>
      <c r="O40" s="49">
        <f>IFERROR(IF(OR(ISBLANK(G40),ISBLANK(I40)),"",ABS(G40-I40)/VLOOKUP(C40,設定!$B$9:$D$23,2,FALSE)),"")</f>
        <v/>
      </c>
      <c r="P40" s="48">
        <f>IFERROR(IF(OR(ISBLANK(F40),ISBLANK(H40),ISBLANK(J40)),"",ABS(J40-F40)/ABS(F40-H40)),"")</f>
        <v/>
      </c>
      <c r="Q40" s="50">
        <f>IFERROR(IF(OR(ISBLANK(M40),ISBLANK(D40),ISBLANK(G40)),"",IF(D40="Long",(M40-G40),(G40-M40))/VLOOKUP(C40,設定!$B$9:$D$23,2,FALSE)),"")</f>
        <v/>
      </c>
      <c r="R40" s="51">
        <f>IFERROR(IF(OR(ISBLANK(Q40),O40=0),"",Q40/O40),"")</f>
        <v/>
      </c>
      <c r="S40" s="51">
        <f>IFERROR(IF(ISBLANK(R40),S39,IF(ISNUMBER(S39),S39,0)+R40),"")</f>
        <v/>
      </c>
      <c r="T40" s="52">
        <f>IFERROR(IF(OR(ISBLANK(Q40),ISBLANK(L40)),"",Q40*L40*VLOOKUP(C40,設定!$B$9:$D$23,3,FALSE)),"")</f>
        <v/>
      </c>
      <c r="U40" s="46" t="n"/>
      <c r="V40" s="46" t="n"/>
    </row>
    <row r="41">
      <c r="A41" s="53">
        <f>IF(ISBLANK(B41),"",COUNTA($B$18:B41))</f>
        <v/>
      </c>
      <c r="B41" s="54" t="n"/>
      <c r="C41" s="55" t="n"/>
      <c r="D41" s="55" t="n"/>
      <c r="E41" s="53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5" t="n"/>
      <c r="O41" s="58">
        <f>IFERROR(IF(OR(ISBLANK(G41),ISBLANK(I41)),"",ABS(G41-I41)/VLOOKUP(C41,設定!$B$9:$D$23,2,FALSE)),"")</f>
        <v/>
      </c>
      <c r="P41" s="57">
        <f>IFERROR(IF(OR(ISBLANK(F41),ISBLANK(H41),ISBLANK(J41)),"",ABS(J41-F41)/ABS(F41-H41)),"")</f>
        <v/>
      </c>
      <c r="Q41" s="59">
        <f>IFERROR(IF(OR(ISBLANK(M41),ISBLANK(D41),ISBLANK(G41)),"",IF(D41="Long",(M41-G41),(G41-M41))/VLOOKUP(C41,設定!$B$9:$D$23,2,FALSE)),"")</f>
        <v/>
      </c>
      <c r="R41" s="60">
        <f>IFERROR(IF(OR(ISBLANK(Q41),O41=0),"",Q41/O41),"")</f>
        <v/>
      </c>
      <c r="S41" s="60">
        <f>IFERROR(IF(ISBLANK(R41),S40,IF(ISNUMBER(S40),S40,0)+R41),"")</f>
        <v/>
      </c>
      <c r="T41" s="61">
        <f>IFERROR(IF(OR(ISBLANK(Q41),ISBLANK(L41)),"",Q41*L41*VLOOKUP(C41,設定!$B$9:$D$23,3,FALSE)),"")</f>
        <v/>
      </c>
      <c r="U41" s="55" t="n"/>
      <c r="V41" s="55" t="n"/>
    </row>
    <row r="42">
      <c r="A42" s="44">
        <f>IF(ISBLANK(B42),"",COUNTA($B$18:B42))</f>
        <v/>
      </c>
      <c r="B42" s="45" t="n"/>
      <c r="C42" s="46" t="n"/>
      <c r="D42" s="46" t="n"/>
      <c r="E42" s="44" t="n"/>
      <c r="F42" s="47" t="n"/>
      <c r="G42" s="47" t="n"/>
      <c r="H42" s="47" t="n"/>
      <c r="I42" s="47" t="n"/>
      <c r="J42" s="47" t="n"/>
      <c r="K42" s="47" t="n"/>
      <c r="L42" s="48" t="n"/>
      <c r="M42" s="47" t="n"/>
      <c r="N42" s="46" t="n"/>
      <c r="O42" s="49">
        <f>IFERROR(IF(OR(ISBLANK(G42),ISBLANK(I42)),"",ABS(G42-I42)/VLOOKUP(C42,設定!$B$9:$D$23,2,FALSE)),"")</f>
        <v/>
      </c>
      <c r="P42" s="48">
        <f>IFERROR(IF(OR(ISBLANK(F42),ISBLANK(H42),ISBLANK(J42)),"",ABS(J42-F42)/ABS(F42-H42)),"")</f>
        <v/>
      </c>
      <c r="Q42" s="50">
        <f>IFERROR(IF(OR(ISBLANK(M42),ISBLANK(D42),ISBLANK(G42)),"",IF(D42="Long",(M42-G42),(G42-M42))/VLOOKUP(C42,設定!$B$9:$D$23,2,FALSE)),"")</f>
        <v/>
      </c>
      <c r="R42" s="51">
        <f>IFERROR(IF(OR(ISBLANK(Q42),O42=0),"",Q42/O42),"")</f>
        <v/>
      </c>
      <c r="S42" s="51">
        <f>IFERROR(IF(ISBLANK(R42),S41,IF(ISNUMBER(S41),S41,0)+R42),"")</f>
        <v/>
      </c>
      <c r="T42" s="52">
        <f>IFERROR(IF(OR(ISBLANK(Q42),ISBLANK(L42)),"",Q42*L42*VLOOKUP(C42,設定!$B$9:$D$23,3,FALSE)),"")</f>
        <v/>
      </c>
      <c r="U42" s="46" t="n"/>
      <c r="V42" s="46" t="n"/>
    </row>
    <row r="43">
      <c r="A43" s="53">
        <f>IF(ISBLANK(B43),"",COUNTA($B$18:B43))</f>
        <v/>
      </c>
      <c r="B43" s="54" t="n"/>
      <c r="C43" s="55" t="n"/>
      <c r="D43" s="55" t="n"/>
      <c r="E43" s="53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5" t="n"/>
      <c r="O43" s="58">
        <f>IFERROR(IF(OR(ISBLANK(G43),ISBLANK(I43)),"",ABS(G43-I43)/VLOOKUP(C43,設定!$B$9:$D$23,2,FALSE)),"")</f>
        <v/>
      </c>
      <c r="P43" s="57">
        <f>IFERROR(IF(OR(ISBLANK(F43),ISBLANK(H43),ISBLANK(J43)),"",ABS(J43-F43)/ABS(F43-H43)),"")</f>
        <v/>
      </c>
      <c r="Q43" s="59">
        <f>IFERROR(IF(OR(ISBLANK(M43),ISBLANK(D43),ISBLANK(G43)),"",IF(D43="Long",(M43-G43),(G43-M43))/VLOOKUP(C43,設定!$B$9:$D$23,2,FALSE)),"")</f>
        <v/>
      </c>
      <c r="R43" s="60">
        <f>IFERROR(IF(OR(ISBLANK(Q43),O43=0),"",Q43/O43),"")</f>
        <v/>
      </c>
      <c r="S43" s="60">
        <f>IFERROR(IF(ISBLANK(R43),S42,IF(ISNUMBER(S42),S42,0)+R43),"")</f>
        <v/>
      </c>
      <c r="T43" s="61">
        <f>IFERROR(IF(OR(ISBLANK(Q43),ISBLANK(L43)),"",Q43*L43*VLOOKUP(C43,設定!$B$9:$D$23,3,FALSE)),"")</f>
        <v/>
      </c>
      <c r="U43" s="55" t="n"/>
      <c r="V43" s="55" t="n"/>
    </row>
    <row r="44">
      <c r="A44" s="44">
        <f>IF(ISBLANK(B44),"",COUNTA($B$18:B44))</f>
        <v/>
      </c>
      <c r="B44" s="45" t="n"/>
      <c r="C44" s="46" t="n"/>
      <c r="D44" s="46" t="n"/>
      <c r="E44" s="44" t="n"/>
      <c r="F44" s="47" t="n"/>
      <c r="G44" s="47" t="n"/>
      <c r="H44" s="47" t="n"/>
      <c r="I44" s="47" t="n"/>
      <c r="J44" s="47" t="n"/>
      <c r="K44" s="47" t="n"/>
      <c r="L44" s="48" t="n"/>
      <c r="M44" s="47" t="n"/>
      <c r="N44" s="46" t="n"/>
      <c r="O44" s="49">
        <f>IFERROR(IF(OR(ISBLANK(G44),ISBLANK(I44)),"",ABS(G44-I44)/VLOOKUP(C44,設定!$B$9:$D$23,2,FALSE)),"")</f>
        <v/>
      </c>
      <c r="P44" s="48">
        <f>IFERROR(IF(OR(ISBLANK(F44),ISBLANK(H44),ISBLANK(J44)),"",ABS(J44-F44)/ABS(F44-H44)),"")</f>
        <v/>
      </c>
      <c r="Q44" s="50">
        <f>IFERROR(IF(OR(ISBLANK(M44),ISBLANK(D44),ISBLANK(G44)),"",IF(D44="Long",(M44-G44),(G44-M44))/VLOOKUP(C44,設定!$B$9:$D$23,2,FALSE)),"")</f>
        <v/>
      </c>
      <c r="R44" s="51">
        <f>IFERROR(IF(OR(ISBLANK(Q44),O44=0),"",Q44/O44),"")</f>
        <v/>
      </c>
      <c r="S44" s="51">
        <f>IFERROR(IF(ISBLANK(R44),S43,IF(ISNUMBER(S43),S43,0)+R44),"")</f>
        <v/>
      </c>
      <c r="T44" s="52">
        <f>IFERROR(IF(OR(ISBLANK(Q44),ISBLANK(L44)),"",Q44*L44*VLOOKUP(C44,設定!$B$9:$D$23,3,FALSE)),"")</f>
        <v/>
      </c>
      <c r="U44" s="46" t="n"/>
      <c r="V44" s="46" t="n"/>
    </row>
    <row r="45">
      <c r="A45" s="53">
        <f>IF(ISBLANK(B45),"",COUNTA($B$18:B45))</f>
        <v/>
      </c>
      <c r="B45" s="54" t="n"/>
      <c r="C45" s="55" t="n"/>
      <c r="D45" s="55" t="n"/>
      <c r="E45" s="53" t="n"/>
      <c r="F45" s="56" t="n"/>
      <c r="G45" s="56" t="n"/>
      <c r="H45" s="56" t="n"/>
      <c r="I45" s="56" t="n"/>
      <c r="J45" s="56" t="n"/>
      <c r="K45" s="56" t="n"/>
      <c r="L45" s="57" t="n"/>
      <c r="M45" s="56" t="n"/>
      <c r="N45" s="55" t="n"/>
      <c r="O45" s="58">
        <f>IFERROR(IF(OR(ISBLANK(G45),ISBLANK(I45)),"",ABS(G45-I45)/VLOOKUP(C45,設定!$B$9:$D$23,2,FALSE)),"")</f>
        <v/>
      </c>
      <c r="P45" s="57">
        <f>IFERROR(IF(OR(ISBLANK(F45),ISBLANK(H45),ISBLANK(J45)),"",ABS(J45-F45)/ABS(F45-H45)),"")</f>
        <v/>
      </c>
      <c r="Q45" s="59">
        <f>IFERROR(IF(OR(ISBLANK(M45),ISBLANK(D45),ISBLANK(G45)),"",IF(D45="Long",(M45-G45),(G45-M45))/VLOOKUP(C45,設定!$B$9:$D$23,2,FALSE)),"")</f>
        <v/>
      </c>
      <c r="R45" s="60">
        <f>IFERROR(IF(OR(ISBLANK(Q45),O45=0),"",Q45/O45),"")</f>
        <v/>
      </c>
      <c r="S45" s="60">
        <f>IFERROR(IF(ISBLANK(R45),S44,IF(ISNUMBER(S44),S44,0)+R45),"")</f>
        <v/>
      </c>
      <c r="T45" s="61">
        <f>IFERROR(IF(OR(ISBLANK(Q45),ISBLANK(L45)),"",Q45*L45*VLOOKUP(C45,設定!$B$9:$D$23,3,FALSE)),"")</f>
        <v/>
      </c>
      <c r="U45" s="55" t="n"/>
      <c r="V45" s="55" t="n"/>
    </row>
    <row r="46">
      <c r="A46" s="44">
        <f>IF(ISBLANK(B46),"",COUNTA($B$18:B46))</f>
        <v/>
      </c>
      <c r="B46" s="45" t="n"/>
      <c r="C46" s="46" t="n"/>
      <c r="D46" s="46" t="n"/>
      <c r="E46" s="44" t="n"/>
      <c r="F46" s="47" t="n"/>
      <c r="G46" s="47" t="n"/>
      <c r="H46" s="47" t="n"/>
      <c r="I46" s="47" t="n"/>
      <c r="J46" s="47" t="n"/>
      <c r="K46" s="47" t="n"/>
      <c r="L46" s="48" t="n"/>
      <c r="M46" s="47" t="n"/>
      <c r="N46" s="46" t="n"/>
      <c r="O46" s="49">
        <f>IFERROR(IF(OR(ISBLANK(G46),ISBLANK(I46)),"",ABS(G46-I46)/VLOOKUP(C46,設定!$B$9:$D$23,2,FALSE)),"")</f>
        <v/>
      </c>
      <c r="P46" s="48">
        <f>IFERROR(IF(OR(ISBLANK(F46),ISBLANK(H46),ISBLANK(J46)),"",ABS(J46-F46)/ABS(F46-H46)),"")</f>
        <v/>
      </c>
      <c r="Q46" s="50">
        <f>IFERROR(IF(OR(ISBLANK(M46),ISBLANK(D46),ISBLANK(G46)),"",IF(D46="Long",(M46-G46),(G46-M46))/VLOOKUP(C46,設定!$B$9:$D$23,2,FALSE)),"")</f>
        <v/>
      </c>
      <c r="R46" s="51">
        <f>IFERROR(IF(OR(ISBLANK(Q46),O46=0),"",Q46/O46),"")</f>
        <v/>
      </c>
      <c r="S46" s="51">
        <f>IFERROR(IF(ISBLANK(R46),S45,IF(ISNUMBER(S45),S45,0)+R46),"")</f>
        <v/>
      </c>
      <c r="T46" s="52">
        <f>IFERROR(IF(OR(ISBLANK(Q46),ISBLANK(L46)),"",Q46*L46*VLOOKUP(C46,設定!$B$9:$D$23,3,FALSE)),"")</f>
        <v/>
      </c>
      <c r="U46" s="46" t="n"/>
      <c r="V46" s="46" t="n"/>
    </row>
    <row r="47">
      <c r="A47" s="53">
        <f>IF(ISBLANK(B47),"",COUNTA($B$18:B47))</f>
        <v/>
      </c>
      <c r="B47" s="54" t="n"/>
      <c r="C47" s="55" t="n"/>
      <c r="D47" s="55" t="n"/>
      <c r="E47" s="53" t="n"/>
      <c r="F47" s="56" t="n"/>
      <c r="G47" s="56" t="n"/>
      <c r="H47" s="56" t="n"/>
      <c r="I47" s="56" t="n"/>
      <c r="J47" s="56" t="n"/>
      <c r="K47" s="56" t="n"/>
      <c r="L47" s="57" t="n"/>
      <c r="M47" s="56" t="n"/>
      <c r="N47" s="55" t="n"/>
      <c r="O47" s="58">
        <f>IFERROR(IF(OR(ISBLANK(G47),ISBLANK(I47)),"",ABS(G47-I47)/VLOOKUP(C47,設定!$B$9:$D$23,2,FALSE)),"")</f>
        <v/>
      </c>
      <c r="P47" s="57">
        <f>IFERROR(IF(OR(ISBLANK(F47),ISBLANK(H47),ISBLANK(J47)),"",ABS(J47-F47)/ABS(F47-H47)),"")</f>
        <v/>
      </c>
      <c r="Q47" s="59">
        <f>IFERROR(IF(OR(ISBLANK(M47),ISBLANK(D47),ISBLANK(G47)),"",IF(D47="Long",(M47-G47),(G47-M47))/VLOOKUP(C47,設定!$B$9:$D$23,2,FALSE)),"")</f>
        <v/>
      </c>
      <c r="R47" s="60">
        <f>IFERROR(IF(OR(ISBLANK(Q47),O47=0),"",Q47/O47),"")</f>
        <v/>
      </c>
      <c r="S47" s="60">
        <f>IFERROR(IF(ISBLANK(R47),S46,IF(ISNUMBER(S46),S46,0)+R47),"")</f>
        <v/>
      </c>
      <c r="T47" s="61">
        <f>IFERROR(IF(OR(ISBLANK(Q47),ISBLANK(L47)),"",Q47*L47*VLOOKUP(C47,設定!$B$9:$D$23,3,FALSE)),"")</f>
        <v/>
      </c>
      <c r="U47" s="55" t="n"/>
      <c r="V47" s="55" t="n"/>
    </row>
    <row r="48">
      <c r="A48" s="44">
        <f>IF(ISBLANK(B48),"",COUNTA($B$18:B48))</f>
        <v/>
      </c>
      <c r="B48" s="45" t="n"/>
      <c r="C48" s="46" t="n"/>
      <c r="D48" s="46" t="n"/>
      <c r="E48" s="44" t="n"/>
      <c r="F48" s="47" t="n"/>
      <c r="G48" s="47" t="n"/>
      <c r="H48" s="47" t="n"/>
      <c r="I48" s="47" t="n"/>
      <c r="J48" s="47" t="n"/>
      <c r="K48" s="47" t="n"/>
      <c r="L48" s="48" t="n"/>
      <c r="M48" s="47" t="n"/>
      <c r="N48" s="46" t="n"/>
      <c r="O48" s="49">
        <f>IFERROR(IF(OR(ISBLANK(G48),ISBLANK(I48)),"",ABS(G48-I48)/VLOOKUP(C48,設定!$B$9:$D$23,2,FALSE)),"")</f>
        <v/>
      </c>
      <c r="P48" s="48">
        <f>IFERROR(IF(OR(ISBLANK(F48),ISBLANK(H48),ISBLANK(J48)),"",ABS(J48-F48)/ABS(F48-H48)),"")</f>
        <v/>
      </c>
      <c r="Q48" s="50">
        <f>IFERROR(IF(OR(ISBLANK(M48),ISBLANK(D48),ISBLANK(G48)),"",IF(D48="Long",(M48-G48),(G48-M48))/VLOOKUP(C48,設定!$B$9:$D$23,2,FALSE)),"")</f>
        <v/>
      </c>
      <c r="R48" s="51">
        <f>IFERROR(IF(OR(ISBLANK(Q48),O48=0),"",Q48/O48),"")</f>
        <v/>
      </c>
      <c r="S48" s="51">
        <f>IFERROR(IF(ISBLANK(R48),S47,IF(ISNUMBER(S47),S47,0)+R48),"")</f>
        <v/>
      </c>
      <c r="T48" s="52">
        <f>IFERROR(IF(OR(ISBLANK(Q48),ISBLANK(L48)),"",Q48*L48*VLOOKUP(C48,設定!$B$9:$D$23,3,FALSE)),"")</f>
        <v/>
      </c>
      <c r="U48" s="46" t="n"/>
      <c r="V48" s="46" t="n"/>
    </row>
    <row r="49">
      <c r="A49" s="53">
        <f>IF(ISBLANK(B49),"",COUNTA($B$18:B49))</f>
        <v/>
      </c>
      <c r="B49" s="54" t="n"/>
      <c r="C49" s="55" t="n"/>
      <c r="D49" s="55" t="n"/>
      <c r="E49" s="53" t="n"/>
      <c r="F49" s="56" t="n"/>
      <c r="G49" s="56" t="n"/>
      <c r="H49" s="56" t="n"/>
      <c r="I49" s="56" t="n"/>
      <c r="J49" s="56" t="n"/>
      <c r="K49" s="56" t="n"/>
      <c r="L49" s="57" t="n"/>
      <c r="M49" s="56" t="n"/>
      <c r="N49" s="55" t="n"/>
      <c r="O49" s="58">
        <f>IFERROR(IF(OR(ISBLANK(G49),ISBLANK(I49)),"",ABS(G49-I49)/VLOOKUP(C49,設定!$B$9:$D$23,2,FALSE)),"")</f>
        <v/>
      </c>
      <c r="P49" s="57">
        <f>IFERROR(IF(OR(ISBLANK(F49),ISBLANK(H49),ISBLANK(J49)),"",ABS(J49-F49)/ABS(F49-H49)),"")</f>
        <v/>
      </c>
      <c r="Q49" s="59">
        <f>IFERROR(IF(OR(ISBLANK(M49),ISBLANK(D49),ISBLANK(G49)),"",IF(D49="Long",(M49-G49),(G49-M49))/VLOOKUP(C49,設定!$B$9:$D$23,2,FALSE)),"")</f>
        <v/>
      </c>
      <c r="R49" s="60">
        <f>IFERROR(IF(OR(ISBLANK(Q49),O49=0),"",Q49/O49),"")</f>
        <v/>
      </c>
      <c r="S49" s="60">
        <f>IFERROR(IF(ISBLANK(R49),S48,IF(ISNUMBER(S48),S48,0)+R49),"")</f>
        <v/>
      </c>
      <c r="T49" s="61">
        <f>IFERROR(IF(OR(ISBLANK(Q49),ISBLANK(L49)),"",Q49*L49*VLOOKUP(C49,設定!$B$9:$D$23,3,FALSE)),"")</f>
        <v/>
      </c>
      <c r="U49" s="55" t="n"/>
      <c r="V49" s="55" t="n"/>
    </row>
    <row r="50">
      <c r="A50" s="44">
        <f>IF(ISBLANK(B50),"",COUNTA($B$18:B50))</f>
        <v/>
      </c>
      <c r="B50" s="45" t="n"/>
      <c r="C50" s="46" t="n"/>
      <c r="D50" s="46" t="n"/>
      <c r="E50" s="44" t="n"/>
      <c r="F50" s="47" t="n"/>
      <c r="G50" s="47" t="n"/>
      <c r="H50" s="47" t="n"/>
      <c r="I50" s="47" t="n"/>
      <c r="J50" s="47" t="n"/>
      <c r="K50" s="47" t="n"/>
      <c r="L50" s="48" t="n"/>
      <c r="M50" s="47" t="n"/>
      <c r="N50" s="46" t="n"/>
      <c r="O50" s="49">
        <f>IFERROR(IF(OR(ISBLANK(G50),ISBLANK(I50)),"",ABS(G50-I50)/VLOOKUP(C50,設定!$B$9:$D$23,2,FALSE)),"")</f>
        <v/>
      </c>
      <c r="P50" s="48">
        <f>IFERROR(IF(OR(ISBLANK(F50),ISBLANK(H50),ISBLANK(J50)),"",ABS(J50-F50)/ABS(F50-H50)),"")</f>
        <v/>
      </c>
      <c r="Q50" s="50">
        <f>IFERROR(IF(OR(ISBLANK(M50),ISBLANK(D50),ISBLANK(G50)),"",IF(D50="Long",(M50-G50),(G50-M50))/VLOOKUP(C50,設定!$B$9:$D$23,2,FALSE)),"")</f>
        <v/>
      </c>
      <c r="R50" s="51">
        <f>IFERROR(IF(OR(ISBLANK(Q50),O50=0),"",Q50/O50),"")</f>
        <v/>
      </c>
      <c r="S50" s="51">
        <f>IFERROR(IF(ISBLANK(R50),S49,IF(ISNUMBER(S49),S49,0)+R50),"")</f>
        <v/>
      </c>
      <c r="T50" s="52">
        <f>IFERROR(IF(OR(ISBLANK(Q50),ISBLANK(L50)),"",Q50*L50*VLOOKUP(C50,設定!$B$9:$D$23,3,FALSE)),"")</f>
        <v/>
      </c>
      <c r="U50" s="46" t="n"/>
      <c r="V50" s="46" t="n"/>
    </row>
    <row r="51">
      <c r="A51" s="53">
        <f>IF(ISBLANK(B51),"",COUNTA($B$18:B51))</f>
        <v/>
      </c>
      <c r="B51" s="54" t="n"/>
      <c r="C51" s="55" t="n"/>
      <c r="D51" s="55" t="n"/>
      <c r="E51" s="53" t="n"/>
      <c r="F51" s="56" t="n"/>
      <c r="G51" s="56" t="n"/>
      <c r="H51" s="56" t="n"/>
      <c r="I51" s="56" t="n"/>
      <c r="J51" s="56" t="n"/>
      <c r="K51" s="56" t="n"/>
      <c r="L51" s="57" t="n"/>
      <c r="M51" s="56" t="n"/>
      <c r="N51" s="55" t="n"/>
      <c r="O51" s="58">
        <f>IFERROR(IF(OR(ISBLANK(G51),ISBLANK(I51)),"",ABS(G51-I51)/VLOOKUP(C51,設定!$B$9:$D$23,2,FALSE)),"")</f>
        <v/>
      </c>
      <c r="P51" s="57">
        <f>IFERROR(IF(OR(ISBLANK(F51),ISBLANK(H51),ISBLANK(J51)),"",ABS(J51-F51)/ABS(F51-H51)),"")</f>
        <v/>
      </c>
      <c r="Q51" s="59">
        <f>IFERROR(IF(OR(ISBLANK(M51),ISBLANK(D51),ISBLANK(G51)),"",IF(D51="Long",(M51-G51),(G51-M51))/VLOOKUP(C51,設定!$B$9:$D$23,2,FALSE)),"")</f>
        <v/>
      </c>
      <c r="R51" s="60">
        <f>IFERROR(IF(OR(ISBLANK(Q51),O51=0),"",Q51/O51),"")</f>
        <v/>
      </c>
      <c r="S51" s="60">
        <f>IFERROR(IF(ISBLANK(R51),S50,IF(ISNUMBER(S50),S50,0)+R51),"")</f>
        <v/>
      </c>
      <c r="T51" s="61">
        <f>IFERROR(IF(OR(ISBLANK(Q51),ISBLANK(L51)),"",Q51*L51*VLOOKUP(C51,設定!$B$9:$D$23,3,FALSE)),"")</f>
        <v/>
      </c>
      <c r="U51" s="55" t="n"/>
      <c r="V51" s="55" t="n"/>
    </row>
    <row r="52">
      <c r="A52" s="44">
        <f>IF(ISBLANK(B52),"",COUNTA($B$18:B52))</f>
        <v/>
      </c>
      <c r="B52" s="45" t="n"/>
      <c r="C52" s="46" t="n"/>
      <c r="D52" s="46" t="n"/>
      <c r="E52" s="44" t="n"/>
      <c r="F52" s="47" t="n"/>
      <c r="G52" s="47" t="n"/>
      <c r="H52" s="47" t="n"/>
      <c r="I52" s="47" t="n"/>
      <c r="J52" s="47" t="n"/>
      <c r="K52" s="47" t="n"/>
      <c r="L52" s="48" t="n"/>
      <c r="M52" s="47" t="n"/>
      <c r="N52" s="46" t="n"/>
      <c r="O52" s="49">
        <f>IFERROR(IF(OR(ISBLANK(G52),ISBLANK(I52)),"",ABS(G52-I52)/VLOOKUP(C52,設定!$B$9:$D$23,2,FALSE)),"")</f>
        <v/>
      </c>
      <c r="P52" s="48">
        <f>IFERROR(IF(OR(ISBLANK(F52),ISBLANK(H52),ISBLANK(J52)),"",ABS(J52-F52)/ABS(F52-H52)),"")</f>
        <v/>
      </c>
      <c r="Q52" s="50">
        <f>IFERROR(IF(OR(ISBLANK(M52),ISBLANK(D52),ISBLANK(G52)),"",IF(D52="Long",(M52-G52),(G52-M52))/VLOOKUP(C52,設定!$B$9:$D$23,2,FALSE)),"")</f>
        <v/>
      </c>
      <c r="R52" s="51">
        <f>IFERROR(IF(OR(ISBLANK(Q52),O52=0),"",Q52/O52),"")</f>
        <v/>
      </c>
      <c r="S52" s="51">
        <f>IFERROR(IF(ISBLANK(R52),S51,IF(ISNUMBER(S51),S51,0)+R52),"")</f>
        <v/>
      </c>
      <c r="T52" s="52">
        <f>IFERROR(IF(OR(ISBLANK(Q52),ISBLANK(L52)),"",Q52*L52*VLOOKUP(C52,設定!$B$9:$D$23,3,FALSE)),"")</f>
        <v/>
      </c>
      <c r="U52" s="46" t="n"/>
      <c r="V52" s="46" t="n"/>
    </row>
    <row r="53">
      <c r="A53" s="53">
        <f>IF(ISBLANK(B53),"",COUNTA($B$18:B53))</f>
        <v/>
      </c>
      <c r="B53" s="54" t="n"/>
      <c r="C53" s="55" t="n"/>
      <c r="D53" s="55" t="n"/>
      <c r="E53" s="53" t="n"/>
      <c r="F53" s="56" t="n"/>
      <c r="G53" s="56" t="n"/>
      <c r="H53" s="56" t="n"/>
      <c r="I53" s="56" t="n"/>
      <c r="J53" s="56" t="n"/>
      <c r="K53" s="56" t="n"/>
      <c r="L53" s="57" t="n"/>
      <c r="M53" s="56" t="n"/>
      <c r="N53" s="55" t="n"/>
      <c r="O53" s="58">
        <f>IFERROR(IF(OR(ISBLANK(G53),ISBLANK(I53)),"",ABS(G53-I53)/VLOOKUP(C53,設定!$B$9:$D$23,2,FALSE)),"")</f>
        <v/>
      </c>
      <c r="P53" s="57">
        <f>IFERROR(IF(OR(ISBLANK(F53),ISBLANK(H53),ISBLANK(J53)),"",ABS(J53-F53)/ABS(F53-H53)),"")</f>
        <v/>
      </c>
      <c r="Q53" s="59">
        <f>IFERROR(IF(OR(ISBLANK(M53),ISBLANK(D53),ISBLANK(G53)),"",IF(D53="Long",(M53-G53),(G53-M53))/VLOOKUP(C53,設定!$B$9:$D$23,2,FALSE)),"")</f>
        <v/>
      </c>
      <c r="R53" s="60">
        <f>IFERROR(IF(OR(ISBLANK(Q53),O53=0),"",Q53/O53),"")</f>
        <v/>
      </c>
      <c r="S53" s="60">
        <f>IFERROR(IF(ISBLANK(R53),S52,IF(ISNUMBER(S52),S52,0)+R53),"")</f>
        <v/>
      </c>
      <c r="T53" s="61">
        <f>IFERROR(IF(OR(ISBLANK(Q53),ISBLANK(L53)),"",Q53*L53*VLOOKUP(C53,設定!$B$9:$D$23,3,FALSE)),"")</f>
        <v/>
      </c>
      <c r="U53" s="55" t="n"/>
      <c r="V53" s="55" t="n"/>
    </row>
    <row r="54">
      <c r="A54" s="44">
        <f>IF(ISBLANK(B54),"",COUNTA($B$18:B54))</f>
        <v/>
      </c>
      <c r="B54" s="45" t="n"/>
      <c r="C54" s="46" t="n"/>
      <c r="D54" s="46" t="n"/>
      <c r="E54" s="44" t="n"/>
      <c r="F54" s="47" t="n"/>
      <c r="G54" s="47" t="n"/>
      <c r="H54" s="47" t="n"/>
      <c r="I54" s="47" t="n"/>
      <c r="J54" s="47" t="n"/>
      <c r="K54" s="47" t="n"/>
      <c r="L54" s="48" t="n"/>
      <c r="M54" s="47" t="n"/>
      <c r="N54" s="46" t="n"/>
      <c r="O54" s="49">
        <f>IFERROR(IF(OR(ISBLANK(G54),ISBLANK(I54)),"",ABS(G54-I54)/VLOOKUP(C54,設定!$B$9:$D$23,2,FALSE)),"")</f>
        <v/>
      </c>
      <c r="P54" s="48">
        <f>IFERROR(IF(OR(ISBLANK(F54),ISBLANK(H54),ISBLANK(J54)),"",ABS(J54-F54)/ABS(F54-H54)),"")</f>
        <v/>
      </c>
      <c r="Q54" s="50">
        <f>IFERROR(IF(OR(ISBLANK(M54),ISBLANK(D54),ISBLANK(G54)),"",IF(D54="Long",(M54-G54),(G54-M54))/VLOOKUP(C54,設定!$B$9:$D$23,2,FALSE)),"")</f>
        <v/>
      </c>
      <c r="R54" s="51">
        <f>IFERROR(IF(OR(ISBLANK(Q54),O54=0),"",Q54/O54),"")</f>
        <v/>
      </c>
      <c r="S54" s="51">
        <f>IFERROR(IF(ISBLANK(R54),S53,IF(ISNUMBER(S53),S53,0)+R54),"")</f>
        <v/>
      </c>
      <c r="T54" s="52">
        <f>IFERROR(IF(OR(ISBLANK(Q54),ISBLANK(L54)),"",Q54*L54*VLOOKUP(C54,設定!$B$9:$D$23,3,FALSE)),"")</f>
        <v/>
      </c>
      <c r="U54" s="46" t="n"/>
      <c r="V54" s="46" t="n"/>
    </row>
    <row r="55">
      <c r="A55" s="53">
        <f>IF(ISBLANK(B55),"",COUNTA($B$18:B55))</f>
        <v/>
      </c>
      <c r="B55" s="54" t="n"/>
      <c r="C55" s="55" t="n"/>
      <c r="D55" s="55" t="n"/>
      <c r="E55" s="53" t="n"/>
      <c r="F55" s="56" t="n"/>
      <c r="G55" s="56" t="n"/>
      <c r="H55" s="56" t="n"/>
      <c r="I55" s="56" t="n"/>
      <c r="J55" s="56" t="n"/>
      <c r="K55" s="56" t="n"/>
      <c r="L55" s="57" t="n"/>
      <c r="M55" s="56" t="n"/>
      <c r="N55" s="55" t="n"/>
      <c r="O55" s="58">
        <f>IFERROR(IF(OR(ISBLANK(G55),ISBLANK(I55)),"",ABS(G55-I55)/VLOOKUP(C55,設定!$B$9:$D$23,2,FALSE)),"")</f>
        <v/>
      </c>
      <c r="P55" s="57">
        <f>IFERROR(IF(OR(ISBLANK(F55),ISBLANK(H55),ISBLANK(J55)),"",ABS(J55-F55)/ABS(F55-H55)),"")</f>
        <v/>
      </c>
      <c r="Q55" s="59">
        <f>IFERROR(IF(OR(ISBLANK(M55),ISBLANK(D55),ISBLANK(G55)),"",IF(D55="Long",(M55-G55),(G55-M55))/VLOOKUP(C55,設定!$B$9:$D$23,2,FALSE)),"")</f>
        <v/>
      </c>
      <c r="R55" s="60">
        <f>IFERROR(IF(OR(ISBLANK(Q55),O55=0),"",Q55/O55),"")</f>
        <v/>
      </c>
      <c r="S55" s="60">
        <f>IFERROR(IF(ISBLANK(R55),S54,IF(ISNUMBER(S54),S54,0)+R55),"")</f>
        <v/>
      </c>
      <c r="T55" s="61">
        <f>IFERROR(IF(OR(ISBLANK(Q55),ISBLANK(L55)),"",Q55*L55*VLOOKUP(C55,設定!$B$9:$D$23,3,FALSE)),"")</f>
        <v/>
      </c>
      <c r="U55" s="55" t="n"/>
      <c r="V55" s="55" t="n"/>
    </row>
    <row r="56">
      <c r="A56" s="44">
        <f>IF(ISBLANK(B56),"",COUNTA($B$18:B56))</f>
        <v/>
      </c>
      <c r="B56" s="45" t="n"/>
      <c r="C56" s="46" t="n"/>
      <c r="D56" s="46" t="n"/>
      <c r="E56" s="44" t="n"/>
      <c r="F56" s="47" t="n"/>
      <c r="G56" s="47" t="n"/>
      <c r="H56" s="47" t="n"/>
      <c r="I56" s="47" t="n"/>
      <c r="J56" s="47" t="n"/>
      <c r="K56" s="47" t="n"/>
      <c r="L56" s="48" t="n"/>
      <c r="M56" s="47" t="n"/>
      <c r="N56" s="46" t="n"/>
      <c r="O56" s="49">
        <f>IFERROR(IF(OR(ISBLANK(G56),ISBLANK(I56)),"",ABS(G56-I56)/VLOOKUP(C56,設定!$B$9:$D$23,2,FALSE)),"")</f>
        <v/>
      </c>
      <c r="P56" s="48">
        <f>IFERROR(IF(OR(ISBLANK(F56),ISBLANK(H56),ISBLANK(J56)),"",ABS(J56-F56)/ABS(F56-H56)),"")</f>
        <v/>
      </c>
      <c r="Q56" s="50">
        <f>IFERROR(IF(OR(ISBLANK(M56),ISBLANK(D56),ISBLANK(G56)),"",IF(D56="Long",(M56-G56),(G56-M56))/VLOOKUP(C56,設定!$B$9:$D$23,2,FALSE)),"")</f>
        <v/>
      </c>
      <c r="R56" s="51">
        <f>IFERROR(IF(OR(ISBLANK(Q56),O56=0),"",Q56/O56),"")</f>
        <v/>
      </c>
      <c r="S56" s="51">
        <f>IFERROR(IF(ISBLANK(R56),S55,IF(ISNUMBER(S55),S55,0)+R56),"")</f>
        <v/>
      </c>
      <c r="T56" s="52">
        <f>IFERROR(IF(OR(ISBLANK(Q56),ISBLANK(L56)),"",Q56*L56*VLOOKUP(C56,設定!$B$9:$D$23,3,FALSE)),"")</f>
        <v/>
      </c>
      <c r="U56" s="46" t="n"/>
      <c r="V56" s="46" t="n"/>
    </row>
    <row r="57">
      <c r="A57" s="53">
        <f>IF(ISBLANK(B57),"",COUNTA($B$18:B57))</f>
        <v/>
      </c>
      <c r="B57" s="54" t="n"/>
      <c r="C57" s="55" t="n"/>
      <c r="D57" s="55" t="n"/>
      <c r="E57" s="53" t="n"/>
      <c r="F57" s="56" t="n"/>
      <c r="G57" s="56" t="n"/>
      <c r="H57" s="56" t="n"/>
      <c r="I57" s="56" t="n"/>
      <c r="J57" s="56" t="n"/>
      <c r="K57" s="56" t="n"/>
      <c r="L57" s="57" t="n"/>
      <c r="M57" s="56" t="n"/>
      <c r="N57" s="55" t="n"/>
      <c r="O57" s="58">
        <f>IFERROR(IF(OR(ISBLANK(G57),ISBLANK(I57)),"",ABS(G57-I57)/VLOOKUP(C57,設定!$B$9:$D$23,2,FALSE)),"")</f>
        <v/>
      </c>
      <c r="P57" s="57">
        <f>IFERROR(IF(OR(ISBLANK(F57),ISBLANK(H57),ISBLANK(J57)),"",ABS(J57-F57)/ABS(F57-H57)),"")</f>
        <v/>
      </c>
      <c r="Q57" s="59">
        <f>IFERROR(IF(OR(ISBLANK(M57),ISBLANK(D57),ISBLANK(G57)),"",IF(D57="Long",(M57-G57),(G57-M57))/VLOOKUP(C57,設定!$B$9:$D$23,2,FALSE)),"")</f>
        <v/>
      </c>
      <c r="R57" s="60">
        <f>IFERROR(IF(OR(ISBLANK(Q57),O57=0),"",Q57/O57),"")</f>
        <v/>
      </c>
      <c r="S57" s="60">
        <f>IFERROR(IF(ISBLANK(R57),S56,IF(ISNUMBER(S56),S56,0)+R57),"")</f>
        <v/>
      </c>
      <c r="T57" s="61">
        <f>IFERROR(IF(OR(ISBLANK(Q57),ISBLANK(L57)),"",Q57*L57*VLOOKUP(C57,設定!$B$9:$D$23,3,FALSE)),"")</f>
        <v/>
      </c>
      <c r="U57" s="55" t="n"/>
      <c r="V57" s="55" t="n"/>
    </row>
    <row r="58">
      <c r="A58" s="44">
        <f>IF(ISBLANK(B58),"",COUNTA($B$18:B58))</f>
        <v/>
      </c>
      <c r="B58" s="45" t="n"/>
      <c r="C58" s="46" t="n"/>
      <c r="D58" s="46" t="n"/>
      <c r="E58" s="44" t="n"/>
      <c r="F58" s="47" t="n"/>
      <c r="G58" s="47" t="n"/>
      <c r="H58" s="47" t="n"/>
      <c r="I58" s="47" t="n"/>
      <c r="J58" s="47" t="n"/>
      <c r="K58" s="47" t="n"/>
      <c r="L58" s="48" t="n"/>
      <c r="M58" s="47" t="n"/>
      <c r="N58" s="46" t="n"/>
      <c r="O58" s="49">
        <f>IFERROR(IF(OR(ISBLANK(G58),ISBLANK(I58)),"",ABS(G58-I58)/VLOOKUP(C58,設定!$B$9:$D$23,2,FALSE)),"")</f>
        <v/>
      </c>
      <c r="P58" s="48">
        <f>IFERROR(IF(OR(ISBLANK(F58),ISBLANK(H58),ISBLANK(J58)),"",ABS(J58-F58)/ABS(F58-H58)),"")</f>
        <v/>
      </c>
      <c r="Q58" s="50">
        <f>IFERROR(IF(OR(ISBLANK(M58),ISBLANK(D58),ISBLANK(G58)),"",IF(D58="Long",(M58-G58),(G58-M58))/VLOOKUP(C58,設定!$B$9:$D$23,2,FALSE)),"")</f>
        <v/>
      </c>
      <c r="R58" s="51">
        <f>IFERROR(IF(OR(ISBLANK(Q58),O58=0),"",Q58/O58),"")</f>
        <v/>
      </c>
      <c r="S58" s="51">
        <f>IFERROR(IF(ISBLANK(R58),S57,IF(ISNUMBER(S57),S57,0)+R58),"")</f>
        <v/>
      </c>
      <c r="T58" s="52">
        <f>IFERROR(IF(OR(ISBLANK(Q58),ISBLANK(L58)),"",Q58*L58*VLOOKUP(C58,設定!$B$9:$D$23,3,FALSE)),"")</f>
        <v/>
      </c>
      <c r="U58" s="46" t="n"/>
      <c r="V58" s="46" t="n"/>
    </row>
    <row r="59">
      <c r="A59" s="53">
        <f>IF(ISBLANK(B59),"",COUNTA($B$18:B59))</f>
        <v/>
      </c>
      <c r="B59" s="54" t="n"/>
      <c r="C59" s="55" t="n"/>
      <c r="D59" s="55" t="n"/>
      <c r="E59" s="53" t="n"/>
      <c r="F59" s="56" t="n"/>
      <c r="G59" s="56" t="n"/>
      <c r="H59" s="56" t="n"/>
      <c r="I59" s="56" t="n"/>
      <c r="J59" s="56" t="n"/>
      <c r="K59" s="56" t="n"/>
      <c r="L59" s="57" t="n"/>
      <c r="M59" s="56" t="n"/>
      <c r="N59" s="55" t="n"/>
      <c r="O59" s="58">
        <f>IFERROR(IF(OR(ISBLANK(G59),ISBLANK(I59)),"",ABS(G59-I59)/VLOOKUP(C59,設定!$B$9:$D$23,2,FALSE)),"")</f>
        <v/>
      </c>
      <c r="P59" s="57">
        <f>IFERROR(IF(OR(ISBLANK(F59),ISBLANK(H59),ISBLANK(J59)),"",ABS(J59-F59)/ABS(F59-H59)),"")</f>
        <v/>
      </c>
      <c r="Q59" s="59">
        <f>IFERROR(IF(OR(ISBLANK(M59),ISBLANK(D59),ISBLANK(G59)),"",IF(D59="Long",(M59-G59),(G59-M59))/VLOOKUP(C59,設定!$B$9:$D$23,2,FALSE)),"")</f>
        <v/>
      </c>
      <c r="R59" s="60">
        <f>IFERROR(IF(OR(ISBLANK(Q59),O59=0),"",Q59/O59),"")</f>
        <v/>
      </c>
      <c r="S59" s="60">
        <f>IFERROR(IF(ISBLANK(R59),S58,IF(ISNUMBER(S58),S58,0)+R59),"")</f>
        <v/>
      </c>
      <c r="T59" s="61">
        <f>IFERROR(IF(OR(ISBLANK(Q59),ISBLANK(L59)),"",Q59*L59*VLOOKUP(C59,設定!$B$9:$D$23,3,FALSE)),"")</f>
        <v/>
      </c>
      <c r="U59" s="55" t="n"/>
      <c r="V59" s="55" t="n"/>
    </row>
    <row r="60">
      <c r="A60" s="44">
        <f>IF(ISBLANK(B60),"",COUNTA($B$18:B60))</f>
        <v/>
      </c>
      <c r="B60" s="45" t="n"/>
      <c r="C60" s="46" t="n"/>
      <c r="D60" s="46" t="n"/>
      <c r="E60" s="44" t="n"/>
      <c r="F60" s="47" t="n"/>
      <c r="G60" s="47" t="n"/>
      <c r="H60" s="47" t="n"/>
      <c r="I60" s="47" t="n"/>
      <c r="J60" s="47" t="n"/>
      <c r="K60" s="47" t="n"/>
      <c r="L60" s="48" t="n"/>
      <c r="M60" s="47" t="n"/>
      <c r="N60" s="46" t="n"/>
      <c r="O60" s="49">
        <f>IFERROR(IF(OR(ISBLANK(G60),ISBLANK(I60)),"",ABS(G60-I60)/VLOOKUP(C60,設定!$B$9:$D$23,2,FALSE)),"")</f>
        <v/>
      </c>
      <c r="P60" s="48">
        <f>IFERROR(IF(OR(ISBLANK(F60),ISBLANK(H60),ISBLANK(J60)),"",ABS(J60-F60)/ABS(F60-H60)),"")</f>
        <v/>
      </c>
      <c r="Q60" s="50">
        <f>IFERROR(IF(OR(ISBLANK(M60),ISBLANK(D60),ISBLANK(G60)),"",IF(D60="Long",(M60-G60),(G60-M60))/VLOOKUP(C60,設定!$B$9:$D$23,2,FALSE)),"")</f>
        <v/>
      </c>
      <c r="R60" s="51">
        <f>IFERROR(IF(OR(ISBLANK(Q60),O60=0),"",Q60/O60),"")</f>
        <v/>
      </c>
      <c r="S60" s="51">
        <f>IFERROR(IF(ISBLANK(R60),S59,IF(ISNUMBER(S59),S59,0)+R60),"")</f>
        <v/>
      </c>
      <c r="T60" s="52">
        <f>IFERROR(IF(OR(ISBLANK(Q60),ISBLANK(L60)),"",Q60*L60*VLOOKUP(C60,設定!$B$9:$D$23,3,FALSE)),"")</f>
        <v/>
      </c>
      <c r="U60" s="46" t="n"/>
      <c r="V60" s="46" t="n"/>
    </row>
    <row r="61">
      <c r="A61" s="53">
        <f>IF(ISBLANK(B61),"",COUNTA($B$18:B61))</f>
        <v/>
      </c>
      <c r="B61" s="54" t="n"/>
      <c r="C61" s="55" t="n"/>
      <c r="D61" s="55" t="n"/>
      <c r="E61" s="53" t="n"/>
      <c r="F61" s="56" t="n"/>
      <c r="G61" s="56" t="n"/>
      <c r="H61" s="56" t="n"/>
      <c r="I61" s="56" t="n"/>
      <c r="J61" s="56" t="n"/>
      <c r="K61" s="56" t="n"/>
      <c r="L61" s="57" t="n"/>
      <c r="M61" s="56" t="n"/>
      <c r="N61" s="55" t="n"/>
      <c r="O61" s="58">
        <f>IFERROR(IF(OR(ISBLANK(G61),ISBLANK(I61)),"",ABS(G61-I61)/VLOOKUP(C61,設定!$B$9:$D$23,2,FALSE)),"")</f>
        <v/>
      </c>
      <c r="P61" s="57">
        <f>IFERROR(IF(OR(ISBLANK(F61),ISBLANK(H61),ISBLANK(J61)),"",ABS(J61-F61)/ABS(F61-H61)),"")</f>
        <v/>
      </c>
      <c r="Q61" s="59">
        <f>IFERROR(IF(OR(ISBLANK(M61),ISBLANK(D61),ISBLANK(G61)),"",IF(D61="Long",(M61-G61),(G61-M61))/VLOOKUP(C61,設定!$B$9:$D$23,2,FALSE)),"")</f>
        <v/>
      </c>
      <c r="R61" s="60">
        <f>IFERROR(IF(OR(ISBLANK(Q61),O61=0),"",Q61/O61),"")</f>
        <v/>
      </c>
      <c r="S61" s="60">
        <f>IFERROR(IF(ISBLANK(R61),S60,IF(ISNUMBER(S60),S60,0)+R61),"")</f>
        <v/>
      </c>
      <c r="T61" s="61">
        <f>IFERROR(IF(OR(ISBLANK(Q61),ISBLANK(L61)),"",Q61*L61*VLOOKUP(C61,設定!$B$9:$D$23,3,FALSE)),"")</f>
        <v/>
      </c>
      <c r="U61" s="55" t="n"/>
      <c r="V61" s="55" t="n"/>
    </row>
    <row r="62">
      <c r="A62" s="44">
        <f>IF(ISBLANK(B62),"",COUNTA($B$18:B62))</f>
        <v/>
      </c>
      <c r="B62" s="45" t="n"/>
      <c r="C62" s="46" t="n"/>
      <c r="D62" s="46" t="n"/>
      <c r="E62" s="44" t="n"/>
      <c r="F62" s="47" t="n"/>
      <c r="G62" s="47" t="n"/>
      <c r="H62" s="47" t="n"/>
      <c r="I62" s="47" t="n"/>
      <c r="J62" s="47" t="n"/>
      <c r="K62" s="47" t="n"/>
      <c r="L62" s="48" t="n"/>
      <c r="M62" s="47" t="n"/>
      <c r="N62" s="46" t="n"/>
      <c r="O62" s="49">
        <f>IFERROR(IF(OR(ISBLANK(G62),ISBLANK(I62)),"",ABS(G62-I62)/VLOOKUP(C62,設定!$B$9:$D$23,2,FALSE)),"")</f>
        <v/>
      </c>
      <c r="P62" s="48">
        <f>IFERROR(IF(OR(ISBLANK(F62),ISBLANK(H62),ISBLANK(J62)),"",ABS(J62-F62)/ABS(F62-H62)),"")</f>
        <v/>
      </c>
      <c r="Q62" s="50">
        <f>IFERROR(IF(OR(ISBLANK(M62),ISBLANK(D62),ISBLANK(G62)),"",IF(D62="Long",(M62-G62),(G62-M62))/VLOOKUP(C62,設定!$B$9:$D$23,2,FALSE)),"")</f>
        <v/>
      </c>
      <c r="R62" s="51">
        <f>IFERROR(IF(OR(ISBLANK(Q62),O62=0),"",Q62/O62),"")</f>
        <v/>
      </c>
      <c r="S62" s="51">
        <f>IFERROR(IF(ISBLANK(R62),S61,IF(ISNUMBER(S61),S61,0)+R62),"")</f>
        <v/>
      </c>
      <c r="T62" s="52">
        <f>IFERROR(IF(OR(ISBLANK(Q62),ISBLANK(L62)),"",Q62*L62*VLOOKUP(C62,設定!$B$9:$D$23,3,FALSE)),"")</f>
        <v/>
      </c>
      <c r="U62" s="46" t="n"/>
      <c r="V62" s="46" t="n"/>
    </row>
    <row r="63">
      <c r="A63" s="53">
        <f>IF(ISBLANK(B63),"",COUNTA($B$18:B63))</f>
        <v/>
      </c>
      <c r="B63" s="54" t="n"/>
      <c r="C63" s="55" t="n"/>
      <c r="D63" s="55" t="n"/>
      <c r="E63" s="53" t="n"/>
      <c r="F63" s="56" t="n"/>
      <c r="G63" s="56" t="n"/>
      <c r="H63" s="56" t="n"/>
      <c r="I63" s="56" t="n"/>
      <c r="J63" s="56" t="n"/>
      <c r="K63" s="56" t="n"/>
      <c r="L63" s="57" t="n"/>
      <c r="M63" s="56" t="n"/>
      <c r="N63" s="55" t="n"/>
      <c r="O63" s="58">
        <f>IFERROR(IF(OR(ISBLANK(G63),ISBLANK(I63)),"",ABS(G63-I63)/VLOOKUP(C63,設定!$B$9:$D$23,2,FALSE)),"")</f>
        <v/>
      </c>
      <c r="P63" s="57">
        <f>IFERROR(IF(OR(ISBLANK(F63),ISBLANK(H63),ISBLANK(J63)),"",ABS(J63-F63)/ABS(F63-H63)),"")</f>
        <v/>
      </c>
      <c r="Q63" s="59">
        <f>IFERROR(IF(OR(ISBLANK(M63),ISBLANK(D63),ISBLANK(G63)),"",IF(D63="Long",(M63-G63),(G63-M63))/VLOOKUP(C63,設定!$B$9:$D$23,2,FALSE)),"")</f>
        <v/>
      </c>
      <c r="R63" s="60">
        <f>IFERROR(IF(OR(ISBLANK(Q63),O63=0),"",Q63/O63),"")</f>
        <v/>
      </c>
      <c r="S63" s="60">
        <f>IFERROR(IF(ISBLANK(R63),S62,IF(ISNUMBER(S62),S62,0)+R63),"")</f>
        <v/>
      </c>
      <c r="T63" s="61">
        <f>IFERROR(IF(OR(ISBLANK(Q63),ISBLANK(L63)),"",Q63*L63*VLOOKUP(C63,設定!$B$9:$D$23,3,FALSE)),"")</f>
        <v/>
      </c>
      <c r="U63" s="55" t="n"/>
      <c r="V63" s="55" t="n"/>
    </row>
    <row r="64">
      <c r="A64" s="44">
        <f>IF(ISBLANK(B64),"",COUNTA($B$18:B64))</f>
        <v/>
      </c>
      <c r="B64" s="45" t="n"/>
      <c r="C64" s="46" t="n"/>
      <c r="D64" s="46" t="n"/>
      <c r="E64" s="44" t="n"/>
      <c r="F64" s="47" t="n"/>
      <c r="G64" s="47" t="n"/>
      <c r="H64" s="47" t="n"/>
      <c r="I64" s="47" t="n"/>
      <c r="J64" s="47" t="n"/>
      <c r="K64" s="47" t="n"/>
      <c r="L64" s="48" t="n"/>
      <c r="M64" s="47" t="n"/>
      <c r="N64" s="46" t="n"/>
      <c r="O64" s="49">
        <f>IFERROR(IF(OR(ISBLANK(G64),ISBLANK(I64)),"",ABS(G64-I64)/VLOOKUP(C64,設定!$B$9:$D$23,2,FALSE)),"")</f>
        <v/>
      </c>
      <c r="P64" s="48">
        <f>IFERROR(IF(OR(ISBLANK(F64),ISBLANK(H64),ISBLANK(J64)),"",ABS(J64-F64)/ABS(F64-H64)),"")</f>
        <v/>
      </c>
      <c r="Q64" s="50">
        <f>IFERROR(IF(OR(ISBLANK(M64),ISBLANK(D64),ISBLANK(G64)),"",IF(D64="Long",(M64-G64),(G64-M64))/VLOOKUP(C64,設定!$B$9:$D$23,2,FALSE)),"")</f>
        <v/>
      </c>
      <c r="R64" s="51">
        <f>IFERROR(IF(OR(ISBLANK(Q64),O64=0),"",Q64/O64),"")</f>
        <v/>
      </c>
      <c r="S64" s="51">
        <f>IFERROR(IF(ISBLANK(R64),S63,IF(ISNUMBER(S63),S63,0)+R64),"")</f>
        <v/>
      </c>
      <c r="T64" s="52">
        <f>IFERROR(IF(OR(ISBLANK(Q64),ISBLANK(L64)),"",Q64*L64*VLOOKUP(C64,設定!$B$9:$D$23,3,FALSE)),"")</f>
        <v/>
      </c>
      <c r="U64" s="46" t="n"/>
      <c r="V64" s="46" t="n"/>
    </row>
    <row r="65">
      <c r="A65" s="53">
        <f>IF(ISBLANK(B65),"",COUNTA($B$18:B65))</f>
        <v/>
      </c>
      <c r="B65" s="54" t="n"/>
      <c r="C65" s="55" t="n"/>
      <c r="D65" s="55" t="n"/>
      <c r="E65" s="53" t="n"/>
      <c r="F65" s="56" t="n"/>
      <c r="G65" s="56" t="n"/>
      <c r="H65" s="56" t="n"/>
      <c r="I65" s="56" t="n"/>
      <c r="J65" s="56" t="n"/>
      <c r="K65" s="56" t="n"/>
      <c r="L65" s="57" t="n"/>
      <c r="M65" s="56" t="n"/>
      <c r="N65" s="55" t="n"/>
      <c r="O65" s="58">
        <f>IFERROR(IF(OR(ISBLANK(G65),ISBLANK(I65)),"",ABS(G65-I65)/VLOOKUP(C65,設定!$B$9:$D$23,2,FALSE)),"")</f>
        <v/>
      </c>
      <c r="P65" s="57">
        <f>IFERROR(IF(OR(ISBLANK(F65),ISBLANK(H65),ISBLANK(J65)),"",ABS(J65-F65)/ABS(F65-H65)),"")</f>
        <v/>
      </c>
      <c r="Q65" s="59">
        <f>IFERROR(IF(OR(ISBLANK(M65),ISBLANK(D65),ISBLANK(G65)),"",IF(D65="Long",(M65-G65),(G65-M65))/VLOOKUP(C65,設定!$B$9:$D$23,2,FALSE)),"")</f>
        <v/>
      </c>
      <c r="R65" s="60">
        <f>IFERROR(IF(OR(ISBLANK(Q65),O65=0),"",Q65/O65),"")</f>
        <v/>
      </c>
      <c r="S65" s="60">
        <f>IFERROR(IF(ISBLANK(R65),S64,IF(ISNUMBER(S64),S64,0)+R65),"")</f>
        <v/>
      </c>
      <c r="T65" s="61">
        <f>IFERROR(IF(OR(ISBLANK(Q65),ISBLANK(L65)),"",Q65*L65*VLOOKUP(C65,設定!$B$9:$D$23,3,FALSE)),"")</f>
        <v/>
      </c>
      <c r="U65" s="55" t="n"/>
      <c r="V65" s="55" t="n"/>
    </row>
    <row r="66">
      <c r="A66" s="44">
        <f>IF(ISBLANK(B66),"",COUNTA($B$18:B66))</f>
        <v/>
      </c>
      <c r="B66" s="45" t="n"/>
      <c r="C66" s="46" t="n"/>
      <c r="D66" s="46" t="n"/>
      <c r="E66" s="44" t="n"/>
      <c r="F66" s="47" t="n"/>
      <c r="G66" s="47" t="n"/>
      <c r="H66" s="47" t="n"/>
      <c r="I66" s="47" t="n"/>
      <c r="J66" s="47" t="n"/>
      <c r="K66" s="47" t="n"/>
      <c r="L66" s="48" t="n"/>
      <c r="M66" s="47" t="n"/>
      <c r="N66" s="46" t="n"/>
      <c r="O66" s="49">
        <f>IFERROR(IF(OR(ISBLANK(G66),ISBLANK(I66)),"",ABS(G66-I66)/VLOOKUP(C66,設定!$B$9:$D$23,2,FALSE)),"")</f>
        <v/>
      </c>
      <c r="P66" s="48">
        <f>IFERROR(IF(OR(ISBLANK(F66),ISBLANK(H66),ISBLANK(J66)),"",ABS(J66-F66)/ABS(F66-H66)),"")</f>
        <v/>
      </c>
      <c r="Q66" s="50">
        <f>IFERROR(IF(OR(ISBLANK(M66),ISBLANK(D66),ISBLANK(G66)),"",IF(D66="Long",(M66-G66),(G66-M66))/VLOOKUP(C66,設定!$B$9:$D$23,2,FALSE)),"")</f>
        <v/>
      </c>
      <c r="R66" s="51">
        <f>IFERROR(IF(OR(ISBLANK(Q66),O66=0),"",Q66/O66),"")</f>
        <v/>
      </c>
      <c r="S66" s="51">
        <f>IFERROR(IF(ISBLANK(R66),S65,IF(ISNUMBER(S65),S65,0)+R66),"")</f>
        <v/>
      </c>
      <c r="T66" s="52">
        <f>IFERROR(IF(OR(ISBLANK(Q66),ISBLANK(L66)),"",Q66*L66*VLOOKUP(C66,設定!$B$9:$D$23,3,FALSE)),"")</f>
        <v/>
      </c>
      <c r="U66" s="46" t="n"/>
      <c r="V66" s="46" t="n"/>
    </row>
    <row r="67">
      <c r="A67" s="53">
        <f>IF(ISBLANK(B67),"",COUNTA($B$18:B67))</f>
        <v/>
      </c>
      <c r="B67" s="54" t="n"/>
      <c r="C67" s="55" t="n"/>
      <c r="D67" s="55" t="n"/>
      <c r="E67" s="53" t="n"/>
      <c r="F67" s="56" t="n"/>
      <c r="G67" s="56" t="n"/>
      <c r="H67" s="56" t="n"/>
      <c r="I67" s="56" t="n"/>
      <c r="J67" s="56" t="n"/>
      <c r="K67" s="56" t="n"/>
      <c r="L67" s="57" t="n"/>
      <c r="M67" s="56" t="n"/>
      <c r="N67" s="55" t="n"/>
      <c r="O67" s="58">
        <f>IFERROR(IF(OR(ISBLANK(G67),ISBLANK(I67)),"",ABS(G67-I67)/VLOOKUP(C67,設定!$B$9:$D$23,2,FALSE)),"")</f>
        <v/>
      </c>
      <c r="P67" s="57">
        <f>IFERROR(IF(OR(ISBLANK(F67),ISBLANK(H67),ISBLANK(J67)),"",ABS(J67-F67)/ABS(F67-H67)),"")</f>
        <v/>
      </c>
      <c r="Q67" s="59">
        <f>IFERROR(IF(OR(ISBLANK(M67),ISBLANK(D67),ISBLANK(G67)),"",IF(D67="Long",(M67-G67),(G67-M67))/VLOOKUP(C67,設定!$B$9:$D$23,2,FALSE)),"")</f>
        <v/>
      </c>
      <c r="R67" s="60">
        <f>IFERROR(IF(OR(ISBLANK(Q67),O67=0),"",Q67/O67),"")</f>
        <v/>
      </c>
      <c r="S67" s="60">
        <f>IFERROR(IF(ISBLANK(R67),S66,IF(ISNUMBER(S66),S66,0)+R67),"")</f>
        <v/>
      </c>
      <c r="T67" s="61">
        <f>IFERROR(IF(OR(ISBLANK(Q67),ISBLANK(L67)),"",Q67*L67*VLOOKUP(C67,設定!$B$9:$D$23,3,FALSE)),"")</f>
        <v/>
      </c>
      <c r="U67" s="55" t="n"/>
      <c r="V67" s="55" t="n"/>
    </row>
    <row r="68">
      <c r="A68" s="44">
        <f>IF(ISBLANK(B68),"",COUNTA($B$18:B68))</f>
        <v/>
      </c>
      <c r="B68" s="45" t="n"/>
      <c r="C68" s="46" t="n"/>
      <c r="D68" s="46" t="n"/>
      <c r="E68" s="44" t="n"/>
      <c r="F68" s="47" t="n"/>
      <c r="G68" s="47" t="n"/>
      <c r="H68" s="47" t="n"/>
      <c r="I68" s="47" t="n"/>
      <c r="J68" s="47" t="n"/>
      <c r="K68" s="47" t="n"/>
      <c r="L68" s="48" t="n"/>
      <c r="M68" s="47" t="n"/>
      <c r="N68" s="46" t="n"/>
      <c r="O68" s="49">
        <f>IFERROR(IF(OR(ISBLANK(G68),ISBLANK(I68)),"",ABS(G68-I68)/VLOOKUP(C68,設定!$B$9:$D$23,2,FALSE)),"")</f>
        <v/>
      </c>
      <c r="P68" s="48">
        <f>IFERROR(IF(OR(ISBLANK(F68),ISBLANK(H68),ISBLANK(J68)),"",ABS(J68-F68)/ABS(F68-H68)),"")</f>
        <v/>
      </c>
      <c r="Q68" s="50">
        <f>IFERROR(IF(OR(ISBLANK(M68),ISBLANK(D68),ISBLANK(G68)),"",IF(D68="Long",(M68-G68),(G68-M68))/VLOOKUP(C68,設定!$B$9:$D$23,2,FALSE)),"")</f>
        <v/>
      </c>
      <c r="R68" s="51">
        <f>IFERROR(IF(OR(ISBLANK(Q68),O68=0),"",Q68/O68),"")</f>
        <v/>
      </c>
      <c r="S68" s="51">
        <f>IFERROR(IF(ISBLANK(R68),S67,IF(ISNUMBER(S67),S67,0)+R68),"")</f>
        <v/>
      </c>
      <c r="T68" s="52">
        <f>IFERROR(IF(OR(ISBLANK(Q68),ISBLANK(L68)),"",Q68*L68*VLOOKUP(C68,設定!$B$9:$D$23,3,FALSE)),"")</f>
        <v/>
      </c>
      <c r="U68" s="46" t="n"/>
      <c r="V68" s="46" t="n"/>
    </row>
    <row r="69">
      <c r="A69" s="53">
        <f>IF(ISBLANK(B69),"",COUNTA($B$18:B69))</f>
        <v/>
      </c>
      <c r="B69" s="54" t="n"/>
      <c r="C69" s="55" t="n"/>
      <c r="D69" s="55" t="n"/>
      <c r="E69" s="53" t="n"/>
      <c r="F69" s="56" t="n"/>
      <c r="G69" s="56" t="n"/>
      <c r="H69" s="56" t="n"/>
      <c r="I69" s="56" t="n"/>
      <c r="J69" s="56" t="n"/>
      <c r="K69" s="56" t="n"/>
      <c r="L69" s="57" t="n"/>
      <c r="M69" s="56" t="n"/>
      <c r="N69" s="55" t="n"/>
      <c r="O69" s="58">
        <f>IFERROR(IF(OR(ISBLANK(G69),ISBLANK(I69)),"",ABS(G69-I69)/VLOOKUP(C69,設定!$B$9:$D$23,2,FALSE)),"")</f>
        <v/>
      </c>
      <c r="P69" s="57">
        <f>IFERROR(IF(OR(ISBLANK(F69),ISBLANK(H69),ISBLANK(J69)),"",ABS(J69-F69)/ABS(F69-H69)),"")</f>
        <v/>
      </c>
      <c r="Q69" s="59">
        <f>IFERROR(IF(OR(ISBLANK(M69),ISBLANK(D69),ISBLANK(G69)),"",IF(D69="Long",(M69-G69),(G69-M69))/VLOOKUP(C69,設定!$B$9:$D$23,2,FALSE)),"")</f>
        <v/>
      </c>
      <c r="R69" s="60">
        <f>IFERROR(IF(OR(ISBLANK(Q69),O69=0),"",Q69/O69),"")</f>
        <v/>
      </c>
      <c r="S69" s="60">
        <f>IFERROR(IF(ISBLANK(R69),S68,IF(ISNUMBER(S68),S68,0)+R69),"")</f>
        <v/>
      </c>
      <c r="T69" s="61">
        <f>IFERROR(IF(OR(ISBLANK(Q69),ISBLANK(L69)),"",Q69*L69*VLOOKUP(C69,設定!$B$9:$D$23,3,FALSE)),"")</f>
        <v/>
      </c>
      <c r="U69" s="55" t="n"/>
      <c r="V69" s="55" t="n"/>
    </row>
    <row r="70">
      <c r="A70" s="44">
        <f>IF(ISBLANK(B70),"",COUNTA($B$18:B70))</f>
        <v/>
      </c>
      <c r="B70" s="45" t="n"/>
      <c r="C70" s="46" t="n"/>
      <c r="D70" s="46" t="n"/>
      <c r="E70" s="44" t="n"/>
      <c r="F70" s="47" t="n"/>
      <c r="G70" s="47" t="n"/>
      <c r="H70" s="47" t="n"/>
      <c r="I70" s="47" t="n"/>
      <c r="J70" s="47" t="n"/>
      <c r="K70" s="47" t="n"/>
      <c r="L70" s="48" t="n"/>
      <c r="M70" s="47" t="n"/>
      <c r="N70" s="46" t="n"/>
      <c r="O70" s="49">
        <f>IFERROR(IF(OR(ISBLANK(G70),ISBLANK(I70)),"",ABS(G70-I70)/VLOOKUP(C70,設定!$B$9:$D$23,2,FALSE)),"")</f>
        <v/>
      </c>
      <c r="P70" s="48">
        <f>IFERROR(IF(OR(ISBLANK(F70),ISBLANK(H70),ISBLANK(J70)),"",ABS(J70-F70)/ABS(F70-H70)),"")</f>
        <v/>
      </c>
      <c r="Q70" s="50">
        <f>IFERROR(IF(OR(ISBLANK(M70),ISBLANK(D70),ISBLANK(G70)),"",IF(D70="Long",(M70-G70),(G70-M70))/VLOOKUP(C70,設定!$B$9:$D$23,2,FALSE)),"")</f>
        <v/>
      </c>
      <c r="R70" s="51">
        <f>IFERROR(IF(OR(ISBLANK(Q70),O70=0),"",Q70/O70),"")</f>
        <v/>
      </c>
      <c r="S70" s="51">
        <f>IFERROR(IF(ISBLANK(R70),S69,IF(ISNUMBER(S69),S69,0)+R70),"")</f>
        <v/>
      </c>
      <c r="T70" s="52">
        <f>IFERROR(IF(OR(ISBLANK(Q70),ISBLANK(L70)),"",Q70*L70*VLOOKUP(C70,設定!$B$9:$D$23,3,FALSE)),"")</f>
        <v/>
      </c>
      <c r="U70" s="46" t="n"/>
      <c r="V70" s="46" t="n"/>
    </row>
    <row r="71">
      <c r="A71" s="53">
        <f>IF(ISBLANK(B71),"",COUNTA($B$18:B71))</f>
        <v/>
      </c>
      <c r="B71" s="54" t="n"/>
      <c r="C71" s="55" t="n"/>
      <c r="D71" s="55" t="n"/>
      <c r="E71" s="53" t="n"/>
      <c r="F71" s="56" t="n"/>
      <c r="G71" s="56" t="n"/>
      <c r="H71" s="56" t="n"/>
      <c r="I71" s="56" t="n"/>
      <c r="J71" s="56" t="n"/>
      <c r="K71" s="56" t="n"/>
      <c r="L71" s="57" t="n"/>
      <c r="M71" s="56" t="n"/>
      <c r="N71" s="55" t="n"/>
      <c r="O71" s="58">
        <f>IFERROR(IF(OR(ISBLANK(G71),ISBLANK(I71)),"",ABS(G71-I71)/VLOOKUP(C71,設定!$B$9:$D$23,2,FALSE)),"")</f>
        <v/>
      </c>
      <c r="P71" s="57">
        <f>IFERROR(IF(OR(ISBLANK(F71),ISBLANK(H71),ISBLANK(J71)),"",ABS(J71-F71)/ABS(F71-H71)),"")</f>
        <v/>
      </c>
      <c r="Q71" s="59">
        <f>IFERROR(IF(OR(ISBLANK(M71),ISBLANK(D71),ISBLANK(G71)),"",IF(D71="Long",(M71-G71),(G71-M71))/VLOOKUP(C71,設定!$B$9:$D$23,2,FALSE)),"")</f>
        <v/>
      </c>
      <c r="R71" s="60">
        <f>IFERROR(IF(OR(ISBLANK(Q71),O71=0),"",Q71/O71),"")</f>
        <v/>
      </c>
      <c r="S71" s="60">
        <f>IFERROR(IF(ISBLANK(R71),S70,IF(ISNUMBER(S70),S70,0)+R71),"")</f>
        <v/>
      </c>
      <c r="T71" s="61">
        <f>IFERROR(IF(OR(ISBLANK(Q71),ISBLANK(L71)),"",Q71*L71*VLOOKUP(C71,設定!$B$9:$D$23,3,FALSE)),"")</f>
        <v/>
      </c>
      <c r="U71" s="55" t="n"/>
      <c r="V71" s="55" t="n"/>
    </row>
    <row r="72">
      <c r="A72" s="44">
        <f>IF(ISBLANK(B72),"",COUNTA($B$18:B72))</f>
        <v/>
      </c>
      <c r="B72" s="45" t="n"/>
      <c r="C72" s="46" t="n"/>
      <c r="D72" s="46" t="n"/>
      <c r="E72" s="44" t="n"/>
      <c r="F72" s="47" t="n"/>
      <c r="G72" s="47" t="n"/>
      <c r="H72" s="47" t="n"/>
      <c r="I72" s="47" t="n"/>
      <c r="J72" s="47" t="n"/>
      <c r="K72" s="47" t="n"/>
      <c r="L72" s="48" t="n"/>
      <c r="M72" s="47" t="n"/>
      <c r="N72" s="46" t="n"/>
      <c r="O72" s="49">
        <f>IFERROR(IF(OR(ISBLANK(G72),ISBLANK(I72)),"",ABS(G72-I72)/VLOOKUP(C72,設定!$B$9:$D$23,2,FALSE)),"")</f>
        <v/>
      </c>
      <c r="P72" s="48">
        <f>IFERROR(IF(OR(ISBLANK(F72),ISBLANK(H72),ISBLANK(J72)),"",ABS(J72-F72)/ABS(F72-H72)),"")</f>
        <v/>
      </c>
      <c r="Q72" s="50">
        <f>IFERROR(IF(OR(ISBLANK(M72),ISBLANK(D72),ISBLANK(G72)),"",IF(D72="Long",(M72-G72),(G72-M72))/VLOOKUP(C72,設定!$B$9:$D$23,2,FALSE)),"")</f>
        <v/>
      </c>
      <c r="R72" s="51">
        <f>IFERROR(IF(OR(ISBLANK(Q72),O72=0),"",Q72/O72),"")</f>
        <v/>
      </c>
      <c r="S72" s="51">
        <f>IFERROR(IF(ISBLANK(R72),S71,IF(ISNUMBER(S71),S71,0)+R72),"")</f>
        <v/>
      </c>
      <c r="T72" s="52">
        <f>IFERROR(IF(OR(ISBLANK(Q72),ISBLANK(L72)),"",Q72*L72*VLOOKUP(C72,設定!$B$9:$D$23,3,FALSE)),"")</f>
        <v/>
      </c>
      <c r="U72" s="46" t="n"/>
      <c r="V72" s="46" t="n"/>
    </row>
    <row r="73">
      <c r="A73" s="53">
        <f>IF(ISBLANK(B73),"",COUNTA($B$18:B73))</f>
        <v/>
      </c>
      <c r="B73" s="54" t="n"/>
      <c r="C73" s="55" t="n"/>
      <c r="D73" s="55" t="n"/>
      <c r="E73" s="53" t="n"/>
      <c r="F73" s="56" t="n"/>
      <c r="G73" s="56" t="n"/>
      <c r="H73" s="56" t="n"/>
      <c r="I73" s="56" t="n"/>
      <c r="J73" s="56" t="n"/>
      <c r="K73" s="56" t="n"/>
      <c r="L73" s="57" t="n"/>
      <c r="M73" s="56" t="n"/>
      <c r="N73" s="55" t="n"/>
      <c r="O73" s="58">
        <f>IFERROR(IF(OR(ISBLANK(G73),ISBLANK(I73)),"",ABS(G73-I73)/VLOOKUP(C73,設定!$B$9:$D$23,2,FALSE)),"")</f>
        <v/>
      </c>
      <c r="P73" s="57">
        <f>IFERROR(IF(OR(ISBLANK(F73),ISBLANK(H73),ISBLANK(J73)),"",ABS(J73-F73)/ABS(F73-H73)),"")</f>
        <v/>
      </c>
      <c r="Q73" s="59">
        <f>IFERROR(IF(OR(ISBLANK(M73),ISBLANK(D73),ISBLANK(G73)),"",IF(D73="Long",(M73-G73),(G73-M73))/VLOOKUP(C73,設定!$B$9:$D$23,2,FALSE)),"")</f>
        <v/>
      </c>
      <c r="R73" s="60">
        <f>IFERROR(IF(OR(ISBLANK(Q73),O73=0),"",Q73/O73),"")</f>
        <v/>
      </c>
      <c r="S73" s="60">
        <f>IFERROR(IF(ISBLANK(R73),S72,IF(ISNUMBER(S72),S72,0)+R73),"")</f>
        <v/>
      </c>
      <c r="T73" s="61">
        <f>IFERROR(IF(OR(ISBLANK(Q73),ISBLANK(L73)),"",Q73*L73*VLOOKUP(C73,設定!$B$9:$D$23,3,FALSE)),"")</f>
        <v/>
      </c>
      <c r="U73" s="55" t="n"/>
      <c r="V73" s="55" t="n"/>
    </row>
    <row r="74">
      <c r="A74" s="44">
        <f>IF(ISBLANK(B74),"",COUNTA($B$18:B74))</f>
        <v/>
      </c>
      <c r="B74" s="45" t="n"/>
      <c r="C74" s="46" t="n"/>
      <c r="D74" s="46" t="n"/>
      <c r="E74" s="44" t="n"/>
      <c r="F74" s="47" t="n"/>
      <c r="G74" s="47" t="n"/>
      <c r="H74" s="47" t="n"/>
      <c r="I74" s="47" t="n"/>
      <c r="J74" s="47" t="n"/>
      <c r="K74" s="47" t="n"/>
      <c r="L74" s="48" t="n"/>
      <c r="M74" s="47" t="n"/>
      <c r="N74" s="46" t="n"/>
      <c r="O74" s="49">
        <f>IFERROR(IF(OR(ISBLANK(G74),ISBLANK(I74)),"",ABS(G74-I74)/VLOOKUP(C74,設定!$B$9:$D$23,2,FALSE)),"")</f>
        <v/>
      </c>
      <c r="P74" s="48">
        <f>IFERROR(IF(OR(ISBLANK(F74),ISBLANK(H74),ISBLANK(J74)),"",ABS(J74-F74)/ABS(F74-H74)),"")</f>
        <v/>
      </c>
      <c r="Q74" s="50">
        <f>IFERROR(IF(OR(ISBLANK(M74),ISBLANK(D74),ISBLANK(G74)),"",IF(D74="Long",(M74-G74),(G74-M74))/VLOOKUP(C74,設定!$B$9:$D$23,2,FALSE)),"")</f>
        <v/>
      </c>
      <c r="R74" s="51">
        <f>IFERROR(IF(OR(ISBLANK(Q74),O74=0),"",Q74/O74),"")</f>
        <v/>
      </c>
      <c r="S74" s="51">
        <f>IFERROR(IF(ISBLANK(R74),S73,IF(ISNUMBER(S73),S73,0)+R74),"")</f>
        <v/>
      </c>
      <c r="T74" s="52">
        <f>IFERROR(IF(OR(ISBLANK(Q74),ISBLANK(L74)),"",Q74*L74*VLOOKUP(C74,設定!$B$9:$D$23,3,FALSE)),"")</f>
        <v/>
      </c>
      <c r="U74" s="46" t="n"/>
      <c r="V74" s="46" t="n"/>
    </row>
    <row r="75">
      <c r="A75" s="53">
        <f>IF(ISBLANK(B75),"",COUNTA($B$18:B75))</f>
        <v/>
      </c>
      <c r="B75" s="54" t="n"/>
      <c r="C75" s="55" t="n"/>
      <c r="D75" s="55" t="n"/>
      <c r="E75" s="53" t="n"/>
      <c r="F75" s="56" t="n"/>
      <c r="G75" s="56" t="n"/>
      <c r="H75" s="56" t="n"/>
      <c r="I75" s="56" t="n"/>
      <c r="J75" s="56" t="n"/>
      <c r="K75" s="56" t="n"/>
      <c r="L75" s="57" t="n"/>
      <c r="M75" s="56" t="n"/>
      <c r="N75" s="55" t="n"/>
      <c r="O75" s="58">
        <f>IFERROR(IF(OR(ISBLANK(G75),ISBLANK(I75)),"",ABS(G75-I75)/VLOOKUP(C75,設定!$B$9:$D$23,2,FALSE)),"")</f>
        <v/>
      </c>
      <c r="P75" s="57">
        <f>IFERROR(IF(OR(ISBLANK(F75),ISBLANK(H75),ISBLANK(J75)),"",ABS(J75-F75)/ABS(F75-H75)),"")</f>
        <v/>
      </c>
      <c r="Q75" s="59">
        <f>IFERROR(IF(OR(ISBLANK(M75),ISBLANK(D75),ISBLANK(G75)),"",IF(D75="Long",(M75-G75),(G75-M75))/VLOOKUP(C75,設定!$B$9:$D$23,2,FALSE)),"")</f>
        <v/>
      </c>
      <c r="R75" s="60">
        <f>IFERROR(IF(OR(ISBLANK(Q75),O75=0),"",Q75/O75),"")</f>
        <v/>
      </c>
      <c r="S75" s="60">
        <f>IFERROR(IF(ISBLANK(R75),S74,IF(ISNUMBER(S74),S74,0)+R75),"")</f>
        <v/>
      </c>
      <c r="T75" s="61">
        <f>IFERROR(IF(OR(ISBLANK(Q75),ISBLANK(L75)),"",Q75*L75*VLOOKUP(C75,設定!$B$9:$D$23,3,FALSE)),"")</f>
        <v/>
      </c>
      <c r="U75" s="55" t="n"/>
      <c r="V75" s="55" t="n"/>
    </row>
    <row r="76">
      <c r="A76" s="44">
        <f>IF(ISBLANK(B76),"",COUNTA($B$18:B76))</f>
        <v/>
      </c>
      <c r="B76" s="45" t="n"/>
      <c r="C76" s="46" t="n"/>
      <c r="D76" s="46" t="n"/>
      <c r="E76" s="44" t="n"/>
      <c r="F76" s="47" t="n"/>
      <c r="G76" s="47" t="n"/>
      <c r="H76" s="47" t="n"/>
      <c r="I76" s="47" t="n"/>
      <c r="J76" s="47" t="n"/>
      <c r="K76" s="47" t="n"/>
      <c r="L76" s="48" t="n"/>
      <c r="M76" s="47" t="n"/>
      <c r="N76" s="46" t="n"/>
      <c r="O76" s="49">
        <f>IFERROR(IF(OR(ISBLANK(G76),ISBLANK(I76)),"",ABS(G76-I76)/VLOOKUP(C76,設定!$B$9:$D$23,2,FALSE)),"")</f>
        <v/>
      </c>
      <c r="P76" s="48">
        <f>IFERROR(IF(OR(ISBLANK(F76),ISBLANK(H76),ISBLANK(J76)),"",ABS(J76-F76)/ABS(F76-H76)),"")</f>
        <v/>
      </c>
      <c r="Q76" s="50">
        <f>IFERROR(IF(OR(ISBLANK(M76),ISBLANK(D76),ISBLANK(G76)),"",IF(D76="Long",(M76-G76),(G76-M76))/VLOOKUP(C76,設定!$B$9:$D$23,2,FALSE)),"")</f>
        <v/>
      </c>
      <c r="R76" s="51">
        <f>IFERROR(IF(OR(ISBLANK(Q76),O76=0),"",Q76/O76),"")</f>
        <v/>
      </c>
      <c r="S76" s="51">
        <f>IFERROR(IF(ISBLANK(R76),S75,IF(ISNUMBER(S75),S75,0)+R76),"")</f>
        <v/>
      </c>
      <c r="T76" s="52">
        <f>IFERROR(IF(OR(ISBLANK(Q76),ISBLANK(L76)),"",Q76*L76*VLOOKUP(C76,設定!$B$9:$D$23,3,FALSE)),"")</f>
        <v/>
      </c>
      <c r="U76" s="46" t="n"/>
      <c r="V76" s="46" t="n"/>
    </row>
    <row r="77">
      <c r="A77" s="53">
        <f>IF(ISBLANK(B77),"",COUNTA($B$18:B77))</f>
        <v/>
      </c>
      <c r="B77" s="54" t="n"/>
      <c r="C77" s="55" t="n"/>
      <c r="D77" s="55" t="n"/>
      <c r="E77" s="53" t="n"/>
      <c r="F77" s="56" t="n"/>
      <c r="G77" s="56" t="n"/>
      <c r="H77" s="56" t="n"/>
      <c r="I77" s="56" t="n"/>
      <c r="J77" s="56" t="n"/>
      <c r="K77" s="56" t="n"/>
      <c r="L77" s="57" t="n"/>
      <c r="M77" s="56" t="n"/>
      <c r="N77" s="55" t="n"/>
      <c r="O77" s="58">
        <f>IFERROR(IF(OR(ISBLANK(G77),ISBLANK(I77)),"",ABS(G77-I77)/VLOOKUP(C77,設定!$B$9:$D$23,2,FALSE)),"")</f>
        <v/>
      </c>
      <c r="P77" s="57">
        <f>IFERROR(IF(OR(ISBLANK(F77),ISBLANK(H77),ISBLANK(J77)),"",ABS(J77-F77)/ABS(F77-H77)),"")</f>
        <v/>
      </c>
      <c r="Q77" s="59">
        <f>IFERROR(IF(OR(ISBLANK(M77),ISBLANK(D77),ISBLANK(G77)),"",IF(D77="Long",(M77-G77),(G77-M77))/VLOOKUP(C77,設定!$B$9:$D$23,2,FALSE)),"")</f>
        <v/>
      </c>
      <c r="R77" s="60">
        <f>IFERROR(IF(OR(ISBLANK(Q77),O77=0),"",Q77/O77),"")</f>
        <v/>
      </c>
      <c r="S77" s="60">
        <f>IFERROR(IF(ISBLANK(R77),S76,IF(ISNUMBER(S76),S76,0)+R77),"")</f>
        <v/>
      </c>
      <c r="T77" s="61">
        <f>IFERROR(IF(OR(ISBLANK(Q77),ISBLANK(L77)),"",Q77*L77*VLOOKUP(C77,設定!$B$9:$D$23,3,FALSE)),"")</f>
        <v/>
      </c>
      <c r="U77" s="55" t="n"/>
      <c r="V77" s="55" t="n"/>
    </row>
    <row r="78">
      <c r="A78" s="44">
        <f>IF(ISBLANK(B78),"",COUNTA($B$18:B78))</f>
        <v/>
      </c>
      <c r="B78" s="45" t="n"/>
      <c r="C78" s="46" t="n"/>
      <c r="D78" s="46" t="n"/>
      <c r="E78" s="44" t="n"/>
      <c r="F78" s="47" t="n"/>
      <c r="G78" s="47" t="n"/>
      <c r="H78" s="47" t="n"/>
      <c r="I78" s="47" t="n"/>
      <c r="J78" s="47" t="n"/>
      <c r="K78" s="47" t="n"/>
      <c r="L78" s="48" t="n"/>
      <c r="M78" s="47" t="n"/>
      <c r="N78" s="46" t="n"/>
      <c r="O78" s="49">
        <f>IFERROR(IF(OR(ISBLANK(G78),ISBLANK(I78)),"",ABS(G78-I78)/VLOOKUP(C78,設定!$B$9:$D$23,2,FALSE)),"")</f>
        <v/>
      </c>
      <c r="P78" s="48">
        <f>IFERROR(IF(OR(ISBLANK(F78),ISBLANK(H78),ISBLANK(J78)),"",ABS(J78-F78)/ABS(F78-H78)),"")</f>
        <v/>
      </c>
      <c r="Q78" s="50">
        <f>IFERROR(IF(OR(ISBLANK(M78),ISBLANK(D78),ISBLANK(G78)),"",IF(D78="Long",(M78-G78),(G78-M78))/VLOOKUP(C78,設定!$B$9:$D$23,2,FALSE)),"")</f>
        <v/>
      </c>
      <c r="R78" s="51">
        <f>IFERROR(IF(OR(ISBLANK(Q78),O78=0),"",Q78/O78),"")</f>
        <v/>
      </c>
      <c r="S78" s="51">
        <f>IFERROR(IF(ISBLANK(R78),S77,IF(ISNUMBER(S77),S77,0)+R78),"")</f>
        <v/>
      </c>
      <c r="T78" s="52">
        <f>IFERROR(IF(OR(ISBLANK(Q78),ISBLANK(L78)),"",Q78*L78*VLOOKUP(C78,設定!$B$9:$D$23,3,FALSE)),"")</f>
        <v/>
      </c>
      <c r="U78" s="46" t="n"/>
      <c r="V78" s="46" t="n"/>
    </row>
    <row r="79">
      <c r="A79" s="53">
        <f>IF(ISBLANK(B79),"",COUNTA($B$18:B79))</f>
        <v/>
      </c>
      <c r="B79" s="54" t="n"/>
      <c r="C79" s="55" t="n"/>
      <c r="D79" s="55" t="n"/>
      <c r="E79" s="53" t="n"/>
      <c r="F79" s="56" t="n"/>
      <c r="G79" s="56" t="n"/>
      <c r="H79" s="56" t="n"/>
      <c r="I79" s="56" t="n"/>
      <c r="J79" s="56" t="n"/>
      <c r="K79" s="56" t="n"/>
      <c r="L79" s="57" t="n"/>
      <c r="M79" s="56" t="n"/>
      <c r="N79" s="55" t="n"/>
      <c r="O79" s="58">
        <f>IFERROR(IF(OR(ISBLANK(G79),ISBLANK(I79)),"",ABS(G79-I79)/VLOOKUP(C79,設定!$B$9:$D$23,2,FALSE)),"")</f>
        <v/>
      </c>
      <c r="P79" s="57">
        <f>IFERROR(IF(OR(ISBLANK(F79),ISBLANK(H79),ISBLANK(J79)),"",ABS(J79-F79)/ABS(F79-H79)),"")</f>
        <v/>
      </c>
      <c r="Q79" s="59">
        <f>IFERROR(IF(OR(ISBLANK(M79),ISBLANK(D79),ISBLANK(G79)),"",IF(D79="Long",(M79-G79),(G79-M79))/VLOOKUP(C79,設定!$B$9:$D$23,2,FALSE)),"")</f>
        <v/>
      </c>
      <c r="R79" s="60">
        <f>IFERROR(IF(OR(ISBLANK(Q79),O79=0),"",Q79/O79),"")</f>
        <v/>
      </c>
      <c r="S79" s="60">
        <f>IFERROR(IF(ISBLANK(R79),S78,IF(ISNUMBER(S78),S78,0)+R79),"")</f>
        <v/>
      </c>
      <c r="T79" s="61">
        <f>IFERROR(IF(OR(ISBLANK(Q79),ISBLANK(L79)),"",Q79*L79*VLOOKUP(C79,設定!$B$9:$D$23,3,FALSE)),"")</f>
        <v/>
      </c>
      <c r="U79" s="55" t="n"/>
      <c r="V79" s="55" t="n"/>
    </row>
    <row r="80">
      <c r="A80" s="44">
        <f>IF(ISBLANK(B80),"",COUNTA($B$18:B80))</f>
        <v/>
      </c>
      <c r="B80" s="45" t="n"/>
      <c r="C80" s="46" t="n"/>
      <c r="D80" s="46" t="n"/>
      <c r="E80" s="44" t="n"/>
      <c r="F80" s="47" t="n"/>
      <c r="G80" s="47" t="n"/>
      <c r="H80" s="47" t="n"/>
      <c r="I80" s="47" t="n"/>
      <c r="J80" s="47" t="n"/>
      <c r="K80" s="47" t="n"/>
      <c r="L80" s="48" t="n"/>
      <c r="M80" s="47" t="n"/>
      <c r="N80" s="46" t="n"/>
      <c r="O80" s="49">
        <f>IFERROR(IF(OR(ISBLANK(G80),ISBLANK(I80)),"",ABS(G80-I80)/VLOOKUP(C80,設定!$B$9:$D$23,2,FALSE)),"")</f>
        <v/>
      </c>
      <c r="P80" s="48">
        <f>IFERROR(IF(OR(ISBLANK(F80),ISBLANK(H80),ISBLANK(J80)),"",ABS(J80-F80)/ABS(F80-H80)),"")</f>
        <v/>
      </c>
      <c r="Q80" s="50">
        <f>IFERROR(IF(OR(ISBLANK(M80),ISBLANK(D80),ISBLANK(G80)),"",IF(D80="Long",(M80-G80),(G80-M80))/VLOOKUP(C80,設定!$B$9:$D$23,2,FALSE)),"")</f>
        <v/>
      </c>
      <c r="R80" s="51">
        <f>IFERROR(IF(OR(ISBLANK(Q80),O80=0),"",Q80/O80),"")</f>
        <v/>
      </c>
      <c r="S80" s="51">
        <f>IFERROR(IF(ISBLANK(R80),S79,IF(ISNUMBER(S79),S79,0)+R80),"")</f>
        <v/>
      </c>
      <c r="T80" s="52">
        <f>IFERROR(IF(OR(ISBLANK(Q80),ISBLANK(L80)),"",Q80*L80*VLOOKUP(C80,設定!$B$9:$D$23,3,FALSE)),"")</f>
        <v/>
      </c>
      <c r="U80" s="46" t="n"/>
      <c r="V80" s="46" t="n"/>
    </row>
    <row r="81">
      <c r="A81" s="53">
        <f>IF(ISBLANK(B81),"",COUNTA($B$18:B81))</f>
        <v/>
      </c>
      <c r="B81" s="54" t="n"/>
      <c r="C81" s="55" t="n"/>
      <c r="D81" s="55" t="n"/>
      <c r="E81" s="53" t="n"/>
      <c r="F81" s="56" t="n"/>
      <c r="G81" s="56" t="n"/>
      <c r="H81" s="56" t="n"/>
      <c r="I81" s="56" t="n"/>
      <c r="J81" s="56" t="n"/>
      <c r="K81" s="56" t="n"/>
      <c r="L81" s="57" t="n"/>
      <c r="M81" s="56" t="n"/>
      <c r="N81" s="55" t="n"/>
      <c r="O81" s="58">
        <f>IFERROR(IF(OR(ISBLANK(G81),ISBLANK(I81)),"",ABS(G81-I81)/VLOOKUP(C81,設定!$B$9:$D$23,2,FALSE)),"")</f>
        <v/>
      </c>
      <c r="P81" s="57">
        <f>IFERROR(IF(OR(ISBLANK(F81),ISBLANK(H81),ISBLANK(J81)),"",ABS(J81-F81)/ABS(F81-H81)),"")</f>
        <v/>
      </c>
      <c r="Q81" s="59">
        <f>IFERROR(IF(OR(ISBLANK(M81),ISBLANK(D81),ISBLANK(G81)),"",IF(D81="Long",(M81-G81),(G81-M81))/VLOOKUP(C81,設定!$B$9:$D$23,2,FALSE)),"")</f>
        <v/>
      </c>
      <c r="R81" s="60">
        <f>IFERROR(IF(OR(ISBLANK(Q81),O81=0),"",Q81/O81),"")</f>
        <v/>
      </c>
      <c r="S81" s="60">
        <f>IFERROR(IF(ISBLANK(R81),S80,IF(ISNUMBER(S80),S80,0)+R81),"")</f>
        <v/>
      </c>
      <c r="T81" s="61">
        <f>IFERROR(IF(OR(ISBLANK(Q81),ISBLANK(L81)),"",Q81*L81*VLOOKUP(C81,設定!$B$9:$D$23,3,FALSE)),"")</f>
        <v/>
      </c>
      <c r="U81" s="55" t="n"/>
      <c r="V81" s="55" t="n"/>
    </row>
    <row r="82">
      <c r="A82" s="44">
        <f>IF(ISBLANK(B82),"",COUNTA($B$18:B82))</f>
        <v/>
      </c>
      <c r="B82" s="45" t="n"/>
      <c r="C82" s="46" t="n"/>
      <c r="D82" s="46" t="n"/>
      <c r="E82" s="44" t="n"/>
      <c r="F82" s="47" t="n"/>
      <c r="G82" s="47" t="n"/>
      <c r="H82" s="47" t="n"/>
      <c r="I82" s="47" t="n"/>
      <c r="J82" s="47" t="n"/>
      <c r="K82" s="47" t="n"/>
      <c r="L82" s="48" t="n"/>
      <c r="M82" s="47" t="n"/>
      <c r="N82" s="46" t="n"/>
      <c r="O82" s="49">
        <f>IFERROR(IF(OR(ISBLANK(G82),ISBLANK(I82)),"",ABS(G82-I82)/VLOOKUP(C82,設定!$B$9:$D$23,2,FALSE)),"")</f>
        <v/>
      </c>
      <c r="P82" s="48">
        <f>IFERROR(IF(OR(ISBLANK(F82),ISBLANK(H82),ISBLANK(J82)),"",ABS(J82-F82)/ABS(F82-H82)),"")</f>
        <v/>
      </c>
      <c r="Q82" s="50">
        <f>IFERROR(IF(OR(ISBLANK(M82),ISBLANK(D82),ISBLANK(G82)),"",IF(D82="Long",(M82-G82),(G82-M82))/VLOOKUP(C82,設定!$B$9:$D$23,2,FALSE)),"")</f>
        <v/>
      </c>
      <c r="R82" s="51">
        <f>IFERROR(IF(OR(ISBLANK(Q82),O82=0),"",Q82/O82),"")</f>
        <v/>
      </c>
      <c r="S82" s="51">
        <f>IFERROR(IF(ISBLANK(R82),S81,IF(ISNUMBER(S81),S81,0)+R82),"")</f>
        <v/>
      </c>
      <c r="T82" s="52">
        <f>IFERROR(IF(OR(ISBLANK(Q82),ISBLANK(L82)),"",Q82*L82*VLOOKUP(C82,設定!$B$9:$D$23,3,FALSE)),"")</f>
        <v/>
      </c>
      <c r="U82" s="46" t="n"/>
      <c r="V82" s="46" t="n"/>
    </row>
    <row r="83">
      <c r="A83" s="53">
        <f>IF(ISBLANK(B83),"",COUNTA($B$18:B83))</f>
        <v/>
      </c>
      <c r="B83" s="54" t="n"/>
      <c r="C83" s="55" t="n"/>
      <c r="D83" s="55" t="n"/>
      <c r="E83" s="53" t="n"/>
      <c r="F83" s="56" t="n"/>
      <c r="G83" s="56" t="n"/>
      <c r="H83" s="56" t="n"/>
      <c r="I83" s="56" t="n"/>
      <c r="J83" s="56" t="n"/>
      <c r="K83" s="56" t="n"/>
      <c r="L83" s="57" t="n"/>
      <c r="M83" s="56" t="n"/>
      <c r="N83" s="55" t="n"/>
      <c r="O83" s="58">
        <f>IFERROR(IF(OR(ISBLANK(G83),ISBLANK(I83)),"",ABS(G83-I83)/VLOOKUP(C83,設定!$B$9:$D$23,2,FALSE)),"")</f>
        <v/>
      </c>
      <c r="P83" s="57">
        <f>IFERROR(IF(OR(ISBLANK(F83),ISBLANK(H83),ISBLANK(J83)),"",ABS(J83-F83)/ABS(F83-H83)),"")</f>
        <v/>
      </c>
      <c r="Q83" s="59">
        <f>IFERROR(IF(OR(ISBLANK(M83),ISBLANK(D83),ISBLANK(G83)),"",IF(D83="Long",(M83-G83),(G83-M83))/VLOOKUP(C83,設定!$B$9:$D$23,2,FALSE)),"")</f>
        <v/>
      </c>
      <c r="R83" s="60">
        <f>IFERROR(IF(OR(ISBLANK(Q83),O83=0),"",Q83/O83),"")</f>
        <v/>
      </c>
      <c r="S83" s="60">
        <f>IFERROR(IF(ISBLANK(R83),S82,IF(ISNUMBER(S82),S82,0)+R83),"")</f>
        <v/>
      </c>
      <c r="T83" s="61">
        <f>IFERROR(IF(OR(ISBLANK(Q83),ISBLANK(L83)),"",Q83*L83*VLOOKUP(C83,設定!$B$9:$D$23,3,FALSE)),"")</f>
        <v/>
      </c>
      <c r="U83" s="55" t="n"/>
      <c r="V83" s="55" t="n"/>
    </row>
    <row r="84">
      <c r="A84" s="44">
        <f>IF(ISBLANK(B84),"",COUNTA($B$18:B84))</f>
        <v/>
      </c>
      <c r="B84" s="45" t="n"/>
      <c r="C84" s="46" t="n"/>
      <c r="D84" s="46" t="n"/>
      <c r="E84" s="44" t="n"/>
      <c r="F84" s="47" t="n"/>
      <c r="G84" s="47" t="n"/>
      <c r="H84" s="47" t="n"/>
      <c r="I84" s="47" t="n"/>
      <c r="J84" s="47" t="n"/>
      <c r="K84" s="47" t="n"/>
      <c r="L84" s="48" t="n"/>
      <c r="M84" s="47" t="n"/>
      <c r="N84" s="46" t="n"/>
      <c r="O84" s="49">
        <f>IFERROR(IF(OR(ISBLANK(G84),ISBLANK(I84)),"",ABS(G84-I84)/VLOOKUP(C84,設定!$B$9:$D$23,2,FALSE)),"")</f>
        <v/>
      </c>
      <c r="P84" s="48">
        <f>IFERROR(IF(OR(ISBLANK(F84),ISBLANK(H84),ISBLANK(J84)),"",ABS(J84-F84)/ABS(F84-H84)),"")</f>
        <v/>
      </c>
      <c r="Q84" s="50">
        <f>IFERROR(IF(OR(ISBLANK(M84),ISBLANK(D84),ISBLANK(G84)),"",IF(D84="Long",(M84-G84),(G84-M84))/VLOOKUP(C84,設定!$B$9:$D$23,2,FALSE)),"")</f>
        <v/>
      </c>
      <c r="R84" s="51">
        <f>IFERROR(IF(OR(ISBLANK(Q84),O84=0),"",Q84/O84),"")</f>
        <v/>
      </c>
      <c r="S84" s="51">
        <f>IFERROR(IF(ISBLANK(R84),S83,IF(ISNUMBER(S83),S83,0)+R84),"")</f>
        <v/>
      </c>
      <c r="T84" s="52">
        <f>IFERROR(IF(OR(ISBLANK(Q84),ISBLANK(L84)),"",Q84*L84*VLOOKUP(C84,設定!$B$9:$D$23,3,FALSE)),"")</f>
        <v/>
      </c>
      <c r="U84" s="46" t="n"/>
      <c r="V84" s="46" t="n"/>
    </row>
    <row r="85">
      <c r="A85" s="53">
        <f>IF(ISBLANK(B85),"",COUNTA($B$18:B85))</f>
        <v/>
      </c>
      <c r="B85" s="54" t="n"/>
      <c r="C85" s="55" t="n"/>
      <c r="D85" s="55" t="n"/>
      <c r="E85" s="53" t="n"/>
      <c r="F85" s="56" t="n"/>
      <c r="G85" s="56" t="n"/>
      <c r="H85" s="56" t="n"/>
      <c r="I85" s="56" t="n"/>
      <c r="J85" s="56" t="n"/>
      <c r="K85" s="56" t="n"/>
      <c r="L85" s="57" t="n"/>
      <c r="M85" s="56" t="n"/>
      <c r="N85" s="55" t="n"/>
      <c r="O85" s="58">
        <f>IFERROR(IF(OR(ISBLANK(G85),ISBLANK(I85)),"",ABS(G85-I85)/VLOOKUP(C85,設定!$B$9:$D$23,2,FALSE)),"")</f>
        <v/>
      </c>
      <c r="P85" s="57">
        <f>IFERROR(IF(OR(ISBLANK(F85),ISBLANK(H85),ISBLANK(J85)),"",ABS(J85-F85)/ABS(F85-H85)),"")</f>
        <v/>
      </c>
      <c r="Q85" s="59">
        <f>IFERROR(IF(OR(ISBLANK(M85),ISBLANK(D85),ISBLANK(G85)),"",IF(D85="Long",(M85-G85),(G85-M85))/VLOOKUP(C85,設定!$B$9:$D$23,2,FALSE)),"")</f>
        <v/>
      </c>
      <c r="R85" s="60">
        <f>IFERROR(IF(OR(ISBLANK(Q85),O85=0),"",Q85/O85),"")</f>
        <v/>
      </c>
      <c r="S85" s="60">
        <f>IFERROR(IF(ISBLANK(R85),S84,IF(ISNUMBER(S84),S84,0)+R85),"")</f>
        <v/>
      </c>
      <c r="T85" s="61">
        <f>IFERROR(IF(OR(ISBLANK(Q85),ISBLANK(L85)),"",Q85*L85*VLOOKUP(C85,設定!$B$9:$D$23,3,FALSE)),"")</f>
        <v/>
      </c>
      <c r="U85" s="55" t="n"/>
      <c r="V85" s="55" t="n"/>
    </row>
    <row r="86">
      <c r="A86" s="44">
        <f>IF(ISBLANK(B86),"",COUNTA($B$18:B86))</f>
        <v/>
      </c>
      <c r="B86" s="45" t="n"/>
      <c r="C86" s="46" t="n"/>
      <c r="D86" s="46" t="n"/>
      <c r="E86" s="44" t="n"/>
      <c r="F86" s="47" t="n"/>
      <c r="G86" s="47" t="n"/>
      <c r="H86" s="47" t="n"/>
      <c r="I86" s="47" t="n"/>
      <c r="J86" s="47" t="n"/>
      <c r="K86" s="47" t="n"/>
      <c r="L86" s="48" t="n"/>
      <c r="M86" s="47" t="n"/>
      <c r="N86" s="46" t="n"/>
      <c r="O86" s="49">
        <f>IFERROR(IF(OR(ISBLANK(G86),ISBLANK(I86)),"",ABS(G86-I86)/VLOOKUP(C86,設定!$B$9:$D$23,2,FALSE)),"")</f>
        <v/>
      </c>
      <c r="P86" s="48">
        <f>IFERROR(IF(OR(ISBLANK(F86),ISBLANK(H86),ISBLANK(J86)),"",ABS(J86-F86)/ABS(F86-H86)),"")</f>
        <v/>
      </c>
      <c r="Q86" s="50">
        <f>IFERROR(IF(OR(ISBLANK(M86),ISBLANK(D86),ISBLANK(G86)),"",IF(D86="Long",(M86-G86),(G86-M86))/VLOOKUP(C86,設定!$B$9:$D$23,2,FALSE)),"")</f>
        <v/>
      </c>
      <c r="R86" s="51">
        <f>IFERROR(IF(OR(ISBLANK(Q86),O86=0),"",Q86/O86),"")</f>
        <v/>
      </c>
      <c r="S86" s="51">
        <f>IFERROR(IF(ISBLANK(R86),S85,IF(ISNUMBER(S85),S85,0)+R86),"")</f>
        <v/>
      </c>
      <c r="T86" s="52">
        <f>IFERROR(IF(OR(ISBLANK(Q86),ISBLANK(L86)),"",Q86*L86*VLOOKUP(C86,設定!$B$9:$D$23,3,FALSE)),"")</f>
        <v/>
      </c>
      <c r="U86" s="46" t="n"/>
      <c r="V86" s="46" t="n"/>
    </row>
    <row r="87">
      <c r="A87" s="53">
        <f>IF(ISBLANK(B87),"",COUNTA($B$18:B87))</f>
        <v/>
      </c>
      <c r="B87" s="54" t="n"/>
      <c r="C87" s="55" t="n"/>
      <c r="D87" s="55" t="n"/>
      <c r="E87" s="53" t="n"/>
      <c r="F87" s="56" t="n"/>
      <c r="G87" s="56" t="n"/>
      <c r="H87" s="56" t="n"/>
      <c r="I87" s="56" t="n"/>
      <c r="J87" s="56" t="n"/>
      <c r="K87" s="56" t="n"/>
      <c r="L87" s="57" t="n"/>
      <c r="M87" s="56" t="n"/>
      <c r="N87" s="55" t="n"/>
      <c r="O87" s="58">
        <f>IFERROR(IF(OR(ISBLANK(G87),ISBLANK(I87)),"",ABS(G87-I87)/VLOOKUP(C87,設定!$B$9:$D$23,2,FALSE)),"")</f>
        <v/>
      </c>
      <c r="P87" s="57">
        <f>IFERROR(IF(OR(ISBLANK(F87),ISBLANK(H87),ISBLANK(J87)),"",ABS(J87-F87)/ABS(F87-H87)),"")</f>
        <v/>
      </c>
      <c r="Q87" s="59">
        <f>IFERROR(IF(OR(ISBLANK(M87),ISBLANK(D87),ISBLANK(G87)),"",IF(D87="Long",(M87-G87),(G87-M87))/VLOOKUP(C87,設定!$B$9:$D$23,2,FALSE)),"")</f>
        <v/>
      </c>
      <c r="R87" s="60">
        <f>IFERROR(IF(OR(ISBLANK(Q87),O87=0),"",Q87/O87),"")</f>
        <v/>
      </c>
      <c r="S87" s="60">
        <f>IFERROR(IF(ISBLANK(R87),S86,IF(ISNUMBER(S86),S86,0)+R87),"")</f>
        <v/>
      </c>
      <c r="T87" s="61">
        <f>IFERROR(IF(OR(ISBLANK(Q87),ISBLANK(L87)),"",Q87*L87*VLOOKUP(C87,設定!$B$9:$D$23,3,FALSE)),"")</f>
        <v/>
      </c>
      <c r="U87" s="55" t="n"/>
      <c r="V87" s="55" t="n"/>
    </row>
    <row r="88">
      <c r="A88" s="44">
        <f>IF(ISBLANK(B88),"",COUNTA($B$18:B88))</f>
        <v/>
      </c>
      <c r="B88" s="45" t="n"/>
      <c r="C88" s="46" t="n"/>
      <c r="D88" s="46" t="n"/>
      <c r="E88" s="44" t="n"/>
      <c r="F88" s="47" t="n"/>
      <c r="G88" s="47" t="n"/>
      <c r="H88" s="47" t="n"/>
      <c r="I88" s="47" t="n"/>
      <c r="J88" s="47" t="n"/>
      <c r="K88" s="47" t="n"/>
      <c r="L88" s="48" t="n"/>
      <c r="M88" s="47" t="n"/>
      <c r="N88" s="46" t="n"/>
      <c r="O88" s="49">
        <f>IFERROR(IF(OR(ISBLANK(G88),ISBLANK(I88)),"",ABS(G88-I88)/VLOOKUP(C88,設定!$B$9:$D$23,2,FALSE)),"")</f>
        <v/>
      </c>
      <c r="P88" s="48">
        <f>IFERROR(IF(OR(ISBLANK(F88),ISBLANK(H88),ISBLANK(J88)),"",ABS(J88-F88)/ABS(F88-H88)),"")</f>
        <v/>
      </c>
      <c r="Q88" s="50">
        <f>IFERROR(IF(OR(ISBLANK(M88),ISBLANK(D88),ISBLANK(G88)),"",IF(D88="Long",(M88-G88),(G88-M88))/VLOOKUP(C88,設定!$B$9:$D$23,2,FALSE)),"")</f>
        <v/>
      </c>
      <c r="R88" s="51">
        <f>IFERROR(IF(OR(ISBLANK(Q88),O88=0),"",Q88/O88),"")</f>
        <v/>
      </c>
      <c r="S88" s="51">
        <f>IFERROR(IF(ISBLANK(R88),S87,IF(ISNUMBER(S87),S87,0)+R88),"")</f>
        <v/>
      </c>
      <c r="T88" s="52">
        <f>IFERROR(IF(OR(ISBLANK(Q88),ISBLANK(L88)),"",Q88*L88*VLOOKUP(C88,設定!$B$9:$D$23,3,FALSE)),"")</f>
        <v/>
      </c>
      <c r="U88" s="46" t="n"/>
      <c r="V88" s="46" t="n"/>
    </row>
    <row r="89">
      <c r="A89" s="53">
        <f>IF(ISBLANK(B89),"",COUNTA($B$18:B89))</f>
        <v/>
      </c>
      <c r="B89" s="54" t="n"/>
      <c r="C89" s="55" t="n"/>
      <c r="D89" s="55" t="n"/>
      <c r="E89" s="53" t="n"/>
      <c r="F89" s="56" t="n"/>
      <c r="G89" s="56" t="n"/>
      <c r="H89" s="56" t="n"/>
      <c r="I89" s="56" t="n"/>
      <c r="J89" s="56" t="n"/>
      <c r="K89" s="56" t="n"/>
      <c r="L89" s="57" t="n"/>
      <c r="M89" s="56" t="n"/>
      <c r="N89" s="55" t="n"/>
      <c r="O89" s="58">
        <f>IFERROR(IF(OR(ISBLANK(G89),ISBLANK(I89)),"",ABS(G89-I89)/VLOOKUP(C89,設定!$B$9:$D$23,2,FALSE)),"")</f>
        <v/>
      </c>
      <c r="P89" s="57">
        <f>IFERROR(IF(OR(ISBLANK(F89),ISBLANK(H89),ISBLANK(J89)),"",ABS(J89-F89)/ABS(F89-H89)),"")</f>
        <v/>
      </c>
      <c r="Q89" s="59">
        <f>IFERROR(IF(OR(ISBLANK(M89),ISBLANK(D89),ISBLANK(G89)),"",IF(D89="Long",(M89-G89),(G89-M89))/VLOOKUP(C89,設定!$B$9:$D$23,2,FALSE)),"")</f>
        <v/>
      </c>
      <c r="R89" s="60">
        <f>IFERROR(IF(OR(ISBLANK(Q89),O89=0),"",Q89/O89),"")</f>
        <v/>
      </c>
      <c r="S89" s="60">
        <f>IFERROR(IF(ISBLANK(R89),S88,IF(ISNUMBER(S88),S88,0)+R89),"")</f>
        <v/>
      </c>
      <c r="T89" s="61">
        <f>IFERROR(IF(OR(ISBLANK(Q89),ISBLANK(L89)),"",Q89*L89*VLOOKUP(C89,設定!$B$9:$D$23,3,FALSE)),"")</f>
        <v/>
      </c>
      <c r="U89" s="55" t="n"/>
      <c r="V89" s="55" t="n"/>
    </row>
    <row r="90">
      <c r="A90" s="44">
        <f>IF(ISBLANK(B90),"",COUNTA($B$18:B90))</f>
        <v/>
      </c>
      <c r="B90" s="45" t="n"/>
      <c r="C90" s="46" t="n"/>
      <c r="D90" s="46" t="n"/>
      <c r="E90" s="44" t="n"/>
      <c r="F90" s="47" t="n"/>
      <c r="G90" s="47" t="n"/>
      <c r="H90" s="47" t="n"/>
      <c r="I90" s="47" t="n"/>
      <c r="J90" s="47" t="n"/>
      <c r="K90" s="47" t="n"/>
      <c r="L90" s="48" t="n"/>
      <c r="M90" s="47" t="n"/>
      <c r="N90" s="46" t="n"/>
      <c r="O90" s="49">
        <f>IFERROR(IF(OR(ISBLANK(G90),ISBLANK(I90)),"",ABS(G90-I90)/VLOOKUP(C90,設定!$B$9:$D$23,2,FALSE)),"")</f>
        <v/>
      </c>
      <c r="P90" s="48">
        <f>IFERROR(IF(OR(ISBLANK(F90),ISBLANK(H90),ISBLANK(J90)),"",ABS(J90-F90)/ABS(F90-H90)),"")</f>
        <v/>
      </c>
      <c r="Q90" s="50">
        <f>IFERROR(IF(OR(ISBLANK(M90),ISBLANK(D90),ISBLANK(G90)),"",IF(D90="Long",(M90-G90),(G90-M90))/VLOOKUP(C90,設定!$B$9:$D$23,2,FALSE)),"")</f>
        <v/>
      </c>
      <c r="R90" s="51">
        <f>IFERROR(IF(OR(ISBLANK(Q90),O90=0),"",Q90/O90),"")</f>
        <v/>
      </c>
      <c r="S90" s="51">
        <f>IFERROR(IF(ISBLANK(R90),S89,IF(ISNUMBER(S89),S89,0)+R90),"")</f>
        <v/>
      </c>
      <c r="T90" s="52">
        <f>IFERROR(IF(OR(ISBLANK(Q90),ISBLANK(L90)),"",Q90*L90*VLOOKUP(C90,設定!$B$9:$D$23,3,FALSE)),"")</f>
        <v/>
      </c>
      <c r="U90" s="46" t="n"/>
      <c r="V90" s="46" t="n"/>
    </row>
    <row r="91">
      <c r="A91" s="53">
        <f>IF(ISBLANK(B91),"",COUNTA($B$18:B91))</f>
        <v/>
      </c>
      <c r="B91" s="54" t="n"/>
      <c r="C91" s="55" t="n"/>
      <c r="D91" s="55" t="n"/>
      <c r="E91" s="53" t="n"/>
      <c r="F91" s="56" t="n"/>
      <c r="G91" s="56" t="n"/>
      <c r="H91" s="56" t="n"/>
      <c r="I91" s="56" t="n"/>
      <c r="J91" s="56" t="n"/>
      <c r="K91" s="56" t="n"/>
      <c r="L91" s="57" t="n"/>
      <c r="M91" s="56" t="n"/>
      <c r="N91" s="55" t="n"/>
      <c r="O91" s="58">
        <f>IFERROR(IF(OR(ISBLANK(G91),ISBLANK(I91)),"",ABS(G91-I91)/VLOOKUP(C91,設定!$B$9:$D$23,2,FALSE)),"")</f>
        <v/>
      </c>
      <c r="P91" s="57">
        <f>IFERROR(IF(OR(ISBLANK(F91),ISBLANK(H91),ISBLANK(J91)),"",ABS(J91-F91)/ABS(F91-H91)),"")</f>
        <v/>
      </c>
      <c r="Q91" s="59">
        <f>IFERROR(IF(OR(ISBLANK(M91),ISBLANK(D91),ISBLANK(G91)),"",IF(D91="Long",(M91-G91),(G91-M91))/VLOOKUP(C91,設定!$B$9:$D$23,2,FALSE)),"")</f>
        <v/>
      </c>
      <c r="R91" s="60">
        <f>IFERROR(IF(OR(ISBLANK(Q91),O91=0),"",Q91/O91),"")</f>
        <v/>
      </c>
      <c r="S91" s="60">
        <f>IFERROR(IF(ISBLANK(R91),S90,IF(ISNUMBER(S90),S90,0)+R91),"")</f>
        <v/>
      </c>
      <c r="T91" s="61">
        <f>IFERROR(IF(OR(ISBLANK(Q91),ISBLANK(L91)),"",Q91*L91*VLOOKUP(C91,設定!$B$9:$D$23,3,FALSE)),"")</f>
        <v/>
      </c>
      <c r="U91" s="55" t="n"/>
      <c r="V91" s="55" t="n"/>
    </row>
    <row r="92">
      <c r="A92" s="44">
        <f>IF(ISBLANK(B92),"",COUNTA($B$18:B92))</f>
        <v/>
      </c>
      <c r="B92" s="45" t="n"/>
      <c r="C92" s="46" t="n"/>
      <c r="D92" s="46" t="n"/>
      <c r="E92" s="44" t="n"/>
      <c r="F92" s="47" t="n"/>
      <c r="G92" s="47" t="n"/>
      <c r="H92" s="47" t="n"/>
      <c r="I92" s="47" t="n"/>
      <c r="J92" s="47" t="n"/>
      <c r="K92" s="47" t="n"/>
      <c r="L92" s="48" t="n"/>
      <c r="M92" s="47" t="n"/>
      <c r="N92" s="46" t="n"/>
      <c r="O92" s="49">
        <f>IFERROR(IF(OR(ISBLANK(G92),ISBLANK(I92)),"",ABS(G92-I92)/VLOOKUP(C92,設定!$B$9:$D$23,2,FALSE)),"")</f>
        <v/>
      </c>
      <c r="P92" s="48">
        <f>IFERROR(IF(OR(ISBLANK(F92),ISBLANK(H92),ISBLANK(J92)),"",ABS(J92-F92)/ABS(F92-H92)),"")</f>
        <v/>
      </c>
      <c r="Q92" s="50">
        <f>IFERROR(IF(OR(ISBLANK(M92),ISBLANK(D92),ISBLANK(G92)),"",IF(D92="Long",(M92-G92),(G92-M92))/VLOOKUP(C92,設定!$B$9:$D$23,2,FALSE)),"")</f>
        <v/>
      </c>
      <c r="R92" s="51">
        <f>IFERROR(IF(OR(ISBLANK(Q92),O92=0),"",Q92/O92),"")</f>
        <v/>
      </c>
      <c r="S92" s="51">
        <f>IFERROR(IF(ISBLANK(R92),S91,IF(ISNUMBER(S91),S91,0)+R92),"")</f>
        <v/>
      </c>
      <c r="T92" s="52">
        <f>IFERROR(IF(OR(ISBLANK(Q92),ISBLANK(L92)),"",Q92*L92*VLOOKUP(C92,設定!$B$9:$D$23,3,FALSE)),"")</f>
        <v/>
      </c>
      <c r="U92" s="46" t="n"/>
      <c r="V92" s="46" t="n"/>
    </row>
    <row r="93">
      <c r="A93" s="53">
        <f>IF(ISBLANK(B93),"",COUNTA($B$18:B93))</f>
        <v/>
      </c>
      <c r="B93" s="54" t="n"/>
      <c r="C93" s="55" t="n"/>
      <c r="D93" s="55" t="n"/>
      <c r="E93" s="53" t="n"/>
      <c r="F93" s="56" t="n"/>
      <c r="G93" s="56" t="n"/>
      <c r="H93" s="56" t="n"/>
      <c r="I93" s="56" t="n"/>
      <c r="J93" s="56" t="n"/>
      <c r="K93" s="56" t="n"/>
      <c r="L93" s="57" t="n"/>
      <c r="M93" s="56" t="n"/>
      <c r="N93" s="55" t="n"/>
      <c r="O93" s="58">
        <f>IFERROR(IF(OR(ISBLANK(G93),ISBLANK(I93)),"",ABS(G93-I93)/VLOOKUP(C93,設定!$B$9:$D$23,2,FALSE)),"")</f>
        <v/>
      </c>
      <c r="P93" s="57">
        <f>IFERROR(IF(OR(ISBLANK(F93),ISBLANK(H93),ISBLANK(J93)),"",ABS(J93-F93)/ABS(F93-H93)),"")</f>
        <v/>
      </c>
      <c r="Q93" s="59">
        <f>IFERROR(IF(OR(ISBLANK(M93),ISBLANK(D93),ISBLANK(G93)),"",IF(D93="Long",(M93-G93),(G93-M93))/VLOOKUP(C93,設定!$B$9:$D$23,2,FALSE)),"")</f>
        <v/>
      </c>
      <c r="R93" s="60">
        <f>IFERROR(IF(OR(ISBLANK(Q93),O93=0),"",Q93/O93),"")</f>
        <v/>
      </c>
      <c r="S93" s="60">
        <f>IFERROR(IF(ISBLANK(R93),S92,IF(ISNUMBER(S92),S92,0)+R93),"")</f>
        <v/>
      </c>
      <c r="T93" s="61">
        <f>IFERROR(IF(OR(ISBLANK(Q93),ISBLANK(L93)),"",Q93*L93*VLOOKUP(C93,設定!$B$9:$D$23,3,FALSE)),"")</f>
        <v/>
      </c>
      <c r="U93" s="55" t="n"/>
      <c r="V93" s="55" t="n"/>
    </row>
    <row r="94">
      <c r="A94" s="44">
        <f>IF(ISBLANK(B94),"",COUNTA($B$18:B94))</f>
        <v/>
      </c>
      <c r="B94" s="45" t="n"/>
      <c r="C94" s="46" t="n"/>
      <c r="D94" s="46" t="n"/>
      <c r="E94" s="44" t="n"/>
      <c r="F94" s="47" t="n"/>
      <c r="G94" s="47" t="n"/>
      <c r="H94" s="47" t="n"/>
      <c r="I94" s="47" t="n"/>
      <c r="J94" s="47" t="n"/>
      <c r="K94" s="47" t="n"/>
      <c r="L94" s="48" t="n"/>
      <c r="M94" s="47" t="n"/>
      <c r="N94" s="46" t="n"/>
      <c r="O94" s="49">
        <f>IFERROR(IF(OR(ISBLANK(G94),ISBLANK(I94)),"",ABS(G94-I94)/VLOOKUP(C94,設定!$B$9:$D$23,2,FALSE)),"")</f>
        <v/>
      </c>
      <c r="P94" s="48">
        <f>IFERROR(IF(OR(ISBLANK(F94),ISBLANK(H94),ISBLANK(J94)),"",ABS(J94-F94)/ABS(F94-H94)),"")</f>
        <v/>
      </c>
      <c r="Q94" s="50">
        <f>IFERROR(IF(OR(ISBLANK(M94),ISBLANK(D94),ISBLANK(G94)),"",IF(D94="Long",(M94-G94),(G94-M94))/VLOOKUP(C94,設定!$B$9:$D$23,2,FALSE)),"")</f>
        <v/>
      </c>
      <c r="R94" s="51">
        <f>IFERROR(IF(OR(ISBLANK(Q94),O94=0),"",Q94/O94),"")</f>
        <v/>
      </c>
      <c r="S94" s="51">
        <f>IFERROR(IF(ISBLANK(R94),S93,IF(ISNUMBER(S93),S93,0)+R94),"")</f>
        <v/>
      </c>
      <c r="T94" s="52">
        <f>IFERROR(IF(OR(ISBLANK(Q94),ISBLANK(L94)),"",Q94*L94*VLOOKUP(C94,設定!$B$9:$D$23,3,FALSE)),"")</f>
        <v/>
      </c>
      <c r="U94" s="46" t="n"/>
      <c r="V94" s="46" t="n"/>
    </row>
    <row r="95">
      <c r="A95" s="53">
        <f>IF(ISBLANK(B95),"",COUNTA($B$18:B95))</f>
        <v/>
      </c>
      <c r="B95" s="54" t="n"/>
      <c r="C95" s="55" t="n"/>
      <c r="D95" s="55" t="n"/>
      <c r="E95" s="53" t="n"/>
      <c r="F95" s="56" t="n"/>
      <c r="G95" s="56" t="n"/>
      <c r="H95" s="56" t="n"/>
      <c r="I95" s="56" t="n"/>
      <c r="J95" s="56" t="n"/>
      <c r="K95" s="56" t="n"/>
      <c r="L95" s="57" t="n"/>
      <c r="M95" s="56" t="n"/>
      <c r="N95" s="55" t="n"/>
      <c r="O95" s="58">
        <f>IFERROR(IF(OR(ISBLANK(G95),ISBLANK(I95)),"",ABS(G95-I95)/VLOOKUP(C95,設定!$B$9:$D$23,2,FALSE)),"")</f>
        <v/>
      </c>
      <c r="P95" s="57">
        <f>IFERROR(IF(OR(ISBLANK(F95),ISBLANK(H95),ISBLANK(J95)),"",ABS(J95-F95)/ABS(F95-H95)),"")</f>
        <v/>
      </c>
      <c r="Q95" s="59">
        <f>IFERROR(IF(OR(ISBLANK(M95),ISBLANK(D95),ISBLANK(G95)),"",IF(D95="Long",(M95-G95),(G95-M95))/VLOOKUP(C95,設定!$B$9:$D$23,2,FALSE)),"")</f>
        <v/>
      </c>
      <c r="R95" s="60">
        <f>IFERROR(IF(OR(ISBLANK(Q95),O95=0),"",Q95/O95),"")</f>
        <v/>
      </c>
      <c r="S95" s="60">
        <f>IFERROR(IF(ISBLANK(R95),S94,IF(ISNUMBER(S94),S94,0)+R95),"")</f>
        <v/>
      </c>
      <c r="T95" s="61">
        <f>IFERROR(IF(OR(ISBLANK(Q95),ISBLANK(L95)),"",Q95*L95*VLOOKUP(C95,設定!$B$9:$D$23,3,FALSE)),"")</f>
        <v/>
      </c>
      <c r="U95" s="55" t="n"/>
      <c r="V95" s="55" t="n"/>
    </row>
    <row r="96">
      <c r="A96" s="44">
        <f>IF(ISBLANK(B96),"",COUNTA($B$18:B96))</f>
        <v/>
      </c>
      <c r="B96" s="45" t="n"/>
      <c r="C96" s="46" t="n"/>
      <c r="D96" s="46" t="n"/>
      <c r="E96" s="44" t="n"/>
      <c r="F96" s="47" t="n"/>
      <c r="G96" s="47" t="n"/>
      <c r="H96" s="47" t="n"/>
      <c r="I96" s="47" t="n"/>
      <c r="J96" s="47" t="n"/>
      <c r="K96" s="47" t="n"/>
      <c r="L96" s="48" t="n"/>
      <c r="M96" s="47" t="n"/>
      <c r="N96" s="46" t="n"/>
      <c r="O96" s="49">
        <f>IFERROR(IF(OR(ISBLANK(G96),ISBLANK(I96)),"",ABS(G96-I96)/VLOOKUP(C96,設定!$B$9:$D$23,2,FALSE)),"")</f>
        <v/>
      </c>
      <c r="P96" s="48">
        <f>IFERROR(IF(OR(ISBLANK(F96),ISBLANK(H96),ISBLANK(J96)),"",ABS(J96-F96)/ABS(F96-H96)),"")</f>
        <v/>
      </c>
      <c r="Q96" s="50">
        <f>IFERROR(IF(OR(ISBLANK(M96),ISBLANK(D96),ISBLANK(G96)),"",IF(D96="Long",(M96-G96),(G96-M96))/VLOOKUP(C96,設定!$B$9:$D$23,2,FALSE)),"")</f>
        <v/>
      </c>
      <c r="R96" s="51">
        <f>IFERROR(IF(OR(ISBLANK(Q96),O96=0),"",Q96/O96),"")</f>
        <v/>
      </c>
      <c r="S96" s="51">
        <f>IFERROR(IF(ISBLANK(R96),S95,IF(ISNUMBER(S95),S95,0)+R96),"")</f>
        <v/>
      </c>
      <c r="T96" s="52">
        <f>IFERROR(IF(OR(ISBLANK(Q96),ISBLANK(L96)),"",Q96*L96*VLOOKUP(C96,設定!$B$9:$D$23,3,FALSE)),"")</f>
        <v/>
      </c>
      <c r="U96" s="46" t="n"/>
      <c r="V96" s="46" t="n"/>
    </row>
    <row r="97">
      <c r="A97" s="53">
        <f>IF(ISBLANK(B97),"",COUNTA($B$18:B97))</f>
        <v/>
      </c>
      <c r="B97" s="54" t="n"/>
      <c r="C97" s="55" t="n"/>
      <c r="D97" s="55" t="n"/>
      <c r="E97" s="53" t="n"/>
      <c r="F97" s="56" t="n"/>
      <c r="G97" s="56" t="n"/>
      <c r="H97" s="56" t="n"/>
      <c r="I97" s="56" t="n"/>
      <c r="J97" s="56" t="n"/>
      <c r="K97" s="56" t="n"/>
      <c r="L97" s="57" t="n"/>
      <c r="M97" s="56" t="n"/>
      <c r="N97" s="55" t="n"/>
      <c r="O97" s="58">
        <f>IFERROR(IF(OR(ISBLANK(G97),ISBLANK(I97)),"",ABS(G97-I97)/VLOOKUP(C97,設定!$B$9:$D$23,2,FALSE)),"")</f>
        <v/>
      </c>
      <c r="P97" s="57">
        <f>IFERROR(IF(OR(ISBLANK(F97),ISBLANK(H97),ISBLANK(J97)),"",ABS(J97-F97)/ABS(F97-H97)),"")</f>
        <v/>
      </c>
      <c r="Q97" s="59">
        <f>IFERROR(IF(OR(ISBLANK(M97),ISBLANK(D97),ISBLANK(G97)),"",IF(D97="Long",(M97-G97),(G97-M97))/VLOOKUP(C97,設定!$B$9:$D$23,2,FALSE)),"")</f>
        <v/>
      </c>
      <c r="R97" s="60">
        <f>IFERROR(IF(OR(ISBLANK(Q97),O97=0),"",Q97/O97),"")</f>
        <v/>
      </c>
      <c r="S97" s="60">
        <f>IFERROR(IF(ISBLANK(R97),S96,IF(ISNUMBER(S96),S96,0)+R97),"")</f>
        <v/>
      </c>
      <c r="T97" s="61">
        <f>IFERROR(IF(OR(ISBLANK(Q97),ISBLANK(L97)),"",Q97*L97*VLOOKUP(C97,設定!$B$9:$D$23,3,FALSE)),"")</f>
        <v/>
      </c>
      <c r="U97" s="55" t="n"/>
      <c r="V97" s="55" t="n"/>
    </row>
    <row r="98">
      <c r="A98" s="44">
        <f>IF(ISBLANK(B98),"",COUNTA($B$18:B98))</f>
        <v/>
      </c>
      <c r="B98" s="45" t="n"/>
      <c r="C98" s="46" t="n"/>
      <c r="D98" s="46" t="n"/>
      <c r="E98" s="44" t="n"/>
      <c r="F98" s="47" t="n"/>
      <c r="G98" s="47" t="n"/>
      <c r="H98" s="47" t="n"/>
      <c r="I98" s="47" t="n"/>
      <c r="J98" s="47" t="n"/>
      <c r="K98" s="47" t="n"/>
      <c r="L98" s="48" t="n"/>
      <c r="M98" s="47" t="n"/>
      <c r="N98" s="46" t="n"/>
      <c r="O98" s="49">
        <f>IFERROR(IF(OR(ISBLANK(G98),ISBLANK(I98)),"",ABS(G98-I98)/VLOOKUP(C98,設定!$B$9:$D$23,2,FALSE)),"")</f>
        <v/>
      </c>
      <c r="P98" s="48">
        <f>IFERROR(IF(OR(ISBLANK(F98),ISBLANK(H98),ISBLANK(J98)),"",ABS(J98-F98)/ABS(F98-H98)),"")</f>
        <v/>
      </c>
      <c r="Q98" s="50">
        <f>IFERROR(IF(OR(ISBLANK(M98),ISBLANK(D98),ISBLANK(G98)),"",IF(D98="Long",(M98-G98),(G98-M98))/VLOOKUP(C98,設定!$B$9:$D$23,2,FALSE)),"")</f>
        <v/>
      </c>
      <c r="R98" s="51">
        <f>IFERROR(IF(OR(ISBLANK(Q98),O98=0),"",Q98/O98),"")</f>
        <v/>
      </c>
      <c r="S98" s="51">
        <f>IFERROR(IF(ISBLANK(R98),S97,IF(ISNUMBER(S97),S97,0)+R98),"")</f>
        <v/>
      </c>
      <c r="T98" s="52">
        <f>IFERROR(IF(OR(ISBLANK(Q98),ISBLANK(L98)),"",Q98*L98*VLOOKUP(C98,設定!$B$9:$D$23,3,FALSE)),"")</f>
        <v/>
      </c>
      <c r="U98" s="46" t="n"/>
      <c r="V98" s="46" t="n"/>
    </row>
    <row r="99">
      <c r="A99" s="53">
        <f>IF(ISBLANK(B99),"",COUNTA($B$18:B99))</f>
        <v/>
      </c>
      <c r="B99" s="54" t="n"/>
      <c r="C99" s="55" t="n"/>
      <c r="D99" s="55" t="n"/>
      <c r="E99" s="53" t="n"/>
      <c r="F99" s="56" t="n"/>
      <c r="G99" s="56" t="n"/>
      <c r="H99" s="56" t="n"/>
      <c r="I99" s="56" t="n"/>
      <c r="J99" s="56" t="n"/>
      <c r="K99" s="56" t="n"/>
      <c r="L99" s="57" t="n"/>
      <c r="M99" s="56" t="n"/>
      <c r="N99" s="55" t="n"/>
      <c r="O99" s="58">
        <f>IFERROR(IF(OR(ISBLANK(G99),ISBLANK(I99)),"",ABS(G99-I99)/VLOOKUP(C99,設定!$B$9:$D$23,2,FALSE)),"")</f>
        <v/>
      </c>
      <c r="P99" s="57">
        <f>IFERROR(IF(OR(ISBLANK(F99),ISBLANK(H99),ISBLANK(J99)),"",ABS(J99-F99)/ABS(F99-H99)),"")</f>
        <v/>
      </c>
      <c r="Q99" s="59">
        <f>IFERROR(IF(OR(ISBLANK(M99),ISBLANK(D99),ISBLANK(G99)),"",IF(D99="Long",(M99-G99),(G99-M99))/VLOOKUP(C99,設定!$B$9:$D$23,2,FALSE)),"")</f>
        <v/>
      </c>
      <c r="R99" s="60">
        <f>IFERROR(IF(OR(ISBLANK(Q99),O99=0),"",Q99/O99),"")</f>
        <v/>
      </c>
      <c r="S99" s="60">
        <f>IFERROR(IF(ISBLANK(R99),S98,IF(ISNUMBER(S98),S98,0)+R99),"")</f>
        <v/>
      </c>
      <c r="T99" s="61">
        <f>IFERROR(IF(OR(ISBLANK(Q99),ISBLANK(L99)),"",Q99*L99*VLOOKUP(C99,設定!$B$9:$D$23,3,FALSE)),"")</f>
        <v/>
      </c>
      <c r="U99" s="55" t="n"/>
      <c r="V99" s="55" t="n"/>
    </row>
    <row r="100">
      <c r="A100" s="44">
        <f>IF(ISBLANK(B100),"",COUNTA($B$18:B100))</f>
        <v/>
      </c>
      <c r="B100" s="45" t="n"/>
      <c r="C100" s="46" t="n"/>
      <c r="D100" s="46" t="n"/>
      <c r="E100" s="44" t="n"/>
      <c r="F100" s="47" t="n"/>
      <c r="G100" s="47" t="n"/>
      <c r="H100" s="47" t="n"/>
      <c r="I100" s="47" t="n"/>
      <c r="J100" s="47" t="n"/>
      <c r="K100" s="47" t="n"/>
      <c r="L100" s="48" t="n"/>
      <c r="M100" s="47" t="n"/>
      <c r="N100" s="46" t="n"/>
      <c r="O100" s="49">
        <f>IFERROR(IF(OR(ISBLANK(G100),ISBLANK(I100)),"",ABS(G100-I100)/VLOOKUP(C100,設定!$B$9:$D$23,2,FALSE)),"")</f>
        <v/>
      </c>
      <c r="P100" s="48">
        <f>IFERROR(IF(OR(ISBLANK(F100),ISBLANK(H100),ISBLANK(J100)),"",ABS(J100-F100)/ABS(F100-H100)),"")</f>
        <v/>
      </c>
      <c r="Q100" s="50">
        <f>IFERROR(IF(OR(ISBLANK(M100),ISBLANK(D100),ISBLANK(G100)),"",IF(D100="Long",(M100-G100),(G100-M100))/VLOOKUP(C100,設定!$B$9:$D$23,2,FALSE)),"")</f>
        <v/>
      </c>
      <c r="R100" s="51">
        <f>IFERROR(IF(OR(ISBLANK(Q100),O100=0),"",Q100/O100),"")</f>
        <v/>
      </c>
      <c r="S100" s="51">
        <f>IFERROR(IF(ISBLANK(R100),S99,IF(ISNUMBER(S99),S99,0)+R100),"")</f>
        <v/>
      </c>
      <c r="T100" s="52">
        <f>IFERROR(IF(OR(ISBLANK(Q100),ISBLANK(L100)),"",Q100*L100*VLOOKUP(C100,設定!$B$9:$D$23,3,FALSE)),"")</f>
        <v/>
      </c>
      <c r="U100" s="46" t="n"/>
      <c r="V100" s="46" t="n"/>
    </row>
    <row r="101">
      <c r="A101" s="53">
        <f>IF(ISBLANK(B101),"",COUNTA($B$18:B101))</f>
        <v/>
      </c>
      <c r="B101" s="54" t="n"/>
      <c r="C101" s="55" t="n"/>
      <c r="D101" s="55" t="n"/>
      <c r="E101" s="53" t="n"/>
      <c r="F101" s="56" t="n"/>
      <c r="G101" s="56" t="n"/>
      <c r="H101" s="56" t="n"/>
      <c r="I101" s="56" t="n"/>
      <c r="J101" s="56" t="n"/>
      <c r="K101" s="56" t="n"/>
      <c r="L101" s="57" t="n"/>
      <c r="M101" s="56" t="n"/>
      <c r="N101" s="55" t="n"/>
      <c r="O101" s="58">
        <f>IFERROR(IF(OR(ISBLANK(G101),ISBLANK(I101)),"",ABS(G101-I101)/VLOOKUP(C101,設定!$B$9:$D$23,2,FALSE)),"")</f>
        <v/>
      </c>
      <c r="P101" s="57">
        <f>IFERROR(IF(OR(ISBLANK(F101),ISBLANK(H101),ISBLANK(J101)),"",ABS(J101-F101)/ABS(F101-H101)),"")</f>
        <v/>
      </c>
      <c r="Q101" s="59">
        <f>IFERROR(IF(OR(ISBLANK(M101),ISBLANK(D101),ISBLANK(G101)),"",IF(D101="Long",(M101-G101),(G101-M101))/VLOOKUP(C101,設定!$B$9:$D$23,2,FALSE)),"")</f>
        <v/>
      </c>
      <c r="R101" s="60">
        <f>IFERROR(IF(OR(ISBLANK(Q101),O101=0),"",Q101/O101),"")</f>
        <v/>
      </c>
      <c r="S101" s="60">
        <f>IFERROR(IF(ISBLANK(R101),S100,IF(ISNUMBER(S100),S100,0)+R101),"")</f>
        <v/>
      </c>
      <c r="T101" s="61">
        <f>IFERROR(IF(OR(ISBLANK(Q101),ISBLANK(L101)),"",Q101*L101*VLOOKUP(C101,設定!$B$9:$D$23,3,FALSE)),"")</f>
        <v/>
      </c>
      <c r="U101" s="55" t="n"/>
      <c r="V101" s="55" t="n"/>
    </row>
    <row r="102">
      <c r="A102" s="44">
        <f>IF(ISBLANK(B102),"",COUNTA($B$18:B102))</f>
        <v/>
      </c>
      <c r="B102" s="45" t="n"/>
      <c r="C102" s="46" t="n"/>
      <c r="D102" s="46" t="n"/>
      <c r="E102" s="44" t="n"/>
      <c r="F102" s="47" t="n"/>
      <c r="G102" s="47" t="n"/>
      <c r="H102" s="47" t="n"/>
      <c r="I102" s="47" t="n"/>
      <c r="J102" s="47" t="n"/>
      <c r="K102" s="47" t="n"/>
      <c r="L102" s="48" t="n"/>
      <c r="M102" s="47" t="n"/>
      <c r="N102" s="46" t="n"/>
      <c r="O102" s="49">
        <f>IFERROR(IF(OR(ISBLANK(G102),ISBLANK(I102)),"",ABS(G102-I102)/VLOOKUP(C102,設定!$B$9:$D$23,2,FALSE)),"")</f>
        <v/>
      </c>
      <c r="P102" s="48">
        <f>IFERROR(IF(OR(ISBLANK(F102),ISBLANK(H102),ISBLANK(J102)),"",ABS(J102-F102)/ABS(F102-H102)),"")</f>
        <v/>
      </c>
      <c r="Q102" s="50">
        <f>IFERROR(IF(OR(ISBLANK(M102),ISBLANK(D102),ISBLANK(G102)),"",IF(D102="Long",(M102-G102),(G102-M102))/VLOOKUP(C102,設定!$B$9:$D$23,2,FALSE)),"")</f>
        <v/>
      </c>
      <c r="R102" s="51">
        <f>IFERROR(IF(OR(ISBLANK(Q102),O102=0),"",Q102/O102),"")</f>
        <v/>
      </c>
      <c r="S102" s="51">
        <f>IFERROR(IF(ISBLANK(R102),S101,IF(ISNUMBER(S101),S101,0)+R102),"")</f>
        <v/>
      </c>
      <c r="T102" s="52">
        <f>IFERROR(IF(OR(ISBLANK(Q102),ISBLANK(L102)),"",Q102*L102*VLOOKUP(C102,設定!$B$9:$D$23,3,FALSE)),"")</f>
        <v/>
      </c>
      <c r="U102" s="46" t="n"/>
      <c r="V102" s="46" t="n"/>
    </row>
    <row r="103">
      <c r="A103" s="53">
        <f>IF(ISBLANK(B103),"",COUNTA($B$18:B103))</f>
        <v/>
      </c>
      <c r="B103" s="54" t="n"/>
      <c r="C103" s="55" t="n"/>
      <c r="D103" s="55" t="n"/>
      <c r="E103" s="53" t="n"/>
      <c r="F103" s="56" t="n"/>
      <c r="G103" s="56" t="n"/>
      <c r="H103" s="56" t="n"/>
      <c r="I103" s="56" t="n"/>
      <c r="J103" s="56" t="n"/>
      <c r="K103" s="56" t="n"/>
      <c r="L103" s="57" t="n"/>
      <c r="M103" s="56" t="n"/>
      <c r="N103" s="55" t="n"/>
      <c r="O103" s="58">
        <f>IFERROR(IF(OR(ISBLANK(G103),ISBLANK(I103)),"",ABS(G103-I103)/VLOOKUP(C103,設定!$B$9:$D$23,2,FALSE)),"")</f>
        <v/>
      </c>
      <c r="P103" s="57">
        <f>IFERROR(IF(OR(ISBLANK(F103),ISBLANK(H103),ISBLANK(J103)),"",ABS(J103-F103)/ABS(F103-H103)),"")</f>
        <v/>
      </c>
      <c r="Q103" s="59">
        <f>IFERROR(IF(OR(ISBLANK(M103),ISBLANK(D103),ISBLANK(G103)),"",IF(D103="Long",(M103-G103),(G103-M103))/VLOOKUP(C103,設定!$B$9:$D$23,2,FALSE)),"")</f>
        <v/>
      </c>
      <c r="R103" s="60">
        <f>IFERROR(IF(OR(ISBLANK(Q103),O103=0),"",Q103/O103),"")</f>
        <v/>
      </c>
      <c r="S103" s="60">
        <f>IFERROR(IF(ISBLANK(R103),S102,IF(ISNUMBER(S102),S102,0)+R103),"")</f>
        <v/>
      </c>
      <c r="T103" s="61">
        <f>IFERROR(IF(OR(ISBLANK(Q103),ISBLANK(L103)),"",Q103*L103*VLOOKUP(C103,設定!$B$9:$D$23,3,FALSE)),"")</f>
        <v/>
      </c>
      <c r="U103" s="55" t="n"/>
      <c r="V103" s="55" t="n"/>
    </row>
    <row r="104">
      <c r="A104" s="44">
        <f>IF(ISBLANK(B104),"",COUNTA($B$18:B104))</f>
        <v/>
      </c>
      <c r="B104" s="45" t="n"/>
      <c r="C104" s="46" t="n"/>
      <c r="D104" s="46" t="n"/>
      <c r="E104" s="44" t="n"/>
      <c r="F104" s="47" t="n"/>
      <c r="G104" s="47" t="n"/>
      <c r="H104" s="47" t="n"/>
      <c r="I104" s="47" t="n"/>
      <c r="J104" s="47" t="n"/>
      <c r="K104" s="47" t="n"/>
      <c r="L104" s="48" t="n"/>
      <c r="M104" s="47" t="n"/>
      <c r="N104" s="46" t="n"/>
      <c r="O104" s="49">
        <f>IFERROR(IF(OR(ISBLANK(G104),ISBLANK(I104)),"",ABS(G104-I104)/VLOOKUP(C104,設定!$B$9:$D$23,2,FALSE)),"")</f>
        <v/>
      </c>
      <c r="P104" s="48">
        <f>IFERROR(IF(OR(ISBLANK(F104),ISBLANK(H104),ISBLANK(J104)),"",ABS(J104-F104)/ABS(F104-H104)),"")</f>
        <v/>
      </c>
      <c r="Q104" s="50">
        <f>IFERROR(IF(OR(ISBLANK(M104),ISBLANK(D104),ISBLANK(G104)),"",IF(D104="Long",(M104-G104),(G104-M104))/VLOOKUP(C104,設定!$B$9:$D$23,2,FALSE)),"")</f>
        <v/>
      </c>
      <c r="R104" s="51">
        <f>IFERROR(IF(OR(ISBLANK(Q104),O104=0),"",Q104/O104),"")</f>
        <v/>
      </c>
      <c r="S104" s="51">
        <f>IFERROR(IF(ISBLANK(R104),S103,IF(ISNUMBER(S103),S103,0)+R104),"")</f>
        <v/>
      </c>
      <c r="T104" s="52">
        <f>IFERROR(IF(OR(ISBLANK(Q104),ISBLANK(L104)),"",Q104*L104*VLOOKUP(C104,設定!$B$9:$D$23,3,FALSE)),"")</f>
        <v/>
      </c>
      <c r="U104" s="46" t="n"/>
      <c r="V104" s="46" t="n"/>
    </row>
    <row r="105">
      <c r="A105" s="53">
        <f>IF(ISBLANK(B105),"",COUNTA($B$18:B105))</f>
        <v/>
      </c>
      <c r="B105" s="54" t="n"/>
      <c r="C105" s="55" t="n"/>
      <c r="D105" s="55" t="n"/>
      <c r="E105" s="53" t="n"/>
      <c r="F105" s="56" t="n"/>
      <c r="G105" s="56" t="n"/>
      <c r="H105" s="56" t="n"/>
      <c r="I105" s="56" t="n"/>
      <c r="J105" s="56" t="n"/>
      <c r="K105" s="56" t="n"/>
      <c r="L105" s="57" t="n"/>
      <c r="M105" s="56" t="n"/>
      <c r="N105" s="55" t="n"/>
      <c r="O105" s="58">
        <f>IFERROR(IF(OR(ISBLANK(G105),ISBLANK(I105)),"",ABS(G105-I105)/VLOOKUP(C105,設定!$B$9:$D$23,2,FALSE)),"")</f>
        <v/>
      </c>
      <c r="P105" s="57">
        <f>IFERROR(IF(OR(ISBLANK(F105),ISBLANK(H105),ISBLANK(J105)),"",ABS(J105-F105)/ABS(F105-H105)),"")</f>
        <v/>
      </c>
      <c r="Q105" s="59">
        <f>IFERROR(IF(OR(ISBLANK(M105),ISBLANK(D105),ISBLANK(G105)),"",IF(D105="Long",(M105-G105),(G105-M105))/VLOOKUP(C105,設定!$B$9:$D$23,2,FALSE)),"")</f>
        <v/>
      </c>
      <c r="R105" s="60">
        <f>IFERROR(IF(OR(ISBLANK(Q105),O105=0),"",Q105/O105),"")</f>
        <v/>
      </c>
      <c r="S105" s="60">
        <f>IFERROR(IF(ISBLANK(R105),S104,IF(ISNUMBER(S104),S104,0)+R105),"")</f>
        <v/>
      </c>
      <c r="T105" s="61">
        <f>IFERROR(IF(OR(ISBLANK(Q105),ISBLANK(L105)),"",Q105*L105*VLOOKUP(C105,設定!$B$9:$D$23,3,FALSE)),"")</f>
        <v/>
      </c>
      <c r="U105" s="55" t="n"/>
      <c r="V105" s="55" t="n"/>
    </row>
    <row r="106">
      <c r="A106" s="44">
        <f>IF(ISBLANK(B106),"",COUNTA($B$18:B106))</f>
        <v/>
      </c>
      <c r="B106" s="45" t="n"/>
      <c r="C106" s="46" t="n"/>
      <c r="D106" s="46" t="n"/>
      <c r="E106" s="44" t="n"/>
      <c r="F106" s="47" t="n"/>
      <c r="G106" s="47" t="n"/>
      <c r="H106" s="47" t="n"/>
      <c r="I106" s="47" t="n"/>
      <c r="J106" s="47" t="n"/>
      <c r="K106" s="47" t="n"/>
      <c r="L106" s="48" t="n"/>
      <c r="M106" s="47" t="n"/>
      <c r="N106" s="46" t="n"/>
      <c r="O106" s="49">
        <f>IFERROR(IF(OR(ISBLANK(G106),ISBLANK(I106)),"",ABS(G106-I106)/VLOOKUP(C106,設定!$B$9:$D$23,2,FALSE)),"")</f>
        <v/>
      </c>
      <c r="P106" s="48">
        <f>IFERROR(IF(OR(ISBLANK(F106),ISBLANK(H106),ISBLANK(J106)),"",ABS(J106-F106)/ABS(F106-H106)),"")</f>
        <v/>
      </c>
      <c r="Q106" s="50">
        <f>IFERROR(IF(OR(ISBLANK(M106),ISBLANK(D106),ISBLANK(G106)),"",IF(D106="Long",(M106-G106),(G106-M106))/VLOOKUP(C106,設定!$B$9:$D$23,2,FALSE)),"")</f>
        <v/>
      </c>
      <c r="R106" s="51">
        <f>IFERROR(IF(OR(ISBLANK(Q106),O106=0),"",Q106/O106),"")</f>
        <v/>
      </c>
      <c r="S106" s="51">
        <f>IFERROR(IF(ISBLANK(R106),S105,IF(ISNUMBER(S105),S105,0)+R106),"")</f>
        <v/>
      </c>
      <c r="T106" s="52">
        <f>IFERROR(IF(OR(ISBLANK(Q106),ISBLANK(L106)),"",Q106*L106*VLOOKUP(C106,設定!$B$9:$D$23,3,FALSE)),"")</f>
        <v/>
      </c>
      <c r="U106" s="46" t="n"/>
      <c r="V106" s="46" t="n"/>
    </row>
    <row r="107">
      <c r="A107" s="53">
        <f>IF(ISBLANK(B107),"",COUNTA($B$18:B107))</f>
        <v/>
      </c>
      <c r="B107" s="54" t="n"/>
      <c r="C107" s="55" t="n"/>
      <c r="D107" s="55" t="n"/>
      <c r="E107" s="53" t="n"/>
      <c r="F107" s="56" t="n"/>
      <c r="G107" s="56" t="n"/>
      <c r="H107" s="56" t="n"/>
      <c r="I107" s="56" t="n"/>
      <c r="J107" s="56" t="n"/>
      <c r="K107" s="56" t="n"/>
      <c r="L107" s="57" t="n"/>
      <c r="M107" s="56" t="n"/>
      <c r="N107" s="55" t="n"/>
      <c r="O107" s="58">
        <f>IFERROR(IF(OR(ISBLANK(G107),ISBLANK(I107)),"",ABS(G107-I107)/VLOOKUP(C107,設定!$B$9:$D$23,2,FALSE)),"")</f>
        <v/>
      </c>
      <c r="P107" s="57">
        <f>IFERROR(IF(OR(ISBLANK(F107),ISBLANK(H107),ISBLANK(J107)),"",ABS(J107-F107)/ABS(F107-H107)),"")</f>
        <v/>
      </c>
      <c r="Q107" s="59">
        <f>IFERROR(IF(OR(ISBLANK(M107),ISBLANK(D107),ISBLANK(G107)),"",IF(D107="Long",(M107-G107),(G107-M107))/VLOOKUP(C107,設定!$B$9:$D$23,2,FALSE)),"")</f>
        <v/>
      </c>
      <c r="R107" s="60">
        <f>IFERROR(IF(OR(ISBLANK(Q107),O107=0),"",Q107/O107),"")</f>
        <v/>
      </c>
      <c r="S107" s="60">
        <f>IFERROR(IF(ISBLANK(R107),S106,IF(ISNUMBER(S106),S106,0)+R107),"")</f>
        <v/>
      </c>
      <c r="T107" s="61">
        <f>IFERROR(IF(OR(ISBLANK(Q107),ISBLANK(L107)),"",Q107*L107*VLOOKUP(C107,設定!$B$9:$D$23,3,FALSE)),"")</f>
        <v/>
      </c>
      <c r="U107" s="55" t="n"/>
      <c r="V107" s="55" t="n"/>
    </row>
    <row r="108">
      <c r="A108" s="44">
        <f>IF(ISBLANK(B108),"",COUNTA($B$18:B108))</f>
        <v/>
      </c>
      <c r="B108" s="45" t="n"/>
      <c r="C108" s="46" t="n"/>
      <c r="D108" s="46" t="n"/>
      <c r="E108" s="44" t="n"/>
      <c r="F108" s="47" t="n"/>
      <c r="G108" s="47" t="n"/>
      <c r="H108" s="47" t="n"/>
      <c r="I108" s="47" t="n"/>
      <c r="J108" s="47" t="n"/>
      <c r="K108" s="47" t="n"/>
      <c r="L108" s="48" t="n"/>
      <c r="M108" s="47" t="n"/>
      <c r="N108" s="46" t="n"/>
      <c r="O108" s="49">
        <f>IFERROR(IF(OR(ISBLANK(G108),ISBLANK(I108)),"",ABS(G108-I108)/VLOOKUP(C108,設定!$B$9:$D$23,2,FALSE)),"")</f>
        <v/>
      </c>
      <c r="P108" s="48">
        <f>IFERROR(IF(OR(ISBLANK(F108),ISBLANK(H108),ISBLANK(J108)),"",ABS(J108-F108)/ABS(F108-H108)),"")</f>
        <v/>
      </c>
      <c r="Q108" s="50">
        <f>IFERROR(IF(OR(ISBLANK(M108),ISBLANK(D108),ISBLANK(G108)),"",IF(D108="Long",(M108-G108),(G108-M108))/VLOOKUP(C108,設定!$B$9:$D$23,2,FALSE)),"")</f>
        <v/>
      </c>
      <c r="R108" s="51">
        <f>IFERROR(IF(OR(ISBLANK(Q108),O108=0),"",Q108/O108),"")</f>
        <v/>
      </c>
      <c r="S108" s="51">
        <f>IFERROR(IF(ISBLANK(R108),S107,IF(ISNUMBER(S107),S107,0)+R108),"")</f>
        <v/>
      </c>
      <c r="T108" s="52">
        <f>IFERROR(IF(OR(ISBLANK(Q108),ISBLANK(L108)),"",Q108*L108*VLOOKUP(C108,設定!$B$9:$D$23,3,FALSE)),"")</f>
        <v/>
      </c>
      <c r="U108" s="46" t="n"/>
      <c r="V108" s="46" t="n"/>
    </row>
    <row r="109">
      <c r="A109" s="53">
        <f>IF(ISBLANK(B109),"",COUNTA($B$18:B109))</f>
        <v/>
      </c>
      <c r="B109" s="54" t="n"/>
      <c r="C109" s="55" t="n"/>
      <c r="D109" s="55" t="n"/>
      <c r="E109" s="53" t="n"/>
      <c r="F109" s="56" t="n"/>
      <c r="G109" s="56" t="n"/>
      <c r="H109" s="56" t="n"/>
      <c r="I109" s="56" t="n"/>
      <c r="J109" s="56" t="n"/>
      <c r="K109" s="56" t="n"/>
      <c r="L109" s="57" t="n"/>
      <c r="M109" s="56" t="n"/>
      <c r="N109" s="55" t="n"/>
      <c r="O109" s="58">
        <f>IFERROR(IF(OR(ISBLANK(G109),ISBLANK(I109)),"",ABS(G109-I109)/VLOOKUP(C109,設定!$B$9:$D$23,2,FALSE)),"")</f>
        <v/>
      </c>
      <c r="P109" s="57">
        <f>IFERROR(IF(OR(ISBLANK(F109),ISBLANK(H109),ISBLANK(J109)),"",ABS(J109-F109)/ABS(F109-H109)),"")</f>
        <v/>
      </c>
      <c r="Q109" s="59">
        <f>IFERROR(IF(OR(ISBLANK(M109),ISBLANK(D109),ISBLANK(G109)),"",IF(D109="Long",(M109-G109),(G109-M109))/VLOOKUP(C109,設定!$B$9:$D$23,2,FALSE)),"")</f>
        <v/>
      </c>
      <c r="R109" s="60">
        <f>IFERROR(IF(OR(ISBLANK(Q109),O109=0),"",Q109/O109),"")</f>
        <v/>
      </c>
      <c r="S109" s="60">
        <f>IFERROR(IF(ISBLANK(R109),S108,IF(ISNUMBER(S108),S108,0)+R109),"")</f>
        <v/>
      </c>
      <c r="T109" s="61">
        <f>IFERROR(IF(OR(ISBLANK(Q109),ISBLANK(L109)),"",Q109*L109*VLOOKUP(C109,設定!$B$9:$D$23,3,FALSE)),"")</f>
        <v/>
      </c>
      <c r="U109" s="55" t="n"/>
      <c r="V109" s="55" t="n"/>
    </row>
    <row r="110">
      <c r="A110" s="44">
        <f>IF(ISBLANK(B110),"",COUNTA($B$18:B110))</f>
        <v/>
      </c>
      <c r="B110" s="45" t="n"/>
      <c r="C110" s="46" t="n"/>
      <c r="D110" s="46" t="n"/>
      <c r="E110" s="44" t="n"/>
      <c r="F110" s="47" t="n"/>
      <c r="G110" s="47" t="n"/>
      <c r="H110" s="47" t="n"/>
      <c r="I110" s="47" t="n"/>
      <c r="J110" s="47" t="n"/>
      <c r="K110" s="47" t="n"/>
      <c r="L110" s="48" t="n"/>
      <c r="M110" s="47" t="n"/>
      <c r="N110" s="46" t="n"/>
      <c r="O110" s="49">
        <f>IFERROR(IF(OR(ISBLANK(G110),ISBLANK(I110)),"",ABS(G110-I110)/VLOOKUP(C110,設定!$B$9:$D$23,2,FALSE)),"")</f>
        <v/>
      </c>
      <c r="P110" s="48">
        <f>IFERROR(IF(OR(ISBLANK(F110),ISBLANK(H110),ISBLANK(J110)),"",ABS(J110-F110)/ABS(F110-H110)),"")</f>
        <v/>
      </c>
      <c r="Q110" s="50">
        <f>IFERROR(IF(OR(ISBLANK(M110),ISBLANK(D110),ISBLANK(G110)),"",IF(D110="Long",(M110-G110),(G110-M110))/VLOOKUP(C110,設定!$B$9:$D$23,2,FALSE)),"")</f>
        <v/>
      </c>
      <c r="R110" s="51">
        <f>IFERROR(IF(OR(ISBLANK(Q110),O110=0),"",Q110/O110),"")</f>
        <v/>
      </c>
      <c r="S110" s="51">
        <f>IFERROR(IF(ISBLANK(R110),S109,IF(ISNUMBER(S109),S109,0)+R110),"")</f>
        <v/>
      </c>
      <c r="T110" s="52">
        <f>IFERROR(IF(OR(ISBLANK(Q110),ISBLANK(L110)),"",Q110*L110*VLOOKUP(C110,設定!$B$9:$D$23,3,FALSE)),"")</f>
        <v/>
      </c>
      <c r="U110" s="46" t="n"/>
      <c r="V110" s="46" t="n"/>
    </row>
    <row r="111">
      <c r="A111" s="53">
        <f>IF(ISBLANK(B111),"",COUNTA($B$18:B111))</f>
        <v/>
      </c>
      <c r="B111" s="54" t="n"/>
      <c r="C111" s="55" t="n"/>
      <c r="D111" s="55" t="n"/>
      <c r="E111" s="53" t="n"/>
      <c r="F111" s="56" t="n"/>
      <c r="G111" s="56" t="n"/>
      <c r="H111" s="56" t="n"/>
      <c r="I111" s="56" t="n"/>
      <c r="J111" s="56" t="n"/>
      <c r="K111" s="56" t="n"/>
      <c r="L111" s="57" t="n"/>
      <c r="M111" s="56" t="n"/>
      <c r="N111" s="55" t="n"/>
      <c r="O111" s="58">
        <f>IFERROR(IF(OR(ISBLANK(G111),ISBLANK(I111)),"",ABS(G111-I111)/VLOOKUP(C111,設定!$B$9:$D$23,2,FALSE)),"")</f>
        <v/>
      </c>
      <c r="P111" s="57">
        <f>IFERROR(IF(OR(ISBLANK(F111),ISBLANK(H111),ISBLANK(J111)),"",ABS(J111-F111)/ABS(F111-H111)),"")</f>
        <v/>
      </c>
      <c r="Q111" s="59">
        <f>IFERROR(IF(OR(ISBLANK(M111),ISBLANK(D111),ISBLANK(G111)),"",IF(D111="Long",(M111-G111),(G111-M111))/VLOOKUP(C111,設定!$B$9:$D$23,2,FALSE)),"")</f>
        <v/>
      </c>
      <c r="R111" s="60">
        <f>IFERROR(IF(OR(ISBLANK(Q111),O111=0),"",Q111/O111),"")</f>
        <v/>
      </c>
      <c r="S111" s="60">
        <f>IFERROR(IF(ISBLANK(R111),S110,IF(ISNUMBER(S110),S110,0)+R111),"")</f>
        <v/>
      </c>
      <c r="T111" s="61">
        <f>IFERROR(IF(OR(ISBLANK(Q111),ISBLANK(L111)),"",Q111*L111*VLOOKUP(C111,設定!$B$9:$D$23,3,FALSE)),"")</f>
        <v/>
      </c>
      <c r="U111" s="55" t="n"/>
      <c r="V111" s="55" t="n"/>
    </row>
    <row r="112">
      <c r="A112" s="44">
        <f>IF(ISBLANK(B112),"",COUNTA($B$18:B112))</f>
        <v/>
      </c>
      <c r="B112" s="45" t="n"/>
      <c r="C112" s="46" t="n"/>
      <c r="D112" s="46" t="n"/>
      <c r="E112" s="44" t="n"/>
      <c r="F112" s="47" t="n"/>
      <c r="G112" s="47" t="n"/>
      <c r="H112" s="47" t="n"/>
      <c r="I112" s="47" t="n"/>
      <c r="J112" s="47" t="n"/>
      <c r="K112" s="47" t="n"/>
      <c r="L112" s="48" t="n"/>
      <c r="M112" s="47" t="n"/>
      <c r="N112" s="46" t="n"/>
      <c r="O112" s="49">
        <f>IFERROR(IF(OR(ISBLANK(G112),ISBLANK(I112)),"",ABS(G112-I112)/VLOOKUP(C112,設定!$B$9:$D$23,2,FALSE)),"")</f>
        <v/>
      </c>
      <c r="P112" s="48">
        <f>IFERROR(IF(OR(ISBLANK(F112),ISBLANK(H112),ISBLANK(J112)),"",ABS(J112-F112)/ABS(F112-H112)),"")</f>
        <v/>
      </c>
      <c r="Q112" s="50">
        <f>IFERROR(IF(OR(ISBLANK(M112),ISBLANK(D112),ISBLANK(G112)),"",IF(D112="Long",(M112-G112),(G112-M112))/VLOOKUP(C112,設定!$B$9:$D$23,2,FALSE)),"")</f>
        <v/>
      </c>
      <c r="R112" s="51">
        <f>IFERROR(IF(OR(ISBLANK(Q112),O112=0),"",Q112/O112),"")</f>
        <v/>
      </c>
      <c r="S112" s="51">
        <f>IFERROR(IF(ISBLANK(R112),S111,IF(ISNUMBER(S111),S111,0)+R112),"")</f>
        <v/>
      </c>
      <c r="T112" s="52">
        <f>IFERROR(IF(OR(ISBLANK(Q112),ISBLANK(L112)),"",Q112*L112*VLOOKUP(C112,設定!$B$9:$D$23,3,FALSE)),"")</f>
        <v/>
      </c>
      <c r="U112" s="46" t="n"/>
      <c r="V112" s="46" t="n"/>
    </row>
    <row r="113">
      <c r="A113" s="53">
        <f>IF(ISBLANK(B113),"",COUNTA($B$18:B113))</f>
        <v/>
      </c>
      <c r="B113" s="54" t="n"/>
      <c r="C113" s="55" t="n"/>
      <c r="D113" s="55" t="n"/>
      <c r="E113" s="53" t="n"/>
      <c r="F113" s="56" t="n"/>
      <c r="G113" s="56" t="n"/>
      <c r="H113" s="56" t="n"/>
      <c r="I113" s="56" t="n"/>
      <c r="J113" s="56" t="n"/>
      <c r="K113" s="56" t="n"/>
      <c r="L113" s="57" t="n"/>
      <c r="M113" s="56" t="n"/>
      <c r="N113" s="55" t="n"/>
      <c r="O113" s="58">
        <f>IFERROR(IF(OR(ISBLANK(G113),ISBLANK(I113)),"",ABS(G113-I113)/VLOOKUP(C113,設定!$B$9:$D$23,2,FALSE)),"")</f>
        <v/>
      </c>
      <c r="P113" s="57">
        <f>IFERROR(IF(OR(ISBLANK(F113),ISBLANK(H113),ISBLANK(J113)),"",ABS(J113-F113)/ABS(F113-H113)),"")</f>
        <v/>
      </c>
      <c r="Q113" s="59">
        <f>IFERROR(IF(OR(ISBLANK(M113),ISBLANK(D113),ISBLANK(G113)),"",IF(D113="Long",(M113-G113),(G113-M113))/VLOOKUP(C113,設定!$B$9:$D$23,2,FALSE)),"")</f>
        <v/>
      </c>
      <c r="R113" s="60">
        <f>IFERROR(IF(OR(ISBLANK(Q113),O113=0),"",Q113/O113),"")</f>
        <v/>
      </c>
      <c r="S113" s="60">
        <f>IFERROR(IF(ISBLANK(R113),S112,IF(ISNUMBER(S112),S112,0)+R113),"")</f>
        <v/>
      </c>
      <c r="T113" s="61">
        <f>IFERROR(IF(OR(ISBLANK(Q113),ISBLANK(L113)),"",Q113*L113*VLOOKUP(C113,設定!$B$9:$D$23,3,FALSE)),"")</f>
        <v/>
      </c>
      <c r="U113" s="55" t="n"/>
      <c r="V113" s="55" t="n"/>
    </row>
    <row r="114">
      <c r="A114" s="44">
        <f>IF(ISBLANK(B114),"",COUNTA($B$18:B114))</f>
        <v/>
      </c>
      <c r="B114" s="45" t="n"/>
      <c r="C114" s="46" t="n"/>
      <c r="D114" s="46" t="n"/>
      <c r="E114" s="44" t="n"/>
      <c r="F114" s="47" t="n"/>
      <c r="G114" s="47" t="n"/>
      <c r="H114" s="47" t="n"/>
      <c r="I114" s="47" t="n"/>
      <c r="J114" s="47" t="n"/>
      <c r="K114" s="47" t="n"/>
      <c r="L114" s="48" t="n"/>
      <c r="M114" s="47" t="n"/>
      <c r="N114" s="46" t="n"/>
      <c r="O114" s="49">
        <f>IFERROR(IF(OR(ISBLANK(G114),ISBLANK(I114)),"",ABS(G114-I114)/VLOOKUP(C114,設定!$B$9:$D$23,2,FALSE)),"")</f>
        <v/>
      </c>
      <c r="P114" s="48">
        <f>IFERROR(IF(OR(ISBLANK(F114),ISBLANK(H114),ISBLANK(J114)),"",ABS(J114-F114)/ABS(F114-H114)),"")</f>
        <v/>
      </c>
      <c r="Q114" s="50">
        <f>IFERROR(IF(OR(ISBLANK(M114),ISBLANK(D114),ISBLANK(G114)),"",IF(D114="Long",(M114-G114),(G114-M114))/VLOOKUP(C114,設定!$B$9:$D$23,2,FALSE)),"")</f>
        <v/>
      </c>
      <c r="R114" s="51">
        <f>IFERROR(IF(OR(ISBLANK(Q114),O114=0),"",Q114/O114),"")</f>
        <v/>
      </c>
      <c r="S114" s="51">
        <f>IFERROR(IF(ISBLANK(R114),S113,IF(ISNUMBER(S113),S113,0)+R114),"")</f>
        <v/>
      </c>
      <c r="T114" s="52">
        <f>IFERROR(IF(OR(ISBLANK(Q114),ISBLANK(L114)),"",Q114*L114*VLOOKUP(C114,設定!$B$9:$D$23,3,FALSE)),"")</f>
        <v/>
      </c>
      <c r="U114" s="46" t="n"/>
      <c r="V114" s="46" t="n"/>
    </row>
    <row r="115">
      <c r="A115" s="53">
        <f>IF(ISBLANK(B115),"",COUNTA($B$18:B115))</f>
        <v/>
      </c>
      <c r="B115" s="54" t="n"/>
      <c r="C115" s="55" t="n"/>
      <c r="D115" s="55" t="n"/>
      <c r="E115" s="53" t="n"/>
      <c r="F115" s="56" t="n"/>
      <c r="G115" s="56" t="n"/>
      <c r="H115" s="56" t="n"/>
      <c r="I115" s="56" t="n"/>
      <c r="J115" s="56" t="n"/>
      <c r="K115" s="56" t="n"/>
      <c r="L115" s="57" t="n"/>
      <c r="M115" s="56" t="n"/>
      <c r="N115" s="55" t="n"/>
      <c r="O115" s="58">
        <f>IFERROR(IF(OR(ISBLANK(G115),ISBLANK(I115)),"",ABS(G115-I115)/VLOOKUP(C115,設定!$B$9:$D$23,2,FALSE)),"")</f>
        <v/>
      </c>
      <c r="P115" s="57">
        <f>IFERROR(IF(OR(ISBLANK(F115),ISBLANK(H115),ISBLANK(J115)),"",ABS(J115-F115)/ABS(F115-H115)),"")</f>
        <v/>
      </c>
      <c r="Q115" s="59">
        <f>IFERROR(IF(OR(ISBLANK(M115),ISBLANK(D115),ISBLANK(G115)),"",IF(D115="Long",(M115-G115),(G115-M115))/VLOOKUP(C115,設定!$B$9:$D$23,2,FALSE)),"")</f>
        <v/>
      </c>
      <c r="R115" s="60">
        <f>IFERROR(IF(OR(ISBLANK(Q115),O115=0),"",Q115/O115),"")</f>
        <v/>
      </c>
      <c r="S115" s="60">
        <f>IFERROR(IF(ISBLANK(R115),S114,IF(ISNUMBER(S114),S114,0)+R115),"")</f>
        <v/>
      </c>
      <c r="T115" s="61">
        <f>IFERROR(IF(OR(ISBLANK(Q115),ISBLANK(L115)),"",Q115*L115*VLOOKUP(C115,設定!$B$9:$D$23,3,FALSE)),"")</f>
        <v/>
      </c>
      <c r="U115" s="55" t="n"/>
      <c r="V115" s="55" t="n"/>
    </row>
    <row r="116">
      <c r="A116" s="44">
        <f>IF(ISBLANK(B116),"",COUNTA($B$18:B116))</f>
        <v/>
      </c>
      <c r="B116" s="45" t="n"/>
      <c r="C116" s="46" t="n"/>
      <c r="D116" s="46" t="n"/>
      <c r="E116" s="44" t="n"/>
      <c r="F116" s="47" t="n"/>
      <c r="G116" s="47" t="n"/>
      <c r="H116" s="47" t="n"/>
      <c r="I116" s="47" t="n"/>
      <c r="J116" s="47" t="n"/>
      <c r="K116" s="47" t="n"/>
      <c r="L116" s="48" t="n"/>
      <c r="M116" s="47" t="n"/>
      <c r="N116" s="46" t="n"/>
      <c r="O116" s="49">
        <f>IFERROR(IF(OR(ISBLANK(G116),ISBLANK(I116)),"",ABS(G116-I116)/VLOOKUP(C116,設定!$B$9:$D$23,2,FALSE)),"")</f>
        <v/>
      </c>
      <c r="P116" s="48">
        <f>IFERROR(IF(OR(ISBLANK(F116),ISBLANK(H116),ISBLANK(J116)),"",ABS(J116-F116)/ABS(F116-H116)),"")</f>
        <v/>
      </c>
      <c r="Q116" s="50">
        <f>IFERROR(IF(OR(ISBLANK(M116),ISBLANK(D116),ISBLANK(G116)),"",IF(D116="Long",(M116-G116),(G116-M116))/VLOOKUP(C116,設定!$B$9:$D$23,2,FALSE)),"")</f>
        <v/>
      </c>
      <c r="R116" s="51">
        <f>IFERROR(IF(OR(ISBLANK(Q116),O116=0),"",Q116/O116),"")</f>
        <v/>
      </c>
      <c r="S116" s="51">
        <f>IFERROR(IF(ISBLANK(R116),S115,IF(ISNUMBER(S115),S115,0)+R116),"")</f>
        <v/>
      </c>
      <c r="T116" s="52">
        <f>IFERROR(IF(OR(ISBLANK(Q116),ISBLANK(L116)),"",Q116*L116*VLOOKUP(C116,設定!$B$9:$D$23,3,FALSE)),"")</f>
        <v/>
      </c>
      <c r="U116" s="46" t="n"/>
      <c r="V116" s="46" t="n"/>
    </row>
    <row r="117">
      <c r="A117" s="53">
        <f>IF(ISBLANK(B117),"",COUNTA($B$18:B117))</f>
        <v/>
      </c>
      <c r="B117" s="54" t="n"/>
      <c r="C117" s="55" t="n"/>
      <c r="D117" s="55" t="n"/>
      <c r="E117" s="53" t="n"/>
      <c r="F117" s="56" t="n"/>
      <c r="G117" s="56" t="n"/>
      <c r="H117" s="56" t="n"/>
      <c r="I117" s="56" t="n"/>
      <c r="J117" s="56" t="n"/>
      <c r="K117" s="56" t="n"/>
      <c r="L117" s="57" t="n"/>
      <c r="M117" s="56" t="n"/>
      <c r="N117" s="55" t="n"/>
      <c r="O117" s="58">
        <f>IFERROR(IF(OR(ISBLANK(G117),ISBLANK(I117)),"",ABS(G117-I117)/VLOOKUP(C117,設定!$B$9:$D$23,2,FALSE)),"")</f>
        <v/>
      </c>
      <c r="P117" s="57">
        <f>IFERROR(IF(OR(ISBLANK(F117),ISBLANK(H117),ISBLANK(J117)),"",ABS(J117-F117)/ABS(F117-H117)),"")</f>
        <v/>
      </c>
      <c r="Q117" s="59">
        <f>IFERROR(IF(OR(ISBLANK(M117),ISBLANK(D117),ISBLANK(G117)),"",IF(D117="Long",(M117-G117),(G117-M117))/VLOOKUP(C117,設定!$B$9:$D$23,2,FALSE)),"")</f>
        <v/>
      </c>
      <c r="R117" s="60">
        <f>IFERROR(IF(OR(ISBLANK(Q117),O117=0),"",Q117/O117),"")</f>
        <v/>
      </c>
      <c r="S117" s="60">
        <f>IFERROR(IF(ISBLANK(R117),S116,IF(ISNUMBER(S116),S116,0)+R117),"")</f>
        <v/>
      </c>
      <c r="T117" s="61">
        <f>IFERROR(IF(OR(ISBLANK(Q117),ISBLANK(L117)),"",Q117*L117*VLOOKUP(C117,設定!$B$9:$D$23,3,FALSE)),"")</f>
        <v/>
      </c>
      <c r="U117" s="55" t="n"/>
      <c r="V117" s="55" t="n"/>
    </row>
    <row r="118">
      <c r="A118" s="44">
        <f>IF(ISBLANK(B118),"",COUNTA($B$18:B118))</f>
        <v/>
      </c>
      <c r="B118" s="45" t="n"/>
      <c r="C118" s="46" t="n"/>
      <c r="D118" s="46" t="n"/>
      <c r="E118" s="44" t="n"/>
      <c r="F118" s="47" t="n"/>
      <c r="G118" s="47" t="n"/>
      <c r="H118" s="47" t="n"/>
      <c r="I118" s="47" t="n"/>
      <c r="J118" s="47" t="n"/>
      <c r="K118" s="47" t="n"/>
      <c r="L118" s="48" t="n"/>
      <c r="M118" s="47" t="n"/>
      <c r="N118" s="46" t="n"/>
      <c r="O118" s="49">
        <f>IFERROR(IF(OR(ISBLANK(G118),ISBLANK(I118)),"",ABS(G118-I118)/VLOOKUP(C118,設定!$B$9:$D$23,2,FALSE)),"")</f>
        <v/>
      </c>
      <c r="P118" s="48">
        <f>IFERROR(IF(OR(ISBLANK(F118),ISBLANK(H118),ISBLANK(J118)),"",ABS(J118-F118)/ABS(F118-H118)),"")</f>
        <v/>
      </c>
      <c r="Q118" s="50">
        <f>IFERROR(IF(OR(ISBLANK(M118),ISBLANK(D118),ISBLANK(G118)),"",IF(D118="Long",(M118-G118),(G118-M118))/VLOOKUP(C118,設定!$B$9:$D$23,2,FALSE)),"")</f>
        <v/>
      </c>
      <c r="R118" s="51">
        <f>IFERROR(IF(OR(ISBLANK(Q118),O118=0),"",Q118/O118),"")</f>
        <v/>
      </c>
      <c r="S118" s="51">
        <f>IFERROR(IF(ISBLANK(R118),S117,IF(ISNUMBER(S117),S117,0)+R118),"")</f>
        <v/>
      </c>
      <c r="T118" s="52">
        <f>IFERROR(IF(OR(ISBLANK(Q118),ISBLANK(L118)),"",Q118*L118*VLOOKUP(C118,設定!$B$9:$D$23,3,FALSE)),"")</f>
        <v/>
      </c>
      <c r="U118" s="46" t="n"/>
      <c r="V118" s="46" t="n"/>
    </row>
    <row r="119">
      <c r="A119" s="53">
        <f>IF(ISBLANK(B119),"",COUNTA($B$18:B119))</f>
        <v/>
      </c>
      <c r="B119" s="54" t="n"/>
      <c r="C119" s="55" t="n"/>
      <c r="D119" s="55" t="n"/>
      <c r="E119" s="53" t="n"/>
      <c r="F119" s="56" t="n"/>
      <c r="G119" s="56" t="n"/>
      <c r="H119" s="56" t="n"/>
      <c r="I119" s="56" t="n"/>
      <c r="J119" s="56" t="n"/>
      <c r="K119" s="56" t="n"/>
      <c r="L119" s="57" t="n"/>
      <c r="M119" s="56" t="n"/>
      <c r="N119" s="55" t="n"/>
      <c r="O119" s="58">
        <f>IFERROR(IF(OR(ISBLANK(G119),ISBLANK(I119)),"",ABS(G119-I119)/VLOOKUP(C119,設定!$B$9:$D$23,2,FALSE)),"")</f>
        <v/>
      </c>
      <c r="P119" s="57">
        <f>IFERROR(IF(OR(ISBLANK(F119),ISBLANK(H119),ISBLANK(J119)),"",ABS(J119-F119)/ABS(F119-H119)),"")</f>
        <v/>
      </c>
      <c r="Q119" s="59">
        <f>IFERROR(IF(OR(ISBLANK(M119),ISBLANK(D119),ISBLANK(G119)),"",IF(D119="Long",(M119-G119),(G119-M119))/VLOOKUP(C119,設定!$B$9:$D$23,2,FALSE)),"")</f>
        <v/>
      </c>
      <c r="R119" s="60">
        <f>IFERROR(IF(OR(ISBLANK(Q119),O119=0),"",Q119/O119),"")</f>
        <v/>
      </c>
      <c r="S119" s="60">
        <f>IFERROR(IF(ISBLANK(R119),S118,IF(ISNUMBER(S118),S118,0)+R119),"")</f>
        <v/>
      </c>
      <c r="T119" s="61">
        <f>IFERROR(IF(OR(ISBLANK(Q119),ISBLANK(L119)),"",Q119*L119*VLOOKUP(C119,設定!$B$9:$D$23,3,FALSE)),"")</f>
        <v/>
      </c>
      <c r="U119" s="55" t="n"/>
      <c r="V119" s="55" t="n"/>
    </row>
    <row r="120">
      <c r="A120" s="44">
        <f>IF(ISBLANK(B120),"",COUNTA($B$18:B120))</f>
        <v/>
      </c>
      <c r="B120" s="45" t="n"/>
      <c r="C120" s="46" t="n"/>
      <c r="D120" s="46" t="n"/>
      <c r="E120" s="44" t="n"/>
      <c r="F120" s="47" t="n"/>
      <c r="G120" s="47" t="n"/>
      <c r="H120" s="47" t="n"/>
      <c r="I120" s="47" t="n"/>
      <c r="J120" s="47" t="n"/>
      <c r="K120" s="47" t="n"/>
      <c r="L120" s="48" t="n"/>
      <c r="M120" s="47" t="n"/>
      <c r="N120" s="46" t="n"/>
      <c r="O120" s="49">
        <f>IFERROR(IF(OR(ISBLANK(G120),ISBLANK(I120)),"",ABS(G120-I120)/VLOOKUP(C120,設定!$B$9:$D$23,2,FALSE)),"")</f>
        <v/>
      </c>
      <c r="P120" s="48">
        <f>IFERROR(IF(OR(ISBLANK(F120),ISBLANK(H120),ISBLANK(J120)),"",ABS(J120-F120)/ABS(F120-H120)),"")</f>
        <v/>
      </c>
      <c r="Q120" s="50">
        <f>IFERROR(IF(OR(ISBLANK(M120),ISBLANK(D120),ISBLANK(G120)),"",IF(D120="Long",(M120-G120),(G120-M120))/VLOOKUP(C120,設定!$B$9:$D$23,2,FALSE)),"")</f>
        <v/>
      </c>
      <c r="R120" s="51">
        <f>IFERROR(IF(OR(ISBLANK(Q120),O120=0),"",Q120/O120),"")</f>
        <v/>
      </c>
      <c r="S120" s="51">
        <f>IFERROR(IF(ISBLANK(R120),S119,IF(ISNUMBER(S119),S119,0)+R120),"")</f>
        <v/>
      </c>
      <c r="T120" s="52">
        <f>IFERROR(IF(OR(ISBLANK(Q120),ISBLANK(L120)),"",Q120*L120*VLOOKUP(C120,設定!$B$9:$D$23,3,FALSE)),"")</f>
        <v/>
      </c>
      <c r="U120" s="46" t="n"/>
      <c r="V120" s="46" t="n"/>
    </row>
    <row r="121">
      <c r="A121" s="53">
        <f>IF(ISBLANK(B121),"",COUNTA($B$18:B121))</f>
        <v/>
      </c>
      <c r="B121" s="54" t="n"/>
      <c r="C121" s="55" t="n"/>
      <c r="D121" s="55" t="n"/>
      <c r="E121" s="53" t="n"/>
      <c r="F121" s="56" t="n"/>
      <c r="G121" s="56" t="n"/>
      <c r="H121" s="56" t="n"/>
      <c r="I121" s="56" t="n"/>
      <c r="J121" s="56" t="n"/>
      <c r="K121" s="56" t="n"/>
      <c r="L121" s="57" t="n"/>
      <c r="M121" s="56" t="n"/>
      <c r="N121" s="55" t="n"/>
      <c r="O121" s="58">
        <f>IFERROR(IF(OR(ISBLANK(G121),ISBLANK(I121)),"",ABS(G121-I121)/VLOOKUP(C121,設定!$B$9:$D$23,2,FALSE)),"")</f>
        <v/>
      </c>
      <c r="P121" s="57">
        <f>IFERROR(IF(OR(ISBLANK(F121),ISBLANK(H121),ISBLANK(J121)),"",ABS(J121-F121)/ABS(F121-H121)),"")</f>
        <v/>
      </c>
      <c r="Q121" s="59">
        <f>IFERROR(IF(OR(ISBLANK(M121),ISBLANK(D121),ISBLANK(G121)),"",IF(D121="Long",(M121-G121),(G121-M121))/VLOOKUP(C121,設定!$B$9:$D$23,2,FALSE)),"")</f>
        <v/>
      </c>
      <c r="R121" s="60">
        <f>IFERROR(IF(OR(ISBLANK(Q121),O121=0),"",Q121/O121),"")</f>
        <v/>
      </c>
      <c r="S121" s="60">
        <f>IFERROR(IF(ISBLANK(R121),S120,IF(ISNUMBER(S120),S120,0)+R121),"")</f>
        <v/>
      </c>
      <c r="T121" s="61">
        <f>IFERROR(IF(OR(ISBLANK(Q121),ISBLANK(L121)),"",Q121*L121*VLOOKUP(C121,設定!$B$9:$D$23,3,FALSE)),"")</f>
        <v/>
      </c>
      <c r="U121" s="55" t="n"/>
      <c r="V121" s="55" t="n"/>
    </row>
    <row r="122">
      <c r="A122" s="44">
        <f>IF(ISBLANK(B122),"",COUNTA($B$18:B122))</f>
        <v/>
      </c>
      <c r="B122" s="45" t="n"/>
      <c r="C122" s="46" t="n"/>
      <c r="D122" s="46" t="n"/>
      <c r="E122" s="44" t="n"/>
      <c r="F122" s="47" t="n"/>
      <c r="G122" s="47" t="n"/>
      <c r="H122" s="47" t="n"/>
      <c r="I122" s="47" t="n"/>
      <c r="J122" s="47" t="n"/>
      <c r="K122" s="47" t="n"/>
      <c r="L122" s="48" t="n"/>
      <c r="M122" s="47" t="n"/>
      <c r="N122" s="46" t="n"/>
      <c r="O122" s="49">
        <f>IFERROR(IF(OR(ISBLANK(G122),ISBLANK(I122)),"",ABS(G122-I122)/VLOOKUP(C122,設定!$B$9:$D$23,2,FALSE)),"")</f>
        <v/>
      </c>
      <c r="P122" s="48">
        <f>IFERROR(IF(OR(ISBLANK(F122),ISBLANK(H122),ISBLANK(J122)),"",ABS(J122-F122)/ABS(F122-H122)),"")</f>
        <v/>
      </c>
      <c r="Q122" s="50">
        <f>IFERROR(IF(OR(ISBLANK(M122),ISBLANK(D122),ISBLANK(G122)),"",IF(D122="Long",(M122-G122),(G122-M122))/VLOOKUP(C122,設定!$B$9:$D$23,2,FALSE)),"")</f>
        <v/>
      </c>
      <c r="R122" s="51">
        <f>IFERROR(IF(OR(ISBLANK(Q122),O122=0),"",Q122/O122),"")</f>
        <v/>
      </c>
      <c r="S122" s="51">
        <f>IFERROR(IF(ISBLANK(R122),S121,IF(ISNUMBER(S121),S121,0)+R122),"")</f>
        <v/>
      </c>
      <c r="T122" s="52">
        <f>IFERROR(IF(OR(ISBLANK(Q122),ISBLANK(L122)),"",Q122*L122*VLOOKUP(C122,設定!$B$9:$D$23,3,FALSE)),"")</f>
        <v/>
      </c>
      <c r="U122" s="46" t="n"/>
      <c r="V122" s="46" t="n"/>
    </row>
    <row r="123">
      <c r="A123" s="53">
        <f>IF(ISBLANK(B123),"",COUNTA($B$18:B123))</f>
        <v/>
      </c>
      <c r="B123" s="54" t="n"/>
      <c r="C123" s="55" t="n"/>
      <c r="D123" s="55" t="n"/>
      <c r="E123" s="53" t="n"/>
      <c r="F123" s="56" t="n"/>
      <c r="G123" s="56" t="n"/>
      <c r="H123" s="56" t="n"/>
      <c r="I123" s="56" t="n"/>
      <c r="J123" s="56" t="n"/>
      <c r="K123" s="56" t="n"/>
      <c r="L123" s="57" t="n"/>
      <c r="M123" s="56" t="n"/>
      <c r="N123" s="55" t="n"/>
      <c r="O123" s="58">
        <f>IFERROR(IF(OR(ISBLANK(G123),ISBLANK(I123)),"",ABS(G123-I123)/VLOOKUP(C123,設定!$B$9:$D$23,2,FALSE)),"")</f>
        <v/>
      </c>
      <c r="P123" s="57">
        <f>IFERROR(IF(OR(ISBLANK(F123),ISBLANK(H123),ISBLANK(J123)),"",ABS(J123-F123)/ABS(F123-H123)),"")</f>
        <v/>
      </c>
      <c r="Q123" s="59">
        <f>IFERROR(IF(OR(ISBLANK(M123),ISBLANK(D123),ISBLANK(G123)),"",IF(D123="Long",(M123-G123),(G123-M123))/VLOOKUP(C123,設定!$B$9:$D$23,2,FALSE)),"")</f>
        <v/>
      </c>
      <c r="R123" s="60">
        <f>IFERROR(IF(OR(ISBLANK(Q123),O123=0),"",Q123/O123),"")</f>
        <v/>
      </c>
      <c r="S123" s="60">
        <f>IFERROR(IF(ISBLANK(R123),S122,IF(ISNUMBER(S122),S122,0)+R123),"")</f>
        <v/>
      </c>
      <c r="T123" s="61">
        <f>IFERROR(IF(OR(ISBLANK(Q123),ISBLANK(L123)),"",Q123*L123*VLOOKUP(C123,設定!$B$9:$D$23,3,FALSE)),"")</f>
        <v/>
      </c>
      <c r="U123" s="55" t="n"/>
      <c r="V123" s="55" t="n"/>
    </row>
    <row r="124">
      <c r="A124" s="44">
        <f>IF(ISBLANK(B124),"",COUNTA($B$18:B124))</f>
        <v/>
      </c>
      <c r="B124" s="45" t="n"/>
      <c r="C124" s="46" t="n"/>
      <c r="D124" s="46" t="n"/>
      <c r="E124" s="44" t="n"/>
      <c r="F124" s="47" t="n"/>
      <c r="G124" s="47" t="n"/>
      <c r="H124" s="47" t="n"/>
      <c r="I124" s="47" t="n"/>
      <c r="J124" s="47" t="n"/>
      <c r="K124" s="47" t="n"/>
      <c r="L124" s="48" t="n"/>
      <c r="M124" s="47" t="n"/>
      <c r="N124" s="46" t="n"/>
      <c r="O124" s="49">
        <f>IFERROR(IF(OR(ISBLANK(G124),ISBLANK(I124)),"",ABS(G124-I124)/VLOOKUP(C124,設定!$B$9:$D$23,2,FALSE)),"")</f>
        <v/>
      </c>
      <c r="P124" s="48">
        <f>IFERROR(IF(OR(ISBLANK(F124),ISBLANK(H124),ISBLANK(J124)),"",ABS(J124-F124)/ABS(F124-H124)),"")</f>
        <v/>
      </c>
      <c r="Q124" s="50">
        <f>IFERROR(IF(OR(ISBLANK(M124),ISBLANK(D124),ISBLANK(G124)),"",IF(D124="Long",(M124-G124),(G124-M124))/VLOOKUP(C124,設定!$B$9:$D$23,2,FALSE)),"")</f>
        <v/>
      </c>
      <c r="R124" s="51">
        <f>IFERROR(IF(OR(ISBLANK(Q124),O124=0),"",Q124/O124),"")</f>
        <v/>
      </c>
      <c r="S124" s="51">
        <f>IFERROR(IF(ISBLANK(R124),S123,IF(ISNUMBER(S123),S123,0)+R124),"")</f>
        <v/>
      </c>
      <c r="T124" s="52">
        <f>IFERROR(IF(OR(ISBLANK(Q124),ISBLANK(L124)),"",Q124*L124*VLOOKUP(C124,設定!$B$9:$D$23,3,FALSE)),"")</f>
        <v/>
      </c>
      <c r="U124" s="46" t="n"/>
      <c r="V124" s="46" t="n"/>
    </row>
    <row r="125">
      <c r="A125" s="53">
        <f>IF(ISBLANK(B125),"",COUNTA($B$18:B125))</f>
        <v/>
      </c>
      <c r="B125" s="54" t="n"/>
      <c r="C125" s="55" t="n"/>
      <c r="D125" s="55" t="n"/>
      <c r="E125" s="53" t="n"/>
      <c r="F125" s="56" t="n"/>
      <c r="G125" s="56" t="n"/>
      <c r="H125" s="56" t="n"/>
      <c r="I125" s="56" t="n"/>
      <c r="J125" s="56" t="n"/>
      <c r="K125" s="56" t="n"/>
      <c r="L125" s="57" t="n"/>
      <c r="M125" s="56" t="n"/>
      <c r="N125" s="55" t="n"/>
      <c r="O125" s="58">
        <f>IFERROR(IF(OR(ISBLANK(G125),ISBLANK(I125)),"",ABS(G125-I125)/VLOOKUP(C125,設定!$B$9:$D$23,2,FALSE)),"")</f>
        <v/>
      </c>
      <c r="P125" s="57">
        <f>IFERROR(IF(OR(ISBLANK(F125),ISBLANK(H125),ISBLANK(J125)),"",ABS(J125-F125)/ABS(F125-H125)),"")</f>
        <v/>
      </c>
      <c r="Q125" s="59">
        <f>IFERROR(IF(OR(ISBLANK(M125),ISBLANK(D125),ISBLANK(G125)),"",IF(D125="Long",(M125-G125),(G125-M125))/VLOOKUP(C125,設定!$B$9:$D$23,2,FALSE)),"")</f>
        <v/>
      </c>
      <c r="R125" s="60">
        <f>IFERROR(IF(OR(ISBLANK(Q125),O125=0),"",Q125/O125),"")</f>
        <v/>
      </c>
      <c r="S125" s="60">
        <f>IFERROR(IF(ISBLANK(R125),S124,IF(ISNUMBER(S124),S124,0)+R125),"")</f>
        <v/>
      </c>
      <c r="T125" s="61">
        <f>IFERROR(IF(OR(ISBLANK(Q125),ISBLANK(L125)),"",Q125*L125*VLOOKUP(C125,設定!$B$9:$D$23,3,FALSE)),"")</f>
        <v/>
      </c>
      <c r="U125" s="55" t="n"/>
      <c r="V125" s="55" t="n"/>
    </row>
    <row r="126">
      <c r="A126" s="44">
        <f>IF(ISBLANK(B126),"",COUNTA($B$18:B126))</f>
        <v/>
      </c>
      <c r="B126" s="45" t="n"/>
      <c r="C126" s="46" t="n"/>
      <c r="D126" s="46" t="n"/>
      <c r="E126" s="44" t="n"/>
      <c r="F126" s="47" t="n"/>
      <c r="G126" s="47" t="n"/>
      <c r="H126" s="47" t="n"/>
      <c r="I126" s="47" t="n"/>
      <c r="J126" s="47" t="n"/>
      <c r="K126" s="47" t="n"/>
      <c r="L126" s="48" t="n"/>
      <c r="M126" s="47" t="n"/>
      <c r="N126" s="46" t="n"/>
      <c r="O126" s="49">
        <f>IFERROR(IF(OR(ISBLANK(G126),ISBLANK(I126)),"",ABS(G126-I126)/VLOOKUP(C126,設定!$B$9:$D$23,2,FALSE)),"")</f>
        <v/>
      </c>
      <c r="P126" s="48">
        <f>IFERROR(IF(OR(ISBLANK(F126),ISBLANK(H126),ISBLANK(J126)),"",ABS(J126-F126)/ABS(F126-H126)),"")</f>
        <v/>
      </c>
      <c r="Q126" s="50">
        <f>IFERROR(IF(OR(ISBLANK(M126),ISBLANK(D126),ISBLANK(G126)),"",IF(D126="Long",(M126-G126),(G126-M126))/VLOOKUP(C126,設定!$B$9:$D$23,2,FALSE)),"")</f>
        <v/>
      </c>
      <c r="R126" s="51">
        <f>IFERROR(IF(OR(ISBLANK(Q126),O126=0),"",Q126/O126),"")</f>
        <v/>
      </c>
      <c r="S126" s="51">
        <f>IFERROR(IF(ISBLANK(R126),S125,IF(ISNUMBER(S125),S125,0)+R126),"")</f>
        <v/>
      </c>
      <c r="T126" s="52">
        <f>IFERROR(IF(OR(ISBLANK(Q126),ISBLANK(L126)),"",Q126*L126*VLOOKUP(C126,設定!$B$9:$D$23,3,FALSE)),"")</f>
        <v/>
      </c>
      <c r="U126" s="46" t="n"/>
      <c r="V126" s="46" t="n"/>
    </row>
    <row r="127">
      <c r="A127" s="53">
        <f>IF(ISBLANK(B127),"",COUNTA($B$18:B127))</f>
        <v/>
      </c>
      <c r="B127" s="54" t="n"/>
      <c r="C127" s="55" t="n"/>
      <c r="D127" s="55" t="n"/>
      <c r="E127" s="53" t="n"/>
      <c r="F127" s="56" t="n"/>
      <c r="G127" s="56" t="n"/>
      <c r="H127" s="56" t="n"/>
      <c r="I127" s="56" t="n"/>
      <c r="J127" s="56" t="n"/>
      <c r="K127" s="56" t="n"/>
      <c r="L127" s="57" t="n"/>
      <c r="M127" s="56" t="n"/>
      <c r="N127" s="55" t="n"/>
      <c r="O127" s="58">
        <f>IFERROR(IF(OR(ISBLANK(G127),ISBLANK(I127)),"",ABS(G127-I127)/VLOOKUP(C127,設定!$B$9:$D$23,2,FALSE)),"")</f>
        <v/>
      </c>
      <c r="P127" s="57">
        <f>IFERROR(IF(OR(ISBLANK(F127),ISBLANK(H127),ISBLANK(J127)),"",ABS(J127-F127)/ABS(F127-H127)),"")</f>
        <v/>
      </c>
      <c r="Q127" s="59">
        <f>IFERROR(IF(OR(ISBLANK(M127),ISBLANK(D127),ISBLANK(G127)),"",IF(D127="Long",(M127-G127),(G127-M127))/VLOOKUP(C127,設定!$B$9:$D$23,2,FALSE)),"")</f>
        <v/>
      </c>
      <c r="R127" s="60">
        <f>IFERROR(IF(OR(ISBLANK(Q127),O127=0),"",Q127/O127),"")</f>
        <v/>
      </c>
      <c r="S127" s="60">
        <f>IFERROR(IF(ISBLANK(R127),S126,IF(ISNUMBER(S126),S126,0)+R127),"")</f>
        <v/>
      </c>
      <c r="T127" s="61">
        <f>IFERROR(IF(OR(ISBLANK(Q127),ISBLANK(L127)),"",Q127*L127*VLOOKUP(C127,設定!$B$9:$D$23,3,FALSE)),"")</f>
        <v/>
      </c>
      <c r="U127" s="55" t="n"/>
      <c r="V127" s="55" t="n"/>
    </row>
    <row r="128">
      <c r="A128" s="44">
        <f>IF(ISBLANK(B128),"",COUNTA($B$18:B128))</f>
        <v/>
      </c>
      <c r="B128" s="45" t="n"/>
      <c r="C128" s="46" t="n"/>
      <c r="D128" s="46" t="n"/>
      <c r="E128" s="44" t="n"/>
      <c r="F128" s="47" t="n"/>
      <c r="G128" s="47" t="n"/>
      <c r="H128" s="47" t="n"/>
      <c r="I128" s="47" t="n"/>
      <c r="J128" s="47" t="n"/>
      <c r="K128" s="47" t="n"/>
      <c r="L128" s="48" t="n"/>
      <c r="M128" s="47" t="n"/>
      <c r="N128" s="46" t="n"/>
      <c r="O128" s="49">
        <f>IFERROR(IF(OR(ISBLANK(G128),ISBLANK(I128)),"",ABS(G128-I128)/VLOOKUP(C128,設定!$B$9:$D$23,2,FALSE)),"")</f>
        <v/>
      </c>
      <c r="P128" s="48">
        <f>IFERROR(IF(OR(ISBLANK(F128),ISBLANK(H128),ISBLANK(J128)),"",ABS(J128-F128)/ABS(F128-H128)),"")</f>
        <v/>
      </c>
      <c r="Q128" s="50">
        <f>IFERROR(IF(OR(ISBLANK(M128),ISBLANK(D128),ISBLANK(G128)),"",IF(D128="Long",(M128-G128),(G128-M128))/VLOOKUP(C128,設定!$B$9:$D$23,2,FALSE)),"")</f>
        <v/>
      </c>
      <c r="R128" s="51">
        <f>IFERROR(IF(OR(ISBLANK(Q128),O128=0),"",Q128/O128),"")</f>
        <v/>
      </c>
      <c r="S128" s="51">
        <f>IFERROR(IF(ISBLANK(R128),S127,IF(ISNUMBER(S127),S127,0)+R128),"")</f>
        <v/>
      </c>
      <c r="T128" s="52">
        <f>IFERROR(IF(OR(ISBLANK(Q128),ISBLANK(L128)),"",Q128*L128*VLOOKUP(C128,設定!$B$9:$D$23,3,FALSE)),"")</f>
        <v/>
      </c>
      <c r="U128" s="46" t="n"/>
      <c r="V128" s="46" t="n"/>
    </row>
    <row r="129">
      <c r="A129" s="53">
        <f>IF(ISBLANK(B129),"",COUNTA($B$18:B129))</f>
        <v/>
      </c>
      <c r="B129" s="54" t="n"/>
      <c r="C129" s="55" t="n"/>
      <c r="D129" s="55" t="n"/>
      <c r="E129" s="53" t="n"/>
      <c r="F129" s="56" t="n"/>
      <c r="G129" s="56" t="n"/>
      <c r="H129" s="56" t="n"/>
      <c r="I129" s="56" t="n"/>
      <c r="J129" s="56" t="n"/>
      <c r="K129" s="56" t="n"/>
      <c r="L129" s="57" t="n"/>
      <c r="M129" s="56" t="n"/>
      <c r="N129" s="55" t="n"/>
      <c r="O129" s="58">
        <f>IFERROR(IF(OR(ISBLANK(G129),ISBLANK(I129)),"",ABS(G129-I129)/VLOOKUP(C129,設定!$B$9:$D$23,2,FALSE)),"")</f>
        <v/>
      </c>
      <c r="P129" s="57">
        <f>IFERROR(IF(OR(ISBLANK(F129),ISBLANK(H129),ISBLANK(J129)),"",ABS(J129-F129)/ABS(F129-H129)),"")</f>
        <v/>
      </c>
      <c r="Q129" s="59">
        <f>IFERROR(IF(OR(ISBLANK(M129),ISBLANK(D129),ISBLANK(G129)),"",IF(D129="Long",(M129-G129),(G129-M129))/VLOOKUP(C129,設定!$B$9:$D$23,2,FALSE)),"")</f>
        <v/>
      </c>
      <c r="R129" s="60">
        <f>IFERROR(IF(OR(ISBLANK(Q129),O129=0),"",Q129/O129),"")</f>
        <v/>
      </c>
      <c r="S129" s="60">
        <f>IFERROR(IF(ISBLANK(R129),S128,IF(ISNUMBER(S128),S128,0)+R129),"")</f>
        <v/>
      </c>
      <c r="T129" s="61">
        <f>IFERROR(IF(OR(ISBLANK(Q129),ISBLANK(L129)),"",Q129*L129*VLOOKUP(C129,設定!$B$9:$D$23,3,FALSE)),"")</f>
        <v/>
      </c>
      <c r="U129" s="55" t="n"/>
      <c r="V129" s="55" t="n"/>
    </row>
    <row r="130">
      <c r="A130" s="44">
        <f>IF(ISBLANK(B130),"",COUNTA($B$18:B130))</f>
        <v/>
      </c>
      <c r="B130" s="45" t="n"/>
      <c r="C130" s="46" t="n"/>
      <c r="D130" s="46" t="n"/>
      <c r="E130" s="44" t="n"/>
      <c r="F130" s="47" t="n"/>
      <c r="G130" s="47" t="n"/>
      <c r="H130" s="47" t="n"/>
      <c r="I130" s="47" t="n"/>
      <c r="J130" s="47" t="n"/>
      <c r="K130" s="47" t="n"/>
      <c r="L130" s="48" t="n"/>
      <c r="M130" s="47" t="n"/>
      <c r="N130" s="46" t="n"/>
      <c r="O130" s="49">
        <f>IFERROR(IF(OR(ISBLANK(G130),ISBLANK(I130)),"",ABS(G130-I130)/VLOOKUP(C130,設定!$B$9:$D$23,2,FALSE)),"")</f>
        <v/>
      </c>
      <c r="P130" s="48">
        <f>IFERROR(IF(OR(ISBLANK(F130),ISBLANK(H130),ISBLANK(J130)),"",ABS(J130-F130)/ABS(F130-H130)),"")</f>
        <v/>
      </c>
      <c r="Q130" s="50">
        <f>IFERROR(IF(OR(ISBLANK(M130),ISBLANK(D130),ISBLANK(G130)),"",IF(D130="Long",(M130-G130),(G130-M130))/VLOOKUP(C130,設定!$B$9:$D$23,2,FALSE)),"")</f>
        <v/>
      </c>
      <c r="R130" s="51">
        <f>IFERROR(IF(OR(ISBLANK(Q130),O130=0),"",Q130/O130),"")</f>
        <v/>
      </c>
      <c r="S130" s="51">
        <f>IFERROR(IF(ISBLANK(R130),S129,IF(ISNUMBER(S129),S129,0)+R130),"")</f>
        <v/>
      </c>
      <c r="T130" s="52">
        <f>IFERROR(IF(OR(ISBLANK(Q130),ISBLANK(L130)),"",Q130*L130*VLOOKUP(C130,設定!$B$9:$D$23,3,FALSE)),"")</f>
        <v/>
      </c>
      <c r="U130" s="46" t="n"/>
      <c r="V130" s="46" t="n"/>
    </row>
    <row r="131">
      <c r="A131" s="53">
        <f>IF(ISBLANK(B131),"",COUNTA($B$18:B131))</f>
        <v/>
      </c>
      <c r="B131" s="54" t="n"/>
      <c r="C131" s="55" t="n"/>
      <c r="D131" s="55" t="n"/>
      <c r="E131" s="53" t="n"/>
      <c r="F131" s="56" t="n"/>
      <c r="G131" s="56" t="n"/>
      <c r="H131" s="56" t="n"/>
      <c r="I131" s="56" t="n"/>
      <c r="J131" s="56" t="n"/>
      <c r="K131" s="56" t="n"/>
      <c r="L131" s="57" t="n"/>
      <c r="M131" s="56" t="n"/>
      <c r="N131" s="55" t="n"/>
      <c r="O131" s="58">
        <f>IFERROR(IF(OR(ISBLANK(G131),ISBLANK(I131)),"",ABS(G131-I131)/VLOOKUP(C131,設定!$B$9:$D$23,2,FALSE)),"")</f>
        <v/>
      </c>
      <c r="P131" s="57">
        <f>IFERROR(IF(OR(ISBLANK(F131),ISBLANK(H131),ISBLANK(J131)),"",ABS(J131-F131)/ABS(F131-H131)),"")</f>
        <v/>
      </c>
      <c r="Q131" s="59">
        <f>IFERROR(IF(OR(ISBLANK(M131),ISBLANK(D131),ISBLANK(G131)),"",IF(D131="Long",(M131-G131),(G131-M131))/VLOOKUP(C131,設定!$B$9:$D$23,2,FALSE)),"")</f>
        <v/>
      </c>
      <c r="R131" s="60">
        <f>IFERROR(IF(OR(ISBLANK(Q131),O131=0),"",Q131/O131),"")</f>
        <v/>
      </c>
      <c r="S131" s="60">
        <f>IFERROR(IF(ISBLANK(R131),S130,IF(ISNUMBER(S130),S130,0)+R131),"")</f>
        <v/>
      </c>
      <c r="T131" s="61">
        <f>IFERROR(IF(OR(ISBLANK(Q131),ISBLANK(L131)),"",Q131*L131*VLOOKUP(C131,設定!$B$9:$D$23,3,FALSE)),"")</f>
        <v/>
      </c>
      <c r="U131" s="55" t="n"/>
      <c r="V131" s="55" t="n"/>
    </row>
    <row r="132">
      <c r="A132" s="44">
        <f>IF(ISBLANK(B132),"",COUNTA($B$18:B132))</f>
        <v/>
      </c>
      <c r="B132" s="45" t="n"/>
      <c r="C132" s="46" t="n"/>
      <c r="D132" s="46" t="n"/>
      <c r="E132" s="44" t="n"/>
      <c r="F132" s="47" t="n"/>
      <c r="G132" s="47" t="n"/>
      <c r="H132" s="47" t="n"/>
      <c r="I132" s="47" t="n"/>
      <c r="J132" s="47" t="n"/>
      <c r="K132" s="47" t="n"/>
      <c r="L132" s="48" t="n"/>
      <c r="M132" s="47" t="n"/>
      <c r="N132" s="46" t="n"/>
      <c r="O132" s="49">
        <f>IFERROR(IF(OR(ISBLANK(G132),ISBLANK(I132)),"",ABS(G132-I132)/VLOOKUP(C132,設定!$B$9:$D$23,2,FALSE)),"")</f>
        <v/>
      </c>
      <c r="P132" s="48">
        <f>IFERROR(IF(OR(ISBLANK(F132),ISBLANK(H132),ISBLANK(J132)),"",ABS(J132-F132)/ABS(F132-H132)),"")</f>
        <v/>
      </c>
      <c r="Q132" s="50">
        <f>IFERROR(IF(OR(ISBLANK(M132),ISBLANK(D132),ISBLANK(G132)),"",IF(D132="Long",(M132-G132),(G132-M132))/VLOOKUP(C132,設定!$B$9:$D$23,2,FALSE)),"")</f>
        <v/>
      </c>
      <c r="R132" s="51">
        <f>IFERROR(IF(OR(ISBLANK(Q132),O132=0),"",Q132/O132),"")</f>
        <v/>
      </c>
      <c r="S132" s="51">
        <f>IFERROR(IF(ISBLANK(R132),S131,IF(ISNUMBER(S131),S131,0)+R132),"")</f>
        <v/>
      </c>
      <c r="T132" s="52">
        <f>IFERROR(IF(OR(ISBLANK(Q132),ISBLANK(L132)),"",Q132*L132*VLOOKUP(C132,設定!$B$9:$D$23,3,FALSE)),"")</f>
        <v/>
      </c>
      <c r="U132" s="46" t="n"/>
      <c r="V132" s="46" t="n"/>
    </row>
    <row r="133">
      <c r="A133" s="53">
        <f>IF(ISBLANK(B133),"",COUNTA($B$18:B133))</f>
        <v/>
      </c>
      <c r="B133" s="54" t="n"/>
      <c r="C133" s="55" t="n"/>
      <c r="D133" s="55" t="n"/>
      <c r="E133" s="53" t="n"/>
      <c r="F133" s="56" t="n"/>
      <c r="G133" s="56" t="n"/>
      <c r="H133" s="56" t="n"/>
      <c r="I133" s="56" t="n"/>
      <c r="J133" s="56" t="n"/>
      <c r="K133" s="56" t="n"/>
      <c r="L133" s="57" t="n"/>
      <c r="M133" s="56" t="n"/>
      <c r="N133" s="55" t="n"/>
      <c r="O133" s="58">
        <f>IFERROR(IF(OR(ISBLANK(G133),ISBLANK(I133)),"",ABS(G133-I133)/VLOOKUP(C133,設定!$B$9:$D$23,2,FALSE)),"")</f>
        <v/>
      </c>
      <c r="P133" s="57">
        <f>IFERROR(IF(OR(ISBLANK(F133),ISBLANK(H133),ISBLANK(J133)),"",ABS(J133-F133)/ABS(F133-H133)),"")</f>
        <v/>
      </c>
      <c r="Q133" s="59">
        <f>IFERROR(IF(OR(ISBLANK(M133),ISBLANK(D133),ISBLANK(G133)),"",IF(D133="Long",(M133-G133),(G133-M133))/VLOOKUP(C133,設定!$B$9:$D$23,2,FALSE)),"")</f>
        <v/>
      </c>
      <c r="R133" s="60">
        <f>IFERROR(IF(OR(ISBLANK(Q133),O133=0),"",Q133/O133),"")</f>
        <v/>
      </c>
      <c r="S133" s="60">
        <f>IFERROR(IF(ISBLANK(R133),S132,IF(ISNUMBER(S132),S132,0)+R133),"")</f>
        <v/>
      </c>
      <c r="T133" s="61">
        <f>IFERROR(IF(OR(ISBLANK(Q133),ISBLANK(L133)),"",Q133*L133*VLOOKUP(C133,設定!$B$9:$D$23,3,FALSE)),"")</f>
        <v/>
      </c>
      <c r="U133" s="55" t="n"/>
      <c r="V133" s="55" t="n"/>
    </row>
    <row r="134">
      <c r="A134" s="44">
        <f>IF(ISBLANK(B134),"",COUNTA($B$18:B134))</f>
        <v/>
      </c>
      <c r="B134" s="45" t="n"/>
      <c r="C134" s="46" t="n"/>
      <c r="D134" s="46" t="n"/>
      <c r="E134" s="44" t="n"/>
      <c r="F134" s="47" t="n"/>
      <c r="G134" s="47" t="n"/>
      <c r="H134" s="47" t="n"/>
      <c r="I134" s="47" t="n"/>
      <c r="J134" s="47" t="n"/>
      <c r="K134" s="47" t="n"/>
      <c r="L134" s="48" t="n"/>
      <c r="M134" s="47" t="n"/>
      <c r="N134" s="46" t="n"/>
      <c r="O134" s="49">
        <f>IFERROR(IF(OR(ISBLANK(G134),ISBLANK(I134)),"",ABS(G134-I134)/VLOOKUP(C134,設定!$B$9:$D$23,2,FALSE)),"")</f>
        <v/>
      </c>
      <c r="P134" s="48">
        <f>IFERROR(IF(OR(ISBLANK(F134),ISBLANK(H134),ISBLANK(J134)),"",ABS(J134-F134)/ABS(F134-H134)),"")</f>
        <v/>
      </c>
      <c r="Q134" s="50">
        <f>IFERROR(IF(OR(ISBLANK(M134),ISBLANK(D134),ISBLANK(G134)),"",IF(D134="Long",(M134-G134),(G134-M134))/VLOOKUP(C134,設定!$B$9:$D$23,2,FALSE)),"")</f>
        <v/>
      </c>
      <c r="R134" s="51">
        <f>IFERROR(IF(OR(ISBLANK(Q134),O134=0),"",Q134/O134),"")</f>
        <v/>
      </c>
      <c r="S134" s="51">
        <f>IFERROR(IF(ISBLANK(R134),S133,IF(ISNUMBER(S133),S133,0)+R134),"")</f>
        <v/>
      </c>
      <c r="T134" s="52">
        <f>IFERROR(IF(OR(ISBLANK(Q134),ISBLANK(L134)),"",Q134*L134*VLOOKUP(C134,設定!$B$9:$D$23,3,FALSE)),"")</f>
        <v/>
      </c>
      <c r="U134" s="46" t="n"/>
      <c r="V134" s="46" t="n"/>
    </row>
    <row r="135">
      <c r="A135" s="53">
        <f>IF(ISBLANK(B135),"",COUNTA($B$18:B135))</f>
        <v/>
      </c>
      <c r="B135" s="54" t="n"/>
      <c r="C135" s="55" t="n"/>
      <c r="D135" s="55" t="n"/>
      <c r="E135" s="53" t="n"/>
      <c r="F135" s="56" t="n"/>
      <c r="G135" s="56" t="n"/>
      <c r="H135" s="56" t="n"/>
      <c r="I135" s="56" t="n"/>
      <c r="J135" s="56" t="n"/>
      <c r="K135" s="56" t="n"/>
      <c r="L135" s="57" t="n"/>
      <c r="M135" s="56" t="n"/>
      <c r="N135" s="55" t="n"/>
      <c r="O135" s="58">
        <f>IFERROR(IF(OR(ISBLANK(G135),ISBLANK(I135)),"",ABS(G135-I135)/VLOOKUP(C135,設定!$B$9:$D$23,2,FALSE)),"")</f>
        <v/>
      </c>
      <c r="P135" s="57">
        <f>IFERROR(IF(OR(ISBLANK(F135),ISBLANK(H135),ISBLANK(J135)),"",ABS(J135-F135)/ABS(F135-H135)),"")</f>
        <v/>
      </c>
      <c r="Q135" s="59">
        <f>IFERROR(IF(OR(ISBLANK(M135),ISBLANK(D135),ISBLANK(G135)),"",IF(D135="Long",(M135-G135),(G135-M135))/VLOOKUP(C135,設定!$B$9:$D$23,2,FALSE)),"")</f>
        <v/>
      </c>
      <c r="R135" s="60">
        <f>IFERROR(IF(OR(ISBLANK(Q135),O135=0),"",Q135/O135),"")</f>
        <v/>
      </c>
      <c r="S135" s="60">
        <f>IFERROR(IF(ISBLANK(R135),S134,IF(ISNUMBER(S134),S134,0)+R135),"")</f>
        <v/>
      </c>
      <c r="T135" s="61">
        <f>IFERROR(IF(OR(ISBLANK(Q135),ISBLANK(L135)),"",Q135*L135*VLOOKUP(C135,設定!$B$9:$D$23,3,FALSE)),"")</f>
        <v/>
      </c>
      <c r="U135" s="55" t="n"/>
      <c r="V135" s="55" t="n"/>
    </row>
    <row r="136">
      <c r="A136" s="44">
        <f>IF(ISBLANK(B136),"",COUNTA($B$18:B136))</f>
        <v/>
      </c>
      <c r="B136" s="45" t="n"/>
      <c r="C136" s="46" t="n"/>
      <c r="D136" s="46" t="n"/>
      <c r="E136" s="44" t="n"/>
      <c r="F136" s="47" t="n"/>
      <c r="G136" s="47" t="n"/>
      <c r="H136" s="47" t="n"/>
      <c r="I136" s="47" t="n"/>
      <c r="J136" s="47" t="n"/>
      <c r="K136" s="47" t="n"/>
      <c r="L136" s="48" t="n"/>
      <c r="M136" s="47" t="n"/>
      <c r="N136" s="46" t="n"/>
      <c r="O136" s="49">
        <f>IFERROR(IF(OR(ISBLANK(G136),ISBLANK(I136)),"",ABS(G136-I136)/VLOOKUP(C136,設定!$B$9:$D$23,2,FALSE)),"")</f>
        <v/>
      </c>
      <c r="P136" s="48">
        <f>IFERROR(IF(OR(ISBLANK(F136),ISBLANK(H136),ISBLANK(J136)),"",ABS(J136-F136)/ABS(F136-H136)),"")</f>
        <v/>
      </c>
      <c r="Q136" s="50">
        <f>IFERROR(IF(OR(ISBLANK(M136),ISBLANK(D136),ISBLANK(G136)),"",IF(D136="Long",(M136-G136),(G136-M136))/VLOOKUP(C136,設定!$B$9:$D$23,2,FALSE)),"")</f>
        <v/>
      </c>
      <c r="R136" s="51">
        <f>IFERROR(IF(OR(ISBLANK(Q136),O136=0),"",Q136/O136),"")</f>
        <v/>
      </c>
      <c r="S136" s="51">
        <f>IFERROR(IF(ISBLANK(R136),S135,IF(ISNUMBER(S135),S135,0)+R136),"")</f>
        <v/>
      </c>
      <c r="T136" s="52">
        <f>IFERROR(IF(OR(ISBLANK(Q136),ISBLANK(L136)),"",Q136*L136*VLOOKUP(C136,設定!$B$9:$D$23,3,FALSE)),"")</f>
        <v/>
      </c>
      <c r="U136" s="46" t="n"/>
      <c r="V136" s="46" t="n"/>
    </row>
    <row r="137">
      <c r="A137" s="53">
        <f>IF(ISBLANK(B137),"",COUNTA($B$18:B137))</f>
        <v/>
      </c>
      <c r="B137" s="54" t="n"/>
      <c r="C137" s="55" t="n"/>
      <c r="D137" s="55" t="n"/>
      <c r="E137" s="53" t="n"/>
      <c r="F137" s="56" t="n"/>
      <c r="G137" s="56" t="n"/>
      <c r="H137" s="56" t="n"/>
      <c r="I137" s="56" t="n"/>
      <c r="J137" s="56" t="n"/>
      <c r="K137" s="56" t="n"/>
      <c r="L137" s="57" t="n"/>
      <c r="M137" s="56" t="n"/>
      <c r="N137" s="55" t="n"/>
      <c r="O137" s="58">
        <f>IFERROR(IF(OR(ISBLANK(G137),ISBLANK(I137)),"",ABS(G137-I137)/VLOOKUP(C137,設定!$B$9:$D$23,2,FALSE)),"")</f>
        <v/>
      </c>
      <c r="P137" s="57">
        <f>IFERROR(IF(OR(ISBLANK(F137),ISBLANK(H137),ISBLANK(J137)),"",ABS(J137-F137)/ABS(F137-H137)),"")</f>
        <v/>
      </c>
      <c r="Q137" s="59">
        <f>IFERROR(IF(OR(ISBLANK(M137),ISBLANK(D137),ISBLANK(G137)),"",IF(D137="Long",(M137-G137),(G137-M137))/VLOOKUP(C137,設定!$B$9:$D$23,2,FALSE)),"")</f>
        <v/>
      </c>
      <c r="R137" s="60">
        <f>IFERROR(IF(OR(ISBLANK(Q137),O137=0),"",Q137/O137),"")</f>
        <v/>
      </c>
      <c r="S137" s="60">
        <f>IFERROR(IF(ISBLANK(R137),S136,IF(ISNUMBER(S136),S136,0)+R137),"")</f>
        <v/>
      </c>
      <c r="T137" s="61">
        <f>IFERROR(IF(OR(ISBLANK(Q137),ISBLANK(L137)),"",Q137*L137*VLOOKUP(C137,設定!$B$9:$D$23,3,FALSE)),"")</f>
        <v/>
      </c>
      <c r="U137" s="55" t="n"/>
      <c r="V137" s="55" t="n"/>
    </row>
    <row r="138">
      <c r="A138" s="44">
        <f>IF(ISBLANK(B138),"",COUNTA($B$18:B138))</f>
        <v/>
      </c>
      <c r="B138" s="45" t="n"/>
      <c r="C138" s="46" t="n"/>
      <c r="D138" s="46" t="n"/>
      <c r="E138" s="44" t="n"/>
      <c r="F138" s="47" t="n"/>
      <c r="G138" s="47" t="n"/>
      <c r="H138" s="47" t="n"/>
      <c r="I138" s="47" t="n"/>
      <c r="J138" s="47" t="n"/>
      <c r="K138" s="47" t="n"/>
      <c r="L138" s="48" t="n"/>
      <c r="M138" s="47" t="n"/>
      <c r="N138" s="46" t="n"/>
      <c r="O138" s="49">
        <f>IFERROR(IF(OR(ISBLANK(G138),ISBLANK(I138)),"",ABS(G138-I138)/VLOOKUP(C138,設定!$B$9:$D$23,2,FALSE)),"")</f>
        <v/>
      </c>
      <c r="P138" s="48">
        <f>IFERROR(IF(OR(ISBLANK(F138),ISBLANK(H138),ISBLANK(J138)),"",ABS(J138-F138)/ABS(F138-H138)),"")</f>
        <v/>
      </c>
      <c r="Q138" s="50">
        <f>IFERROR(IF(OR(ISBLANK(M138),ISBLANK(D138),ISBLANK(G138)),"",IF(D138="Long",(M138-G138),(G138-M138))/VLOOKUP(C138,設定!$B$9:$D$23,2,FALSE)),"")</f>
        <v/>
      </c>
      <c r="R138" s="51">
        <f>IFERROR(IF(OR(ISBLANK(Q138),O138=0),"",Q138/O138),"")</f>
        <v/>
      </c>
      <c r="S138" s="51">
        <f>IFERROR(IF(ISBLANK(R138),S137,IF(ISNUMBER(S137),S137,0)+R138),"")</f>
        <v/>
      </c>
      <c r="T138" s="52">
        <f>IFERROR(IF(OR(ISBLANK(Q138),ISBLANK(L138)),"",Q138*L138*VLOOKUP(C138,設定!$B$9:$D$23,3,FALSE)),"")</f>
        <v/>
      </c>
      <c r="U138" s="46" t="n"/>
      <c r="V138" s="46" t="n"/>
    </row>
    <row r="139">
      <c r="A139" s="53">
        <f>IF(ISBLANK(B139),"",COUNTA($B$18:B139))</f>
        <v/>
      </c>
      <c r="B139" s="54" t="n"/>
      <c r="C139" s="55" t="n"/>
      <c r="D139" s="55" t="n"/>
      <c r="E139" s="53" t="n"/>
      <c r="F139" s="56" t="n"/>
      <c r="G139" s="56" t="n"/>
      <c r="H139" s="56" t="n"/>
      <c r="I139" s="56" t="n"/>
      <c r="J139" s="56" t="n"/>
      <c r="K139" s="56" t="n"/>
      <c r="L139" s="57" t="n"/>
      <c r="M139" s="56" t="n"/>
      <c r="N139" s="55" t="n"/>
      <c r="O139" s="58">
        <f>IFERROR(IF(OR(ISBLANK(G139),ISBLANK(I139)),"",ABS(G139-I139)/VLOOKUP(C139,設定!$B$9:$D$23,2,FALSE)),"")</f>
        <v/>
      </c>
      <c r="P139" s="57">
        <f>IFERROR(IF(OR(ISBLANK(F139),ISBLANK(H139),ISBLANK(J139)),"",ABS(J139-F139)/ABS(F139-H139)),"")</f>
        <v/>
      </c>
      <c r="Q139" s="59">
        <f>IFERROR(IF(OR(ISBLANK(M139),ISBLANK(D139),ISBLANK(G139)),"",IF(D139="Long",(M139-G139),(G139-M139))/VLOOKUP(C139,設定!$B$9:$D$23,2,FALSE)),"")</f>
        <v/>
      </c>
      <c r="R139" s="60">
        <f>IFERROR(IF(OR(ISBLANK(Q139),O139=0),"",Q139/O139),"")</f>
        <v/>
      </c>
      <c r="S139" s="60">
        <f>IFERROR(IF(ISBLANK(R139),S138,IF(ISNUMBER(S138),S138,0)+R139),"")</f>
        <v/>
      </c>
      <c r="T139" s="61">
        <f>IFERROR(IF(OR(ISBLANK(Q139),ISBLANK(L139)),"",Q139*L139*VLOOKUP(C139,設定!$B$9:$D$23,3,FALSE)),"")</f>
        <v/>
      </c>
      <c r="U139" s="55" t="n"/>
      <c r="V139" s="55" t="n"/>
    </row>
    <row r="140">
      <c r="A140" s="44">
        <f>IF(ISBLANK(B140),"",COUNTA($B$18:B140))</f>
        <v/>
      </c>
      <c r="B140" s="45" t="n"/>
      <c r="C140" s="46" t="n"/>
      <c r="D140" s="46" t="n"/>
      <c r="E140" s="44" t="n"/>
      <c r="F140" s="47" t="n"/>
      <c r="G140" s="47" t="n"/>
      <c r="H140" s="47" t="n"/>
      <c r="I140" s="47" t="n"/>
      <c r="J140" s="47" t="n"/>
      <c r="K140" s="47" t="n"/>
      <c r="L140" s="48" t="n"/>
      <c r="M140" s="47" t="n"/>
      <c r="N140" s="46" t="n"/>
      <c r="O140" s="49">
        <f>IFERROR(IF(OR(ISBLANK(G140),ISBLANK(I140)),"",ABS(G140-I140)/VLOOKUP(C140,設定!$B$9:$D$23,2,FALSE)),"")</f>
        <v/>
      </c>
      <c r="P140" s="48">
        <f>IFERROR(IF(OR(ISBLANK(F140),ISBLANK(H140),ISBLANK(J140)),"",ABS(J140-F140)/ABS(F140-H140)),"")</f>
        <v/>
      </c>
      <c r="Q140" s="50">
        <f>IFERROR(IF(OR(ISBLANK(M140),ISBLANK(D140),ISBLANK(G140)),"",IF(D140="Long",(M140-G140),(G140-M140))/VLOOKUP(C140,設定!$B$9:$D$23,2,FALSE)),"")</f>
        <v/>
      </c>
      <c r="R140" s="51">
        <f>IFERROR(IF(OR(ISBLANK(Q140),O140=0),"",Q140/O140),"")</f>
        <v/>
      </c>
      <c r="S140" s="51">
        <f>IFERROR(IF(ISBLANK(R140),S139,IF(ISNUMBER(S139),S139,0)+R140),"")</f>
        <v/>
      </c>
      <c r="T140" s="52">
        <f>IFERROR(IF(OR(ISBLANK(Q140),ISBLANK(L140)),"",Q140*L140*VLOOKUP(C140,設定!$B$9:$D$23,3,FALSE)),"")</f>
        <v/>
      </c>
      <c r="U140" s="46" t="n"/>
      <c r="V140" s="46" t="n"/>
    </row>
    <row r="141">
      <c r="A141" s="53">
        <f>IF(ISBLANK(B141),"",COUNTA($B$18:B141))</f>
        <v/>
      </c>
      <c r="B141" s="54" t="n"/>
      <c r="C141" s="55" t="n"/>
      <c r="D141" s="55" t="n"/>
      <c r="E141" s="53" t="n"/>
      <c r="F141" s="56" t="n"/>
      <c r="G141" s="56" t="n"/>
      <c r="H141" s="56" t="n"/>
      <c r="I141" s="56" t="n"/>
      <c r="J141" s="56" t="n"/>
      <c r="K141" s="56" t="n"/>
      <c r="L141" s="57" t="n"/>
      <c r="M141" s="56" t="n"/>
      <c r="N141" s="55" t="n"/>
      <c r="O141" s="58">
        <f>IFERROR(IF(OR(ISBLANK(G141),ISBLANK(I141)),"",ABS(G141-I141)/VLOOKUP(C141,設定!$B$9:$D$23,2,FALSE)),"")</f>
        <v/>
      </c>
      <c r="P141" s="57">
        <f>IFERROR(IF(OR(ISBLANK(F141),ISBLANK(H141),ISBLANK(J141)),"",ABS(J141-F141)/ABS(F141-H141)),"")</f>
        <v/>
      </c>
      <c r="Q141" s="59">
        <f>IFERROR(IF(OR(ISBLANK(M141),ISBLANK(D141),ISBLANK(G141)),"",IF(D141="Long",(M141-G141),(G141-M141))/VLOOKUP(C141,設定!$B$9:$D$23,2,FALSE)),"")</f>
        <v/>
      </c>
      <c r="R141" s="60">
        <f>IFERROR(IF(OR(ISBLANK(Q141),O141=0),"",Q141/O141),"")</f>
        <v/>
      </c>
      <c r="S141" s="60">
        <f>IFERROR(IF(ISBLANK(R141),S140,IF(ISNUMBER(S140),S140,0)+R141),"")</f>
        <v/>
      </c>
      <c r="T141" s="61">
        <f>IFERROR(IF(OR(ISBLANK(Q141),ISBLANK(L141)),"",Q141*L141*VLOOKUP(C141,設定!$B$9:$D$23,3,FALSE)),"")</f>
        <v/>
      </c>
      <c r="U141" s="55" t="n"/>
      <c r="V141" s="55" t="n"/>
    </row>
    <row r="142">
      <c r="A142" s="44">
        <f>IF(ISBLANK(B142),"",COUNTA($B$18:B142))</f>
        <v/>
      </c>
      <c r="B142" s="45" t="n"/>
      <c r="C142" s="46" t="n"/>
      <c r="D142" s="46" t="n"/>
      <c r="E142" s="44" t="n"/>
      <c r="F142" s="47" t="n"/>
      <c r="G142" s="47" t="n"/>
      <c r="H142" s="47" t="n"/>
      <c r="I142" s="47" t="n"/>
      <c r="J142" s="47" t="n"/>
      <c r="K142" s="47" t="n"/>
      <c r="L142" s="48" t="n"/>
      <c r="M142" s="47" t="n"/>
      <c r="N142" s="46" t="n"/>
      <c r="O142" s="49">
        <f>IFERROR(IF(OR(ISBLANK(G142),ISBLANK(I142)),"",ABS(G142-I142)/VLOOKUP(C142,設定!$B$9:$D$23,2,FALSE)),"")</f>
        <v/>
      </c>
      <c r="P142" s="48">
        <f>IFERROR(IF(OR(ISBLANK(F142),ISBLANK(H142),ISBLANK(J142)),"",ABS(J142-F142)/ABS(F142-H142)),"")</f>
        <v/>
      </c>
      <c r="Q142" s="50">
        <f>IFERROR(IF(OR(ISBLANK(M142),ISBLANK(D142),ISBLANK(G142)),"",IF(D142="Long",(M142-G142),(G142-M142))/VLOOKUP(C142,設定!$B$9:$D$23,2,FALSE)),"")</f>
        <v/>
      </c>
      <c r="R142" s="51">
        <f>IFERROR(IF(OR(ISBLANK(Q142),O142=0),"",Q142/O142),"")</f>
        <v/>
      </c>
      <c r="S142" s="51">
        <f>IFERROR(IF(ISBLANK(R142),S141,IF(ISNUMBER(S141),S141,0)+R142),"")</f>
        <v/>
      </c>
      <c r="T142" s="52">
        <f>IFERROR(IF(OR(ISBLANK(Q142),ISBLANK(L142)),"",Q142*L142*VLOOKUP(C142,設定!$B$9:$D$23,3,FALSE)),"")</f>
        <v/>
      </c>
      <c r="U142" s="46" t="n"/>
      <c r="V142" s="46" t="n"/>
    </row>
    <row r="143">
      <c r="A143" s="53">
        <f>IF(ISBLANK(B143),"",COUNTA($B$18:B143))</f>
        <v/>
      </c>
      <c r="B143" s="54" t="n"/>
      <c r="C143" s="55" t="n"/>
      <c r="D143" s="55" t="n"/>
      <c r="E143" s="53" t="n"/>
      <c r="F143" s="56" t="n"/>
      <c r="G143" s="56" t="n"/>
      <c r="H143" s="56" t="n"/>
      <c r="I143" s="56" t="n"/>
      <c r="J143" s="56" t="n"/>
      <c r="K143" s="56" t="n"/>
      <c r="L143" s="57" t="n"/>
      <c r="M143" s="56" t="n"/>
      <c r="N143" s="55" t="n"/>
      <c r="O143" s="58">
        <f>IFERROR(IF(OR(ISBLANK(G143),ISBLANK(I143)),"",ABS(G143-I143)/VLOOKUP(C143,設定!$B$9:$D$23,2,FALSE)),"")</f>
        <v/>
      </c>
      <c r="P143" s="57">
        <f>IFERROR(IF(OR(ISBLANK(F143),ISBLANK(H143),ISBLANK(J143)),"",ABS(J143-F143)/ABS(F143-H143)),"")</f>
        <v/>
      </c>
      <c r="Q143" s="59">
        <f>IFERROR(IF(OR(ISBLANK(M143),ISBLANK(D143),ISBLANK(G143)),"",IF(D143="Long",(M143-G143),(G143-M143))/VLOOKUP(C143,設定!$B$9:$D$23,2,FALSE)),"")</f>
        <v/>
      </c>
      <c r="R143" s="60">
        <f>IFERROR(IF(OR(ISBLANK(Q143),O143=0),"",Q143/O143),"")</f>
        <v/>
      </c>
      <c r="S143" s="60">
        <f>IFERROR(IF(ISBLANK(R143),S142,IF(ISNUMBER(S142),S142,0)+R143),"")</f>
        <v/>
      </c>
      <c r="T143" s="61">
        <f>IFERROR(IF(OR(ISBLANK(Q143),ISBLANK(L143)),"",Q143*L143*VLOOKUP(C143,設定!$B$9:$D$23,3,FALSE)),"")</f>
        <v/>
      </c>
      <c r="U143" s="55" t="n"/>
      <c r="V143" s="55" t="n"/>
    </row>
    <row r="144">
      <c r="A144" s="44">
        <f>IF(ISBLANK(B144),"",COUNTA($B$18:B144))</f>
        <v/>
      </c>
      <c r="B144" s="45" t="n"/>
      <c r="C144" s="46" t="n"/>
      <c r="D144" s="46" t="n"/>
      <c r="E144" s="44" t="n"/>
      <c r="F144" s="47" t="n"/>
      <c r="G144" s="47" t="n"/>
      <c r="H144" s="47" t="n"/>
      <c r="I144" s="47" t="n"/>
      <c r="J144" s="47" t="n"/>
      <c r="K144" s="47" t="n"/>
      <c r="L144" s="48" t="n"/>
      <c r="M144" s="47" t="n"/>
      <c r="N144" s="46" t="n"/>
      <c r="O144" s="49">
        <f>IFERROR(IF(OR(ISBLANK(G144),ISBLANK(I144)),"",ABS(G144-I144)/VLOOKUP(C144,設定!$B$9:$D$23,2,FALSE)),"")</f>
        <v/>
      </c>
      <c r="P144" s="48">
        <f>IFERROR(IF(OR(ISBLANK(F144),ISBLANK(H144),ISBLANK(J144)),"",ABS(J144-F144)/ABS(F144-H144)),"")</f>
        <v/>
      </c>
      <c r="Q144" s="50">
        <f>IFERROR(IF(OR(ISBLANK(M144),ISBLANK(D144),ISBLANK(G144)),"",IF(D144="Long",(M144-G144),(G144-M144))/VLOOKUP(C144,設定!$B$9:$D$23,2,FALSE)),"")</f>
        <v/>
      </c>
      <c r="R144" s="51">
        <f>IFERROR(IF(OR(ISBLANK(Q144),O144=0),"",Q144/O144),"")</f>
        <v/>
      </c>
      <c r="S144" s="51">
        <f>IFERROR(IF(ISBLANK(R144),S143,IF(ISNUMBER(S143),S143,0)+R144),"")</f>
        <v/>
      </c>
      <c r="T144" s="52">
        <f>IFERROR(IF(OR(ISBLANK(Q144),ISBLANK(L144)),"",Q144*L144*VLOOKUP(C144,設定!$B$9:$D$23,3,FALSE)),"")</f>
        <v/>
      </c>
      <c r="U144" s="46" t="n"/>
      <c r="V144" s="46" t="n"/>
    </row>
    <row r="145">
      <c r="A145" s="53">
        <f>IF(ISBLANK(B145),"",COUNTA($B$18:B145))</f>
        <v/>
      </c>
      <c r="B145" s="54" t="n"/>
      <c r="C145" s="55" t="n"/>
      <c r="D145" s="55" t="n"/>
      <c r="E145" s="53" t="n"/>
      <c r="F145" s="56" t="n"/>
      <c r="G145" s="56" t="n"/>
      <c r="H145" s="56" t="n"/>
      <c r="I145" s="56" t="n"/>
      <c r="J145" s="56" t="n"/>
      <c r="K145" s="56" t="n"/>
      <c r="L145" s="57" t="n"/>
      <c r="M145" s="56" t="n"/>
      <c r="N145" s="55" t="n"/>
      <c r="O145" s="58">
        <f>IFERROR(IF(OR(ISBLANK(G145),ISBLANK(I145)),"",ABS(G145-I145)/VLOOKUP(C145,設定!$B$9:$D$23,2,FALSE)),"")</f>
        <v/>
      </c>
      <c r="P145" s="57">
        <f>IFERROR(IF(OR(ISBLANK(F145),ISBLANK(H145),ISBLANK(J145)),"",ABS(J145-F145)/ABS(F145-H145)),"")</f>
        <v/>
      </c>
      <c r="Q145" s="59">
        <f>IFERROR(IF(OR(ISBLANK(M145),ISBLANK(D145),ISBLANK(G145)),"",IF(D145="Long",(M145-G145),(G145-M145))/VLOOKUP(C145,設定!$B$9:$D$23,2,FALSE)),"")</f>
        <v/>
      </c>
      <c r="R145" s="60">
        <f>IFERROR(IF(OR(ISBLANK(Q145),O145=0),"",Q145/O145),"")</f>
        <v/>
      </c>
      <c r="S145" s="60">
        <f>IFERROR(IF(ISBLANK(R145),S144,IF(ISNUMBER(S144),S144,0)+R145),"")</f>
        <v/>
      </c>
      <c r="T145" s="61">
        <f>IFERROR(IF(OR(ISBLANK(Q145),ISBLANK(L145)),"",Q145*L145*VLOOKUP(C145,設定!$B$9:$D$23,3,FALSE)),"")</f>
        <v/>
      </c>
      <c r="U145" s="55" t="n"/>
      <c r="V145" s="55" t="n"/>
    </row>
    <row r="146">
      <c r="A146" s="44">
        <f>IF(ISBLANK(B146),"",COUNTA($B$18:B146))</f>
        <v/>
      </c>
      <c r="B146" s="45" t="n"/>
      <c r="C146" s="46" t="n"/>
      <c r="D146" s="46" t="n"/>
      <c r="E146" s="44" t="n"/>
      <c r="F146" s="47" t="n"/>
      <c r="G146" s="47" t="n"/>
      <c r="H146" s="47" t="n"/>
      <c r="I146" s="47" t="n"/>
      <c r="J146" s="47" t="n"/>
      <c r="K146" s="47" t="n"/>
      <c r="L146" s="48" t="n"/>
      <c r="M146" s="47" t="n"/>
      <c r="N146" s="46" t="n"/>
      <c r="O146" s="49">
        <f>IFERROR(IF(OR(ISBLANK(G146),ISBLANK(I146)),"",ABS(G146-I146)/VLOOKUP(C146,設定!$B$9:$D$23,2,FALSE)),"")</f>
        <v/>
      </c>
      <c r="P146" s="48">
        <f>IFERROR(IF(OR(ISBLANK(F146),ISBLANK(H146),ISBLANK(J146)),"",ABS(J146-F146)/ABS(F146-H146)),"")</f>
        <v/>
      </c>
      <c r="Q146" s="50">
        <f>IFERROR(IF(OR(ISBLANK(M146),ISBLANK(D146),ISBLANK(G146)),"",IF(D146="Long",(M146-G146),(G146-M146))/VLOOKUP(C146,設定!$B$9:$D$23,2,FALSE)),"")</f>
        <v/>
      </c>
      <c r="R146" s="51">
        <f>IFERROR(IF(OR(ISBLANK(Q146),O146=0),"",Q146/O146),"")</f>
        <v/>
      </c>
      <c r="S146" s="51">
        <f>IFERROR(IF(ISBLANK(R146),S145,IF(ISNUMBER(S145),S145,0)+R146),"")</f>
        <v/>
      </c>
      <c r="T146" s="52">
        <f>IFERROR(IF(OR(ISBLANK(Q146),ISBLANK(L146)),"",Q146*L146*VLOOKUP(C146,設定!$B$9:$D$23,3,FALSE)),"")</f>
        <v/>
      </c>
      <c r="U146" s="46" t="n"/>
      <c r="V146" s="46" t="n"/>
    </row>
    <row r="147">
      <c r="A147" s="53">
        <f>IF(ISBLANK(B147),"",COUNTA($B$18:B147))</f>
        <v/>
      </c>
      <c r="B147" s="54" t="n"/>
      <c r="C147" s="55" t="n"/>
      <c r="D147" s="55" t="n"/>
      <c r="E147" s="53" t="n"/>
      <c r="F147" s="56" t="n"/>
      <c r="G147" s="56" t="n"/>
      <c r="H147" s="56" t="n"/>
      <c r="I147" s="56" t="n"/>
      <c r="J147" s="56" t="n"/>
      <c r="K147" s="56" t="n"/>
      <c r="L147" s="57" t="n"/>
      <c r="M147" s="56" t="n"/>
      <c r="N147" s="55" t="n"/>
      <c r="O147" s="58">
        <f>IFERROR(IF(OR(ISBLANK(G147),ISBLANK(I147)),"",ABS(G147-I147)/VLOOKUP(C147,設定!$B$9:$D$23,2,FALSE)),"")</f>
        <v/>
      </c>
      <c r="P147" s="57">
        <f>IFERROR(IF(OR(ISBLANK(F147),ISBLANK(H147),ISBLANK(J147)),"",ABS(J147-F147)/ABS(F147-H147)),"")</f>
        <v/>
      </c>
      <c r="Q147" s="59">
        <f>IFERROR(IF(OR(ISBLANK(M147),ISBLANK(D147),ISBLANK(G147)),"",IF(D147="Long",(M147-G147),(G147-M147))/VLOOKUP(C147,設定!$B$9:$D$23,2,FALSE)),"")</f>
        <v/>
      </c>
      <c r="R147" s="60">
        <f>IFERROR(IF(OR(ISBLANK(Q147),O147=0),"",Q147/O147),"")</f>
        <v/>
      </c>
      <c r="S147" s="60">
        <f>IFERROR(IF(ISBLANK(R147),S146,IF(ISNUMBER(S146),S146,0)+R147),"")</f>
        <v/>
      </c>
      <c r="T147" s="61">
        <f>IFERROR(IF(OR(ISBLANK(Q147),ISBLANK(L147)),"",Q147*L147*VLOOKUP(C147,設定!$B$9:$D$23,3,FALSE)),"")</f>
        <v/>
      </c>
      <c r="U147" s="55" t="n"/>
      <c r="V147" s="55" t="n"/>
    </row>
    <row r="148">
      <c r="A148" s="44">
        <f>IF(ISBLANK(B148),"",COUNTA($B$18:B148))</f>
        <v/>
      </c>
      <c r="B148" s="45" t="n"/>
      <c r="C148" s="46" t="n"/>
      <c r="D148" s="46" t="n"/>
      <c r="E148" s="44" t="n"/>
      <c r="F148" s="47" t="n"/>
      <c r="G148" s="47" t="n"/>
      <c r="H148" s="47" t="n"/>
      <c r="I148" s="47" t="n"/>
      <c r="J148" s="47" t="n"/>
      <c r="K148" s="47" t="n"/>
      <c r="L148" s="48" t="n"/>
      <c r="M148" s="47" t="n"/>
      <c r="N148" s="46" t="n"/>
      <c r="O148" s="49">
        <f>IFERROR(IF(OR(ISBLANK(G148),ISBLANK(I148)),"",ABS(G148-I148)/VLOOKUP(C148,設定!$B$9:$D$23,2,FALSE)),"")</f>
        <v/>
      </c>
      <c r="P148" s="48">
        <f>IFERROR(IF(OR(ISBLANK(F148),ISBLANK(H148),ISBLANK(J148)),"",ABS(J148-F148)/ABS(F148-H148)),"")</f>
        <v/>
      </c>
      <c r="Q148" s="50">
        <f>IFERROR(IF(OR(ISBLANK(M148),ISBLANK(D148),ISBLANK(G148)),"",IF(D148="Long",(M148-G148),(G148-M148))/VLOOKUP(C148,設定!$B$9:$D$23,2,FALSE)),"")</f>
        <v/>
      </c>
      <c r="R148" s="51">
        <f>IFERROR(IF(OR(ISBLANK(Q148),O148=0),"",Q148/O148),"")</f>
        <v/>
      </c>
      <c r="S148" s="51">
        <f>IFERROR(IF(ISBLANK(R148),S147,IF(ISNUMBER(S147),S147,0)+R148),"")</f>
        <v/>
      </c>
      <c r="T148" s="52">
        <f>IFERROR(IF(OR(ISBLANK(Q148),ISBLANK(L148)),"",Q148*L148*VLOOKUP(C148,設定!$B$9:$D$23,3,FALSE)),"")</f>
        <v/>
      </c>
      <c r="U148" s="46" t="n"/>
      <c r="V148" s="46" t="n"/>
    </row>
    <row r="149">
      <c r="A149" s="53">
        <f>IF(ISBLANK(B149),"",COUNTA($B$18:B149))</f>
        <v/>
      </c>
      <c r="B149" s="54" t="n"/>
      <c r="C149" s="55" t="n"/>
      <c r="D149" s="55" t="n"/>
      <c r="E149" s="53" t="n"/>
      <c r="F149" s="56" t="n"/>
      <c r="G149" s="56" t="n"/>
      <c r="H149" s="56" t="n"/>
      <c r="I149" s="56" t="n"/>
      <c r="J149" s="56" t="n"/>
      <c r="K149" s="56" t="n"/>
      <c r="L149" s="57" t="n"/>
      <c r="M149" s="56" t="n"/>
      <c r="N149" s="55" t="n"/>
      <c r="O149" s="58">
        <f>IFERROR(IF(OR(ISBLANK(G149),ISBLANK(I149)),"",ABS(G149-I149)/VLOOKUP(C149,設定!$B$9:$D$23,2,FALSE)),"")</f>
        <v/>
      </c>
      <c r="P149" s="57">
        <f>IFERROR(IF(OR(ISBLANK(F149),ISBLANK(H149),ISBLANK(J149)),"",ABS(J149-F149)/ABS(F149-H149)),"")</f>
        <v/>
      </c>
      <c r="Q149" s="59">
        <f>IFERROR(IF(OR(ISBLANK(M149),ISBLANK(D149),ISBLANK(G149)),"",IF(D149="Long",(M149-G149),(G149-M149))/VLOOKUP(C149,設定!$B$9:$D$23,2,FALSE)),"")</f>
        <v/>
      </c>
      <c r="R149" s="60">
        <f>IFERROR(IF(OR(ISBLANK(Q149),O149=0),"",Q149/O149),"")</f>
        <v/>
      </c>
      <c r="S149" s="60">
        <f>IFERROR(IF(ISBLANK(R149),S148,IF(ISNUMBER(S148),S148,0)+R149),"")</f>
        <v/>
      </c>
      <c r="T149" s="61">
        <f>IFERROR(IF(OR(ISBLANK(Q149),ISBLANK(L149)),"",Q149*L149*VLOOKUP(C149,設定!$B$9:$D$23,3,FALSE)),"")</f>
        <v/>
      </c>
      <c r="U149" s="55" t="n"/>
      <c r="V149" s="55" t="n"/>
    </row>
    <row r="150">
      <c r="A150" s="44">
        <f>IF(ISBLANK(B150),"",COUNTA($B$18:B150))</f>
        <v/>
      </c>
      <c r="B150" s="45" t="n"/>
      <c r="C150" s="46" t="n"/>
      <c r="D150" s="46" t="n"/>
      <c r="E150" s="44" t="n"/>
      <c r="F150" s="47" t="n"/>
      <c r="G150" s="47" t="n"/>
      <c r="H150" s="47" t="n"/>
      <c r="I150" s="47" t="n"/>
      <c r="J150" s="47" t="n"/>
      <c r="K150" s="47" t="n"/>
      <c r="L150" s="48" t="n"/>
      <c r="M150" s="47" t="n"/>
      <c r="N150" s="46" t="n"/>
      <c r="O150" s="49">
        <f>IFERROR(IF(OR(ISBLANK(G150),ISBLANK(I150)),"",ABS(G150-I150)/VLOOKUP(C150,設定!$B$9:$D$23,2,FALSE)),"")</f>
        <v/>
      </c>
      <c r="P150" s="48">
        <f>IFERROR(IF(OR(ISBLANK(F150),ISBLANK(H150),ISBLANK(J150)),"",ABS(J150-F150)/ABS(F150-H150)),"")</f>
        <v/>
      </c>
      <c r="Q150" s="50">
        <f>IFERROR(IF(OR(ISBLANK(M150),ISBLANK(D150),ISBLANK(G150)),"",IF(D150="Long",(M150-G150),(G150-M150))/VLOOKUP(C150,設定!$B$9:$D$23,2,FALSE)),"")</f>
        <v/>
      </c>
      <c r="R150" s="51">
        <f>IFERROR(IF(OR(ISBLANK(Q150),O150=0),"",Q150/O150),"")</f>
        <v/>
      </c>
      <c r="S150" s="51">
        <f>IFERROR(IF(ISBLANK(R150),S149,IF(ISNUMBER(S149),S149,0)+R150),"")</f>
        <v/>
      </c>
      <c r="T150" s="52">
        <f>IFERROR(IF(OR(ISBLANK(Q150),ISBLANK(L150)),"",Q150*L150*VLOOKUP(C150,設定!$B$9:$D$23,3,FALSE)),"")</f>
        <v/>
      </c>
      <c r="U150" s="46" t="n"/>
      <c r="V150" s="46" t="n"/>
    </row>
    <row r="151">
      <c r="A151" s="53">
        <f>IF(ISBLANK(B151),"",COUNTA($B$18:B151))</f>
        <v/>
      </c>
      <c r="B151" s="54" t="n"/>
      <c r="C151" s="55" t="n"/>
      <c r="D151" s="55" t="n"/>
      <c r="E151" s="53" t="n"/>
      <c r="F151" s="56" t="n"/>
      <c r="G151" s="56" t="n"/>
      <c r="H151" s="56" t="n"/>
      <c r="I151" s="56" t="n"/>
      <c r="J151" s="56" t="n"/>
      <c r="K151" s="56" t="n"/>
      <c r="L151" s="57" t="n"/>
      <c r="M151" s="56" t="n"/>
      <c r="N151" s="55" t="n"/>
      <c r="O151" s="58">
        <f>IFERROR(IF(OR(ISBLANK(G151),ISBLANK(I151)),"",ABS(G151-I151)/VLOOKUP(C151,設定!$B$9:$D$23,2,FALSE)),"")</f>
        <v/>
      </c>
      <c r="P151" s="57">
        <f>IFERROR(IF(OR(ISBLANK(F151),ISBLANK(H151),ISBLANK(J151)),"",ABS(J151-F151)/ABS(F151-H151)),"")</f>
        <v/>
      </c>
      <c r="Q151" s="59">
        <f>IFERROR(IF(OR(ISBLANK(M151),ISBLANK(D151),ISBLANK(G151)),"",IF(D151="Long",(M151-G151),(G151-M151))/VLOOKUP(C151,設定!$B$9:$D$23,2,FALSE)),"")</f>
        <v/>
      </c>
      <c r="R151" s="60">
        <f>IFERROR(IF(OR(ISBLANK(Q151),O151=0),"",Q151/O151),"")</f>
        <v/>
      </c>
      <c r="S151" s="60">
        <f>IFERROR(IF(ISBLANK(R151),S150,IF(ISNUMBER(S150),S150,0)+R151),"")</f>
        <v/>
      </c>
      <c r="T151" s="61">
        <f>IFERROR(IF(OR(ISBLANK(Q151),ISBLANK(L151)),"",Q151*L151*VLOOKUP(C151,設定!$B$9:$D$23,3,FALSE)),"")</f>
        <v/>
      </c>
      <c r="U151" s="55" t="n"/>
      <c r="V151" s="55" t="n"/>
    </row>
    <row r="152">
      <c r="A152" s="44">
        <f>IF(ISBLANK(B152),"",COUNTA($B$18:B152))</f>
        <v/>
      </c>
      <c r="B152" s="45" t="n"/>
      <c r="C152" s="46" t="n"/>
      <c r="D152" s="46" t="n"/>
      <c r="E152" s="44" t="n"/>
      <c r="F152" s="47" t="n"/>
      <c r="G152" s="47" t="n"/>
      <c r="H152" s="47" t="n"/>
      <c r="I152" s="47" t="n"/>
      <c r="J152" s="47" t="n"/>
      <c r="K152" s="47" t="n"/>
      <c r="L152" s="48" t="n"/>
      <c r="M152" s="47" t="n"/>
      <c r="N152" s="46" t="n"/>
      <c r="O152" s="49">
        <f>IFERROR(IF(OR(ISBLANK(G152),ISBLANK(I152)),"",ABS(G152-I152)/VLOOKUP(C152,設定!$B$9:$D$23,2,FALSE)),"")</f>
        <v/>
      </c>
      <c r="P152" s="48">
        <f>IFERROR(IF(OR(ISBLANK(F152),ISBLANK(H152),ISBLANK(J152)),"",ABS(J152-F152)/ABS(F152-H152)),"")</f>
        <v/>
      </c>
      <c r="Q152" s="50">
        <f>IFERROR(IF(OR(ISBLANK(M152),ISBLANK(D152),ISBLANK(G152)),"",IF(D152="Long",(M152-G152),(G152-M152))/VLOOKUP(C152,設定!$B$9:$D$23,2,FALSE)),"")</f>
        <v/>
      </c>
      <c r="R152" s="51">
        <f>IFERROR(IF(OR(ISBLANK(Q152),O152=0),"",Q152/O152),"")</f>
        <v/>
      </c>
      <c r="S152" s="51">
        <f>IFERROR(IF(ISBLANK(R152),S151,IF(ISNUMBER(S151),S151,0)+R152),"")</f>
        <v/>
      </c>
      <c r="T152" s="52">
        <f>IFERROR(IF(OR(ISBLANK(Q152),ISBLANK(L152)),"",Q152*L152*VLOOKUP(C152,設定!$B$9:$D$23,3,FALSE)),"")</f>
        <v/>
      </c>
      <c r="U152" s="46" t="n"/>
      <c r="V152" s="46" t="n"/>
    </row>
    <row r="153">
      <c r="A153" s="53">
        <f>IF(ISBLANK(B153),"",COUNTA($B$18:B153))</f>
        <v/>
      </c>
      <c r="B153" s="54" t="n"/>
      <c r="C153" s="55" t="n"/>
      <c r="D153" s="55" t="n"/>
      <c r="E153" s="53" t="n"/>
      <c r="F153" s="56" t="n"/>
      <c r="G153" s="56" t="n"/>
      <c r="H153" s="56" t="n"/>
      <c r="I153" s="56" t="n"/>
      <c r="J153" s="56" t="n"/>
      <c r="K153" s="56" t="n"/>
      <c r="L153" s="57" t="n"/>
      <c r="M153" s="56" t="n"/>
      <c r="N153" s="55" t="n"/>
      <c r="O153" s="58">
        <f>IFERROR(IF(OR(ISBLANK(G153),ISBLANK(I153)),"",ABS(G153-I153)/VLOOKUP(C153,設定!$B$9:$D$23,2,FALSE)),"")</f>
        <v/>
      </c>
      <c r="P153" s="57">
        <f>IFERROR(IF(OR(ISBLANK(F153),ISBLANK(H153),ISBLANK(J153)),"",ABS(J153-F153)/ABS(F153-H153)),"")</f>
        <v/>
      </c>
      <c r="Q153" s="59">
        <f>IFERROR(IF(OR(ISBLANK(M153),ISBLANK(D153),ISBLANK(G153)),"",IF(D153="Long",(M153-G153),(G153-M153))/VLOOKUP(C153,設定!$B$9:$D$23,2,FALSE)),"")</f>
        <v/>
      </c>
      <c r="R153" s="60">
        <f>IFERROR(IF(OR(ISBLANK(Q153),O153=0),"",Q153/O153),"")</f>
        <v/>
      </c>
      <c r="S153" s="60">
        <f>IFERROR(IF(ISBLANK(R153),S152,IF(ISNUMBER(S152),S152,0)+R153),"")</f>
        <v/>
      </c>
      <c r="T153" s="61">
        <f>IFERROR(IF(OR(ISBLANK(Q153),ISBLANK(L153)),"",Q153*L153*VLOOKUP(C153,設定!$B$9:$D$23,3,FALSE)),"")</f>
        <v/>
      </c>
      <c r="U153" s="55" t="n"/>
      <c r="V153" s="55" t="n"/>
    </row>
    <row r="154">
      <c r="A154" s="44">
        <f>IF(ISBLANK(B154),"",COUNTA($B$18:B154))</f>
        <v/>
      </c>
      <c r="B154" s="45" t="n"/>
      <c r="C154" s="46" t="n"/>
      <c r="D154" s="46" t="n"/>
      <c r="E154" s="44" t="n"/>
      <c r="F154" s="47" t="n"/>
      <c r="G154" s="47" t="n"/>
      <c r="H154" s="47" t="n"/>
      <c r="I154" s="47" t="n"/>
      <c r="J154" s="47" t="n"/>
      <c r="K154" s="47" t="n"/>
      <c r="L154" s="48" t="n"/>
      <c r="M154" s="47" t="n"/>
      <c r="N154" s="46" t="n"/>
      <c r="O154" s="49">
        <f>IFERROR(IF(OR(ISBLANK(G154),ISBLANK(I154)),"",ABS(G154-I154)/VLOOKUP(C154,設定!$B$9:$D$23,2,FALSE)),"")</f>
        <v/>
      </c>
      <c r="P154" s="48">
        <f>IFERROR(IF(OR(ISBLANK(F154),ISBLANK(H154),ISBLANK(J154)),"",ABS(J154-F154)/ABS(F154-H154)),"")</f>
        <v/>
      </c>
      <c r="Q154" s="50">
        <f>IFERROR(IF(OR(ISBLANK(M154),ISBLANK(D154),ISBLANK(G154)),"",IF(D154="Long",(M154-G154),(G154-M154))/VLOOKUP(C154,設定!$B$9:$D$23,2,FALSE)),"")</f>
        <v/>
      </c>
      <c r="R154" s="51">
        <f>IFERROR(IF(OR(ISBLANK(Q154),O154=0),"",Q154/O154),"")</f>
        <v/>
      </c>
      <c r="S154" s="51">
        <f>IFERROR(IF(ISBLANK(R154),S153,IF(ISNUMBER(S153),S153,0)+R154),"")</f>
        <v/>
      </c>
      <c r="T154" s="52">
        <f>IFERROR(IF(OR(ISBLANK(Q154),ISBLANK(L154)),"",Q154*L154*VLOOKUP(C154,設定!$B$9:$D$23,3,FALSE)),"")</f>
        <v/>
      </c>
      <c r="U154" s="46" t="n"/>
      <c r="V154" s="46" t="n"/>
    </row>
    <row r="155">
      <c r="A155" s="53">
        <f>IF(ISBLANK(B155),"",COUNTA($B$18:B155))</f>
        <v/>
      </c>
      <c r="B155" s="54" t="n"/>
      <c r="C155" s="55" t="n"/>
      <c r="D155" s="55" t="n"/>
      <c r="E155" s="53" t="n"/>
      <c r="F155" s="56" t="n"/>
      <c r="G155" s="56" t="n"/>
      <c r="H155" s="56" t="n"/>
      <c r="I155" s="56" t="n"/>
      <c r="J155" s="56" t="n"/>
      <c r="K155" s="56" t="n"/>
      <c r="L155" s="57" t="n"/>
      <c r="M155" s="56" t="n"/>
      <c r="N155" s="55" t="n"/>
      <c r="O155" s="58">
        <f>IFERROR(IF(OR(ISBLANK(G155),ISBLANK(I155)),"",ABS(G155-I155)/VLOOKUP(C155,設定!$B$9:$D$23,2,FALSE)),"")</f>
        <v/>
      </c>
      <c r="P155" s="57">
        <f>IFERROR(IF(OR(ISBLANK(F155),ISBLANK(H155),ISBLANK(J155)),"",ABS(J155-F155)/ABS(F155-H155)),"")</f>
        <v/>
      </c>
      <c r="Q155" s="59">
        <f>IFERROR(IF(OR(ISBLANK(M155),ISBLANK(D155),ISBLANK(G155)),"",IF(D155="Long",(M155-G155),(G155-M155))/VLOOKUP(C155,設定!$B$9:$D$23,2,FALSE)),"")</f>
        <v/>
      </c>
      <c r="R155" s="60">
        <f>IFERROR(IF(OR(ISBLANK(Q155),O155=0),"",Q155/O155),"")</f>
        <v/>
      </c>
      <c r="S155" s="60">
        <f>IFERROR(IF(ISBLANK(R155),S154,IF(ISNUMBER(S154),S154,0)+R155),"")</f>
        <v/>
      </c>
      <c r="T155" s="61">
        <f>IFERROR(IF(OR(ISBLANK(Q155),ISBLANK(L155)),"",Q155*L155*VLOOKUP(C155,設定!$B$9:$D$23,3,FALSE)),"")</f>
        <v/>
      </c>
      <c r="U155" s="55" t="n"/>
      <c r="V155" s="55" t="n"/>
    </row>
    <row r="156">
      <c r="A156" s="44">
        <f>IF(ISBLANK(B156),"",COUNTA($B$18:B156))</f>
        <v/>
      </c>
      <c r="B156" s="45" t="n"/>
      <c r="C156" s="46" t="n"/>
      <c r="D156" s="46" t="n"/>
      <c r="E156" s="44" t="n"/>
      <c r="F156" s="47" t="n"/>
      <c r="G156" s="47" t="n"/>
      <c r="H156" s="47" t="n"/>
      <c r="I156" s="47" t="n"/>
      <c r="J156" s="47" t="n"/>
      <c r="K156" s="47" t="n"/>
      <c r="L156" s="48" t="n"/>
      <c r="M156" s="47" t="n"/>
      <c r="N156" s="46" t="n"/>
      <c r="O156" s="49">
        <f>IFERROR(IF(OR(ISBLANK(G156),ISBLANK(I156)),"",ABS(G156-I156)/VLOOKUP(C156,設定!$B$9:$D$23,2,FALSE)),"")</f>
        <v/>
      </c>
      <c r="P156" s="48">
        <f>IFERROR(IF(OR(ISBLANK(F156),ISBLANK(H156),ISBLANK(J156)),"",ABS(J156-F156)/ABS(F156-H156)),"")</f>
        <v/>
      </c>
      <c r="Q156" s="50">
        <f>IFERROR(IF(OR(ISBLANK(M156),ISBLANK(D156),ISBLANK(G156)),"",IF(D156="Long",(M156-G156),(G156-M156))/VLOOKUP(C156,設定!$B$9:$D$23,2,FALSE)),"")</f>
        <v/>
      </c>
      <c r="R156" s="51">
        <f>IFERROR(IF(OR(ISBLANK(Q156),O156=0),"",Q156/O156),"")</f>
        <v/>
      </c>
      <c r="S156" s="51">
        <f>IFERROR(IF(ISBLANK(R156),S155,IF(ISNUMBER(S155),S155,0)+R156),"")</f>
        <v/>
      </c>
      <c r="T156" s="52">
        <f>IFERROR(IF(OR(ISBLANK(Q156),ISBLANK(L156)),"",Q156*L156*VLOOKUP(C156,設定!$B$9:$D$23,3,FALSE)),"")</f>
        <v/>
      </c>
      <c r="U156" s="46" t="n"/>
      <c r="V156" s="46" t="n"/>
    </row>
    <row r="157">
      <c r="A157" s="53">
        <f>IF(ISBLANK(B157),"",COUNTA($B$18:B157))</f>
        <v/>
      </c>
      <c r="B157" s="54" t="n"/>
      <c r="C157" s="55" t="n"/>
      <c r="D157" s="55" t="n"/>
      <c r="E157" s="53" t="n"/>
      <c r="F157" s="56" t="n"/>
      <c r="G157" s="56" t="n"/>
      <c r="H157" s="56" t="n"/>
      <c r="I157" s="56" t="n"/>
      <c r="J157" s="56" t="n"/>
      <c r="K157" s="56" t="n"/>
      <c r="L157" s="57" t="n"/>
      <c r="M157" s="56" t="n"/>
      <c r="N157" s="55" t="n"/>
      <c r="O157" s="58">
        <f>IFERROR(IF(OR(ISBLANK(G157),ISBLANK(I157)),"",ABS(G157-I157)/VLOOKUP(C157,設定!$B$9:$D$23,2,FALSE)),"")</f>
        <v/>
      </c>
      <c r="P157" s="57">
        <f>IFERROR(IF(OR(ISBLANK(F157),ISBLANK(H157),ISBLANK(J157)),"",ABS(J157-F157)/ABS(F157-H157)),"")</f>
        <v/>
      </c>
      <c r="Q157" s="59">
        <f>IFERROR(IF(OR(ISBLANK(M157),ISBLANK(D157),ISBLANK(G157)),"",IF(D157="Long",(M157-G157),(G157-M157))/VLOOKUP(C157,設定!$B$9:$D$23,2,FALSE)),"")</f>
        <v/>
      </c>
      <c r="R157" s="60">
        <f>IFERROR(IF(OR(ISBLANK(Q157),O157=0),"",Q157/O157),"")</f>
        <v/>
      </c>
      <c r="S157" s="60">
        <f>IFERROR(IF(ISBLANK(R157),S156,IF(ISNUMBER(S156),S156,0)+R157),"")</f>
        <v/>
      </c>
      <c r="T157" s="61">
        <f>IFERROR(IF(OR(ISBLANK(Q157),ISBLANK(L157)),"",Q157*L157*VLOOKUP(C157,設定!$B$9:$D$23,3,FALSE)),"")</f>
        <v/>
      </c>
      <c r="U157" s="55" t="n"/>
      <c r="V157" s="55" t="n"/>
    </row>
    <row r="158">
      <c r="A158" s="44">
        <f>IF(ISBLANK(B158),"",COUNTA($B$18:B158))</f>
        <v/>
      </c>
      <c r="B158" s="45" t="n"/>
      <c r="C158" s="46" t="n"/>
      <c r="D158" s="46" t="n"/>
      <c r="E158" s="44" t="n"/>
      <c r="F158" s="47" t="n"/>
      <c r="G158" s="47" t="n"/>
      <c r="H158" s="47" t="n"/>
      <c r="I158" s="47" t="n"/>
      <c r="J158" s="47" t="n"/>
      <c r="K158" s="47" t="n"/>
      <c r="L158" s="48" t="n"/>
      <c r="M158" s="47" t="n"/>
      <c r="N158" s="46" t="n"/>
      <c r="O158" s="49">
        <f>IFERROR(IF(OR(ISBLANK(G158),ISBLANK(I158)),"",ABS(G158-I158)/VLOOKUP(C158,設定!$B$9:$D$23,2,FALSE)),"")</f>
        <v/>
      </c>
      <c r="P158" s="48">
        <f>IFERROR(IF(OR(ISBLANK(F158),ISBLANK(H158),ISBLANK(J158)),"",ABS(J158-F158)/ABS(F158-H158)),"")</f>
        <v/>
      </c>
      <c r="Q158" s="50">
        <f>IFERROR(IF(OR(ISBLANK(M158),ISBLANK(D158),ISBLANK(G158)),"",IF(D158="Long",(M158-G158),(G158-M158))/VLOOKUP(C158,設定!$B$9:$D$23,2,FALSE)),"")</f>
        <v/>
      </c>
      <c r="R158" s="51">
        <f>IFERROR(IF(OR(ISBLANK(Q158),O158=0),"",Q158/O158),"")</f>
        <v/>
      </c>
      <c r="S158" s="51">
        <f>IFERROR(IF(ISBLANK(R158),S157,IF(ISNUMBER(S157),S157,0)+R158),"")</f>
        <v/>
      </c>
      <c r="T158" s="52">
        <f>IFERROR(IF(OR(ISBLANK(Q158),ISBLANK(L158)),"",Q158*L158*VLOOKUP(C158,設定!$B$9:$D$23,3,FALSE)),"")</f>
        <v/>
      </c>
      <c r="U158" s="46" t="n"/>
      <c r="V158" s="46" t="n"/>
    </row>
    <row r="159">
      <c r="A159" s="53">
        <f>IF(ISBLANK(B159),"",COUNTA($B$18:B159))</f>
        <v/>
      </c>
      <c r="B159" s="54" t="n"/>
      <c r="C159" s="55" t="n"/>
      <c r="D159" s="55" t="n"/>
      <c r="E159" s="53" t="n"/>
      <c r="F159" s="56" t="n"/>
      <c r="G159" s="56" t="n"/>
      <c r="H159" s="56" t="n"/>
      <c r="I159" s="56" t="n"/>
      <c r="J159" s="56" t="n"/>
      <c r="K159" s="56" t="n"/>
      <c r="L159" s="57" t="n"/>
      <c r="M159" s="56" t="n"/>
      <c r="N159" s="55" t="n"/>
      <c r="O159" s="58">
        <f>IFERROR(IF(OR(ISBLANK(G159),ISBLANK(I159)),"",ABS(G159-I159)/VLOOKUP(C159,設定!$B$9:$D$23,2,FALSE)),"")</f>
        <v/>
      </c>
      <c r="P159" s="57">
        <f>IFERROR(IF(OR(ISBLANK(F159),ISBLANK(H159),ISBLANK(J159)),"",ABS(J159-F159)/ABS(F159-H159)),"")</f>
        <v/>
      </c>
      <c r="Q159" s="59">
        <f>IFERROR(IF(OR(ISBLANK(M159),ISBLANK(D159),ISBLANK(G159)),"",IF(D159="Long",(M159-G159),(G159-M159))/VLOOKUP(C159,設定!$B$9:$D$23,2,FALSE)),"")</f>
        <v/>
      </c>
      <c r="R159" s="60">
        <f>IFERROR(IF(OR(ISBLANK(Q159),O159=0),"",Q159/O159),"")</f>
        <v/>
      </c>
      <c r="S159" s="60">
        <f>IFERROR(IF(ISBLANK(R159),S158,IF(ISNUMBER(S158),S158,0)+R159),"")</f>
        <v/>
      </c>
      <c r="T159" s="61">
        <f>IFERROR(IF(OR(ISBLANK(Q159),ISBLANK(L159)),"",Q159*L159*VLOOKUP(C159,設定!$B$9:$D$23,3,FALSE)),"")</f>
        <v/>
      </c>
      <c r="U159" s="55" t="n"/>
      <c r="V159" s="55" t="n"/>
    </row>
    <row r="160">
      <c r="A160" s="44">
        <f>IF(ISBLANK(B160),"",COUNTA($B$18:B160))</f>
        <v/>
      </c>
      <c r="B160" s="45" t="n"/>
      <c r="C160" s="46" t="n"/>
      <c r="D160" s="46" t="n"/>
      <c r="E160" s="44" t="n"/>
      <c r="F160" s="47" t="n"/>
      <c r="G160" s="47" t="n"/>
      <c r="H160" s="47" t="n"/>
      <c r="I160" s="47" t="n"/>
      <c r="J160" s="47" t="n"/>
      <c r="K160" s="47" t="n"/>
      <c r="L160" s="48" t="n"/>
      <c r="M160" s="47" t="n"/>
      <c r="N160" s="46" t="n"/>
      <c r="O160" s="49">
        <f>IFERROR(IF(OR(ISBLANK(G160),ISBLANK(I160)),"",ABS(G160-I160)/VLOOKUP(C160,設定!$B$9:$D$23,2,FALSE)),"")</f>
        <v/>
      </c>
      <c r="P160" s="48">
        <f>IFERROR(IF(OR(ISBLANK(F160),ISBLANK(H160),ISBLANK(J160)),"",ABS(J160-F160)/ABS(F160-H160)),"")</f>
        <v/>
      </c>
      <c r="Q160" s="50">
        <f>IFERROR(IF(OR(ISBLANK(M160),ISBLANK(D160),ISBLANK(G160)),"",IF(D160="Long",(M160-G160),(G160-M160))/VLOOKUP(C160,設定!$B$9:$D$23,2,FALSE)),"")</f>
        <v/>
      </c>
      <c r="R160" s="51">
        <f>IFERROR(IF(OR(ISBLANK(Q160),O160=0),"",Q160/O160),"")</f>
        <v/>
      </c>
      <c r="S160" s="51">
        <f>IFERROR(IF(ISBLANK(R160),S159,IF(ISNUMBER(S159),S159,0)+R160),"")</f>
        <v/>
      </c>
      <c r="T160" s="52">
        <f>IFERROR(IF(OR(ISBLANK(Q160),ISBLANK(L160)),"",Q160*L160*VLOOKUP(C160,設定!$B$9:$D$23,3,FALSE)),"")</f>
        <v/>
      </c>
      <c r="U160" s="46" t="n"/>
      <c r="V160" s="46" t="n"/>
    </row>
    <row r="161">
      <c r="A161" s="53">
        <f>IF(ISBLANK(B161),"",COUNTA($B$18:B161))</f>
        <v/>
      </c>
      <c r="B161" s="54" t="n"/>
      <c r="C161" s="55" t="n"/>
      <c r="D161" s="55" t="n"/>
      <c r="E161" s="53" t="n"/>
      <c r="F161" s="56" t="n"/>
      <c r="G161" s="56" t="n"/>
      <c r="H161" s="56" t="n"/>
      <c r="I161" s="56" t="n"/>
      <c r="J161" s="56" t="n"/>
      <c r="K161" s="56" t="n"/>
      <c r="L161" s="57" t="n"/>
      <c r="M161" s="56" t="n"/>
      <c r="N161" s="55" t="n"/>
      <c r="O161" s="58">
        <f>IFERROR(IF(OR(ISBLANK(G161),ISBLANK(I161)),"",ABS(G161-I161)/VLOOKUP(C161,設定!$B$9:$D$23,2,FALSE)),"")</f>
        <v/>
      </c>
      <c r="P161" s="57">
        <f>IFERROR(IF(OR(ISBLANK(F161),ISBLANK(H161),ISBLANK(J161)),"",ABS(J161-F161)/ABS(F161-H161)),"")</f>
        <v/>
      </c>
      <c r="Q161" s="59">
        <f>IFERROR(IF(OR(ISBLANK(M161),ISBLANK(D161),ISBLANK(G161)),"",IF(D161="Long",(M161-G161),(G161-M161))/VLOOKUP(C161,設定!$B$9:$D$23,2,FALSE)),"")</f>
        <v/>
      </c>
      <c r="R161" s="60">
        <f>IFERROR(IF(OR(ISBLANK(Q161),O161=0),"",Q161/O161),"")</f>
        <v/>
      </c>
      <c r="S161" s="60">
        <f>IFERROR(IF(ISBLANK(R161),S160,IF(ISNUMBER(S160),S160,0)+R161),"")</f>
        <v/>
      </c>
      <c r="T161" s="61">
        <f>IFERROR(IF(OR(ISBLANK(Q161),ISBLANK(L161)),"",Q161*L161*VLOOKUP(C161,設定!$B$9:$D$23,3,FALSE)),"")</f>
        <v/>
      </c>
      <c r="U161" s="55" t="n"/>
      <c r="V161" s="55" t="n"/>
    </row>
    <row r="162">
      <c r="A162" s="44">
        <f>IF(ISBLANK(B162),"",COUNTA($B$18:B162))</f>
        <v/>
      </c>
      <c r="B162" s="45" t="n"/>
      <c r="C162" s="46" t="n"/>
      <c r="D162" s="46" t="n"/>
      <c r="E162" s="44" t="n"/>
      <c r="F162" s="47" t="n"/>
      <c r="G162" s="47" t="n"/>
      <c r="H162" s="47" t="n"/>
      <c r="I162" s="47" t="n"/>
      <c r="J162" s="47" t="n"/>
      <c r="K162" s="47" t="n"/>
      <c r="L162" s="48" t="n"/>
      <c r="M162" s="47" t="n"/>
      <c r="N162" s="46" t="n"/>
      <c r="O162" s="49">
        <f>IFERROR(IF(OR(ISBLANK(G162),ISBLANK(I162)),"",ABS(G162-I162)/VLOOKUP(C162,設定!$B$9:$D$23,2,FALSE)),"")</f>
        <v/>
      </c>
      <c r="P162" s="48">
        <f>IFERROR(IF(OR(ISBLANK(F162),ISBLANK(H162),ISBLANK(J162)),"",ABS(J162-F162)/ABS(F162-H162)),"")</f>
        <v/>
      </c>
      <c r="Q162" s="50">
        <f>IFERROR(IF(OR(ISBLANK(M162),ISBLANK(D162),ISBLANK(G162)),"",IF(D162="Long",(M162-G162),(G162-M162))/VLOOKUP(C162,設定!$B$9:$D$23,2,FALSE)),"")</f>
        <v/>
      </c>
      <c r="R162" s="51">
        <f>IFERROR(IF(OR(ISBLANK(Q162),O162=0),"",Q162/O162),"")</f>
        <v/>
      </c>
      <c r="S162" s="51">
        <f>IFERROR(IF(ISBLANK(R162),S161,IF(ISNUMBER(S161),S161,0)+R162),"")</f>
        <v/>
      </c>
      <c r="T162" s="52">
        <f>IFERROR(IF(OR(ISBLANK(Q162),ISBLANK(L162)),"",Q162*L162*VLOOKUP(C162,設定!$B$9:$D$23,3,FALSE)),"")</f>
        <v/>
      </c>
      <c r="U162" s="46" t="n"/>
      <c r="V162" s="46" t="n"/>
    </row>
    <row r="163">
      <c r="A163" s="53">
        <f>IF(ISBLANK(B163),"",COUNTA($B$18:B163))</f>
        <v/>
      </c>
      <c r="B163" s="54" t="n"/>
      <c r="C163" s="55" t="n"/>
      <c r="D163" s="55" t="n"/>
      <c r="E163" s="53" t="n"/>
      <c r="F163" s="56" t="n"/>
      <c r="G163" s="56" t="n"/>
      <c r="H163" s="56" t="n"/>
      <c r="I163" s="56" t="n"/>
      <c r="J163" s="56" t="n"/>
      <c r="K163" s="56" t="n"/>
      <c r="L163" s="57" t="n"/>
      <c r="M163" s="56" t="n"/>
      <c r="N163" s="55" t="n"/>
      <c r="O163" s="58">
        <f>IFERROR(IF(OR(ISBLANK(G163),ISBLANK(I163)),"",ABS(G163-I163)/VLOOKUP(C163,設定!$B$9:$D$23,2,FALSE)),"")</f>
        <v/>
      </c>
      <c r="P163" s="57">
        <f>IFERROR(IF(OR(ISBLANK(F163),ISBLANK(H163),ISBLANK(J163)),"",ABS(J163-F163)/ABS(F163-H163)),"")</f>
        <v/>
      </c>
      <c r="Q163" s="59">
        <f>IFERROR(IF(OR(ISBLANK(M163),ISBLANK(D163),ISBLANK(G163)),"",IF(D163="Long",(M163-G163),(G163-M163))/VLOOKUP(C163,設定!$B$9:$D$23,2,FALSE)),"")</f>
        <v/>
      </c>
      <c r="R163" s="60">
        <f>IFERROR(IF(OR(ISBLANK(Q163),O163=0),"",Q163/O163),"")</f>
        <v/>
      </c>
      <c r="S163" s="60">
        <f>IFERROR(IF(ISBLANK(R163),S162,IF(ISNUMBER(S162),S162,0)+R163),"")</f>
        <v/>
      </c>
      <c r="T163" s="61">
        <f>IFERROR(IF(OR(ISBLANK(Q163),ISBLANK(L163)),"",Q163*L163*VLOOKUP(C163,設定!$B$9:$D$23,3,FALSE)),"")</f>
        <v/>
      </c>
      <c r="U163" s="55" t="n"/>
      <c r="V163" s="55" t="n"/>
    </row>
    <row r="164">
      <c r="A164" s="44">
        <f>IF(ISBLANK(B164),"",COUNTA($B$18:B164))</f>
        <v/>
      </c>
      <c r="B164" s="45" t="n"/>
      <c r="C164" s="46" t="n"/>
      <c r="D164" s="46" t="n"/>
      <c r="E164" s="44" t="n"/>
      <c r="F164" s="47" t="n"/>
      <c r="G164" s="47" t="n"/>
      <c r="H164" s="47" t="n"/>
      <c r="I164" s="47" t="n"/>
      <c r="J164" s="47" t="n"/>
      <c r="K164" s="47" t="n"/>
      <c r="L164" s="48" t="n"/>
      <c r="M164" s="47" t="n"/>
      <c r="N164" s="46" t="n"/>
      <c r="O164" s="49">
        <f>IFERROR(IF(OR(ISBLANK(G164),ISBLANK(I164)),"",ABS(G164-I164)/VLOOKUP(C164,設定!$B$9:$D$23,2,FALSE)),"")</f>
        <v/>
      </c>
      <c r="P164" s="48">
        <f>IFERROR(IF(OR(ISBLANK(F164),ISBLANK(H164),ISBLANK(J164)),"",ABS(J164-F164)/ABS(F164-H164)),"")</f>
        <v/>
      </c>
      <c r="Q164" s="50">
        <f>IFERROR(IF(OR(ISBLANK(M164),ISBLANK(D164),ISBLANK(G164)),"",IF(D164="Long",(M164-G164),(G164-M164))/VLOOKUP(C164,設定!$B$9:$D$23,2,FALSE)),"")</f>
        <v/>
      </c>
      <c r="R164" s="51">
        <f>IFERROR(IF(OR(ISBLANK(Q164),O164=0),"",Q164/O164),"")</f>
        <v/>
      </c>
      <c r="S164" s="51">
        <f>IFERROR(IF(ISBLANK(R164),S163,IF(ISNUMBER(S163),S163,0)+R164),"")</f>
        <v/>
      </c>
      <c r="T164" s="52">
        <f>IFERROR(IF(OR(ISBLANK(Q164),ISBLANK(L164)),"",Q164*L164*VLOOKUP(C164,設定!$B$9:$D$23,3,FALSE)),"")</f>
        <v/>
      </c>
      <c r="U164" s="46" t="n"/>
      <c r="V164" s="46" t="n"/>
    </row>
    <row r="165">
      <c r="A165" s="53">
        <f>IF(ISBLANK(B165),"",COUNTA($B$18:B165))</f>
        <v/>
      </c>
      <c r="B165" s="54" t="n"/>
      <c r="C165" s="55" t="n"/>
      <c r="D165" s="55" t="n"/>
      <c r="E165" s="53" t="n"/>
      <c r="F165" s="56" t="n"/>
      <c r="G165" s="56" t="n"/>
      <c r="H165" s="56" t="n"/>
      <c r="I165" s="56" t="n"/>
      <c r="J165" s="56" t="n"/>
      <c r="K165" s="56" t="n"/>
      <c r="L165" s="57" t="n"/>
      <c r="M165" s="56" t="n"/>
      <c r="N165" s="55" t="n"/>
      <c r="O165" s="58">
        <f>IFERROR(IF(OR(ISBLANK(G165),ISBLANK(I165)),"",ABS(G165-I165)/VLOOKUP(C165,設定!$B$9:$D$23,2,FALSE)),"")</f>
        <v/>
      </c>
      <c r="P165" s="57">
        <f>IFERROR(IF(OR(ISBLANK(F165),ISBLANK(H165),ISBLANK(J165)),"",ABS(J165-F165)/ABS(F165-H165)),"")</f>
        <v/>
      </c>
      <c r="Q165" s="59">
        <f>IFERROR(IF(OR(ISBLANK(M165),ISBLANK(D165),ISBLANK(G165)),"",IF(D165="Long",(M165-G165),(G165-M165))/VLOOKUP(C165,設定!$B$9:$D$23,2,FALSE)),"")</f>
        <v/>
      </c>
      <c r="R165" s="60">
        <f>IFERROR(IF(OR(ISBLANK(Q165),O165=0),"",Q165/O165),"")</f>
        <v/>
      </c>
      <c r="S165" s="60">
        <f>IFERROR(IF(ISBLANK(R165),S164,IF(ISNUMBER(S164),S164,0)+R165),"")</f>
        <v/>
      </c>
      <c r="T165" s="61">
        <f>IFERROR(IF(OR(ISBLANK(Q165),ISBLANK(L165)),"",Q165*L165*VLOOKUP(C165,設定!$B$9:$D$23,3,FALSE)),"")</f>
        <v/>
      </c>
      <c r="U165" s="55" t="n"/>
      <c r="V165" s="55" t="n"/>
    </row>
    <row r="166">
      <c r="A166" s="44">
        <f>IF(ISBLANK(B166),"",COUNTA($B$18:B166))</f>
        <v/>
      </c>
      <c r="B166" s="45" t="n"/>
      <c r="C166" s="46" t="n"/>
      <c r="D166" s="46" t="n"/>
      <c r="E166" s="44" t="n"/>
      <c r="F166" s="47" t="n"/>
      <c r="G166" s="47" t="n"/>
      <c r="H166" s="47" t="n"/>
      <c r="I166" s="47" t="n"/>
      <c r="J166" s="47" t="n"/>
      <c r="K166" s="47" t="n"/>
      <c r="L166" s="48" t="n"/>
      <c r="M166" s="47" t="n"/>
      <c r="N166" s="46" t="n"/>
      <c r="O166" s="49">
        <f>IFERROR(IF(OR(ISBLANK(G166),ISBLANK(I166)),"",ABS(G166-I166)/VLOOKUP(C166,設定!$B$9:$D$23,2,FALSE)),"")</f>
        <v/>
      </c>
      <c r="P166" s="48">
        <f>IFERROR(IF(OR(ISBLANK(F166),ISBLANK(H166),ISBLANK(J166)),"",ABS(J166-F166)/ABS(F166-H166)),"")</f>
        <v/>
      </c>
      <c r="Q166" s="50">
        <f>IFERROR(IF(OR(ISBLANK(M166),ISBLANK(D166),ISBLANK(G166)),"",IF(D166="Long",(M166-G166),(G166-M166))/VLOOKUP(C166,設定!$B$9:$D$23,2,FALSE)),"")</f>
        <v/>
      </c>
      <c r="R166" s="51">
        <f>IFERROR(IF(OR(ISBLANK(Q166),O166=0),"",Q166/O166),"")</f>
        <v/>
      </c>
      <c r="S166" s="51">
        <f>IFERROR(IF(ISBLANK(R166),S165,IF(ISNUMBER(S165),S165,0)+R166),"")</f>
        <v/>
      </c>
      <c r="T166" s="52">
        <f>IFERROR(IF(OR(ISBLANK(Q166),ISBLANK(L166)),"",Q166*L166*VLOOKUP(C166,設定!$B$9:$D$23,3,FALSE)),"")</f>
        <v/>
      </c>
      <c r="U166" s="46" t="n"/>
      <c r="V166" s="46" t="n"/>
    </row>
    <row r="167">
      <c r="A167" s="53">
        <f>IF(ISBLANK(B167),"",COUNTA($B$18:B167))</f>
        <v/>
      </c>
      <c r="B167" s="54" t="n"/>
      <c r="C167" s="55" t="n"/>
      <c r="D167" s="55" t="n"/>
      <c r="E167" s="53" t="n"/>
      <c r="F167" s="56" t="n"/>
      <c r="G167" s="56" t="n"/>
      <c r="H167" s="56" t="n"/>
      <c r="I167" s="56" t="n"/>
      <c r="J167" s="56" t="n"/>
      <c r="K167" s="56" t="n"/>
      <c r="L167" s="57" t="n"/>
      <c r="M167" s="56" t="n"/>
      <c r="N167" s="55" t="n"/>
      <c r="O167" s="58">
        <f>IFERROR(IF(OR(ISBLANK(G167),ISBLANK(I167)),"",ABS(G167-I167)/VLOOKUP(C167,設定!$B$9:$D$23,2,FALSE)),"")</f>
        <v/>
      </c>
      <c r="P167" s="57">
        <f>IFERROR(IF(OR(ISBLANK(F167),ISBLANK(H167),ISBLANK(J167)),"",ABS(J167-F167)/ABS(F167-H167)),"")</f>
        <v/>
      </c>
      <c r="Q167" s="59">
        <f>IFERROR(IF(OR(ISBLANK(M167),ISBLANK(D167),ISBLANK(G167)),"",IF(D167="Long",(M167-G167),(G167-M167))/VLOOKUP(C167,設定!$B$9:$D$23,2,FALSE)),"")</f>
        <v/>
      </c>
      <c r="R167" s="60">
        <f>IFERROR(IF(OR(ISBLANK(Q167),O167=0),"",Q167/O167),"")</f>
        <v/>
      </c>
      <c r="S167" s="60">
        <f>IFERROR(IF(ISBLANK(R167),S166,IF(ISNUMBER(S166),S166,0)+R167),"")</f>
        <v/>
      </c>
      <c r="T167" s="61">
        <f>IFERROR(IF(OR(ISBLANK(Q167),ISBLANK(L167)),"",Q167*L167*VLOOKUP(C167,設定!$B$9:$D$23,3,FALSE)),"")</f>
        <v/>
      </c>
      <c r="U167" s="55" t="n"/>
      <c r="V167" s="55" t="n"/>
    </row>
    <row r="168">
      <c r="A168" s="44">
        <f>IF(ISBLANK(B168),"",COUNTA($B$18:B168))</f>
        <v/>
      </c>
      <c r="B168" s="45" t="n"/>
      <c r="C168" s="46" t="n"/>
      <c r="D168" s="46" t="n"/>
      <c r="E168" s="44" t="n"/>
      <c r="F168" s="47" t="n"/>
      <c r="G168" s="47" t="n"/>
      <c r="H168" s="47" t="n"/>
      <c r="I168" s="47" t="n"/>
      <c r="J168" s="47" t="n"/>
      <c r="K168" s="47" t="n"/>
      <c r="L168" s="48" t="n"/>
      <c r="M168" s="47" t="n"/>
      <c r="N168" s="46" t="n"/>
      <c r="O168" s="49">
        <f>IFERROR(IF(OR(ISBLANK(G168),ISBLANK(I168)),"",ABS(G168-I168)/VLOOKUP(C168,設定!$B$9:$D$23,2,FALSE)),"")</f>
        <v/>
      </c>
      <c r="P168" s="48">
        <f>IFERROR(IF(OR(ISBLANK(F168),ISBLANK(H168),ISBLANK(J168)),"",ABS(J168-F168)/ABS(F168-H168)),"")</f>
        <v/>
      </c>
      <c r="Q168" s="50">
        <f>IFERROR(IF(OR(ISBLANK(M168),ISBLANK(D168),ISBLANK(G168)),"",IF(D168="Long",(M168-G168),(G168-M168))/VLOOKUP(C168,設定!$B$9:$D$23,2,FALSE)),"")</f>
        <v/>
      </c>
      <c r="R168" s="51">
        <f>IFERROR(IF(OR(ISBLANK(Q168),O168=0),"",Q168/O168),"")</f>
        <v/>
      </c>
      <c r="S168" s="51">
        <f>IFERROR(IF(ISBLANK(R168),S167,IF(ISNUMBER(S167),S167,0)+R168),"")</f>
        <v/>
      </c>
      <c r="T168" s="52">
        <f>IFERROR(IF(OR(ISBLANK(Q168),ISBLANK(L168)),"",Q168*L168*VLOOKUP(C168,設定!$B$9:$D$23,3,FALSE)),"")</f>
        <v/>
      </c>
      <c r="U168" s="46" t="n"/>
      <c r="V168" s="46" t="n"/>
    </row>
    <row r="169">
      <c r="A169" s="53">
        <f>IF(ISBLANK(B169),"",COUNTA($B$18:B169))</f>
        <v/>
      </c>
      <c r="B169" s="54" t="n"/>
      <c r="C169" s="55" t="n"/>
      <c r="D169" s="55" t="n"/>
      <c r="E169" s="53" t="n"/>
      <c r="F169" s="56" t="n"/>
      <c r="G169" s="56" t="n"/>
      <c r="H169" s="56" t="n"/>
      <c r="I169" s="56" t="n"/>
      <c r="J169" s="56" t="n"/>
      <c r="K169" s="56" t="n"/>
      <c r="L169" s="57" t="n"/>
      <c r="M169" s="56" t="n"/>
      <c r="N169" s="55" t="n"/>
      <c r="O169" s="58">
        <f>IFERROR(IF(OR(ISBLANK(G169),ISBLANK(I169)),"",ABS(G169-I169)/VLOOKUP(C169,設定!$B$9:$D$23,2,FALSE)),"")</f>
        <v/>
      </c>
      <c r="P169" s="57">
        <f>IFERROR(IF(OR(ISBLANK(F169),ISBLANK(H169),ISBLANK(J169)),"",ABS(J169-F169)/ABS(F169-H169)),"")</f>
        <v/>
      </c>
      <c r="Q169" s="59">
        <f>IFERROR(IF(OR(ISBLANK(M169),ISBLANK(D169),ISBLANK(G169)),"",IF(D169="Long",(M169-G169),(G169-M169))/VLOOKUP(C169,設定!$B$9:$D$23,2,FALSE)),"")</f>
        <v/>
      </c>
      <c r="R169" s="60">
        <f>IFERROR(IF(OR(ISBLANK(Q169),O169=0),"",Q169/O169),"")</f>
        <v/>
      </c>
      <c r="S169" s="60">
        <f>IFERROR(IF(ISBLANK(R169),S168,IF(ISNUMBER(S168),S168,0)+R169),"")</f>
        <v/>
      </c>
      <c r="T169" s="61">
        <f>IFERROR(IF(OR(ISBLANK(Q169),ISBLANK(L169)),"",Q169*L169*VLOOKUP(C169,設定!$B$9:$D$23,3,FALSE)),"")</f>
        <v/>
      </c>
      <c r="U169" s="55" t="n"/>
      <c r="V169" s="55" t="n"/>
    </row>
    <row r="170">
      <c r="A170" s="44">
        <f>IF(ISBLANK(B170),"",COUNTA($B$18:B170))</f>
        <v/>
      </c>
      <c r="B170" s="45" t="n"/>
      <c r="C170" s="46" t="n"/>
      <c r="D170" s="46" t="n"/>
      <c r="E170" s="44" t="n"/>
      <c r="F170" s="47" t="n"/>
      <c r="G170" s="47" t="n"/>
      <c r="H170" s="47" t="n"/>
      <c r="I170" s="47" t="n"/>
      <c r="J170" s="47" t="n"/>
      <c r="K170" s="47" t="n"/>
      <c r="L170" s="48" t="n"/>
      <c r="M170" s="47" t="n"/>
      <c r="N170" s="46" t="n"/>
      <c r="O170" s="49">
        <f>IFERROR(IF(OR(ISBLANK(G170),ISBLANK(I170)),"",ABS(G170-I170)/VLOOKUP(C170,設定!$B$9:$D$23,2,FALSE)),"")</f>
        <v/>
      </c>
      <c r="P170" s="48">
        <f>IFERROR(IF(OR(ISBLANK(F170),ISBLANK(H170),ISBLANK(J170)),"",ABS(J170-F170)/ABS(F170-H170)),"")</f>
        <v/>
      </c>
      <c r="Q170" s="50">
        <f>IFERROR(IF(OR(ISBLANK(M170),ISBLANK(D170),ISBLANK(G170)),"",IF(D170="Long",(M170-G170),(G170-M170))/VLOOKUP(C170,設定!$B$9:$D$23,2,FALSE)),"")</f>
        <v/>
      </c>
      <c r="R170" s="51">
        <f>IFERROR(IF(OR(ISBLANK(Q170),O170=0),"",Q170/O170),"")</f>
        <v/>
      </c>
      <c r="S170" s="51">
        <f>IFERROR(IF(ISBLANK(R170),S169,IF(ISNUMBER(S169),S169,0)+R170),"")</f>
        <v/>
      </c>
      <c r="T170" s="52">
        <f>IFERROR(IF(OR(ISBLANK(Q170),ISBLANK(L170)),"",Q170*L170*VLOOKUP(C170,設定!$B$9:$D$23,3,FALSE)),"")</f>
        <v/>
      </c>
      <c r="U170" s="46" t="n"/>
      <c r="V170" s="46" t="n"/>
    </row>
    <row r="171">
      <c r="A171" s="53">
        <f>IF(ISBLANK(B171),"",COUNTA($B$18:B171))</f>
        <v/>
      </c>
      <c r="B171" s="54" t="n"/>
      <c r="C171" s="55" t="n"/>
      <c r="D171" s="55" t="n"/>
      <c r="E171" s="53" t="n"/>
      <c r="F171" s="56" t="n"/>
      <c r="G171" s="56" t="n"/>
      <c r="H171" s="56" t="n"/>
      <c r="I171" s="56" t="n"/>
      <c r="J171" s="56" t="n"/>
      <c r="K171" s="56" t="n"/>
      <c r="L171" s="57" t="n"/>
      <c r="M171" s="56" t="n"/>
      <c r="N171" s="55" t="n"/>
      <c r="O171" s="58">
        <f>IFERROR(IF(OR(ISBLANK(G171),ISBLANK(I171)),"",ABS(G171-I171)/VLOOKUP(C171,設定!$B$9:$D$23,2,FALSE)),"")</f>
        <v/>
      </c>
      <c r="P171" s="57">
        <f>IFERROR(IF(OR(ISBLANK(F171),ISBLANK(H171),ISBLANK(J171)),"",ABS(J171-F171)/ABS(F171-H171)),"")</f>
        <v/>
      </c>
      <c r="Q171" s="59">
        <f>IFERROR(IF(OR(ISBLANK(M171),ISBLANK(D171),ISBLANK(G171)),"",IF(D171="Long",(M171-G171),(G171-M171))/VLOOKUP(C171,設定!$B$9:$D$23,2,FALSE)),"")</f>
        <v/>
      </c>
      <c r="R171" s="60">
        <f>IFERROR(IF(OR(ISBLANK(Q171),O171=0),"",Q171/O171),"")</f>
        <v/>
      </c>
      <c r="S171" s="60">
        <f>IFERROR(IF(ISBLANK(R171),S170,IF(ISNUMBER(S170),S170,0)+R171),"")</f>
        <v/>
      </c>
      <c r="T171" s="61">
        <f>IFERROR(IF(OR(ISBLANK(Q171),ISBLANK(L171)),"",Q171*L171*VLOOKUP(C171,設定!$B$9:$D$23,3,FALSE)),"")</f>
        <v/>
      </c>
      <c r="U171" s="55" t="n"/>
      <c r="V171" s="55" t="n"/>
    </row>
    <row r="172">
      <c r="A172" s="44">
        <f>IF(ISBLANK(B172),"",COUNTA($B$18:B172))</f>
        <v/>
      </c>
      <c r="B172" s="45" t="n"/>
      <c r="C172" s="46" t="n"/>
      <c r="D172" s="46" t="n"/>
      <c r="E172" s="44" t="n"/>
      <c r="F172" s="47" t="n"/>
      <c r="G172" s="47" t="n"/>
      <c r="H172" s="47" t="n"/>
      <c r="I172" s="47" t="n"/>
      <c r="J172" s="47" t="n"/>
      <c r="K172" s="47" t="n"/>
      <c r="L172" s="48" t="n"/>
      <c r="M172" s="47" t="n"/>
      <c r="N172" s="46" t="n"/>
      <c r="O172" s="49">
        <f>IFERROR(IF(OR(ISBLANK(G172),ISBLANK(I172)),"",ABS(G172-I172)/VLOOKUP(C172,設定!$B$9:$D$23,2,FALSE)),"")</f>
        <v/>
      </c>
      <c r="P172" s="48">
        <f>IFERROR(IF(OR(ISBLANK(F172),ISBLANK(H172),ISBLANK(J172)),"",ABS(J172-F172)/ABS(F172-H172)),"")</f>
        <v/>
      </c>
      <c r="Q172" s="50">
        <f>IFERROR(IF(OR(ISBLANK(M172),ISBLANK(D172),ISBLANK(G172)),"",IF(D172="Long",(M172-G172),(G172-M172))/VLOOKUP(C172,設定!$B$9:$D$23,2,FALSE)),"")</f>
        <v/>
      </c>
      <c r="R172" s="51">
        <f>IFERROR(IF(OR(ISBLANK(Q172),O172=0),"",Q172/O172),"")</f>
        <v/>
      </c>
      <c r="S172" s="51">
        <f>IFERROR(IF(ISBLANK(R172),S171,IF(ISNUMBER(S171),S171,0)+R172),"")</f>
        <v/>
      </c>
      <c r="T172" s="52">
        <f>IFERROR(IF(OR(ISBLANK(Q172),ISBLANK(L172)),"",Q172*L172*VLOOKUP(C172,設定!$B$9:$D$23,3,FALSE)),"")</f>
        <v/>
      </c>
      <c r="U172" s="46" t="n"/>
      <c r="V172" s="46" t="n"/>
    </row>
    <row r="173">
      <c r="A173" s="53">
        <f>IF(ISBLANK(B173),"",COUNTA($B$18:B173))</f>
        <v/>
      </c>
      <c r="B173" s="54" t="n"/>
      <c r="C173" s="55" t="n"/>
      <c r="D173" s="55" t="n"/>
      <c r="E173" s="53" t="n"/>
      <c r="F173" s="56" t="n"/>
      <c r="G173" s="56" t="n"/>
      <c r="H173" s="56" t="n"/>
      <c r="I173" s="56" t="n"/>
      <c r="J173" s="56" t="n"/>
      <c r="K173" s="56" t="n"/>
      <c r="L173" s="57" t="n"/>
      <c r="M173" s="56" t="n"/>
      <c r="N173" s="55" t="n"/>
      <c r="O173" s="58">
        <f>IFERROR(IF(OR(ISBLANK(G173),ISBLANK(I173)),"",ABS(G173-I173)/VLOOKUP(C173,設定!$B$9:$D$23,2,FALSE)),"")</f>
        <v/>
      </c>
      <c r="P173" s="57">
        <f>IFERROR(IF(OR(ISBLANK(F173),ISBLANK(H173),ISBLANK(J173)),"",ABS(J173-F173)/ABS(F173-H173)),"")</f>
        <v/>
      </c>
      <c r="Q173" s="59">
        <f>IFERROR(IF(OR(ISBLANK(M173),ISBLANK(D173),ISBLANK(G173)),"",IF(D173="Long",(M173-G173),(G173-M173))/VLOOKUP(C173,設定!$B$9:$D$23,2,FALSE)),"")</f>
        <v/>
      </c>
      <c r="R173" s="60">
        <f>IFERROR(IF(OR(ISBLANK(Q173),O173=0),"",Q173/O173),"")</f>
        <v/>
      </c>
      <c r="S173" s="60">
        <f>IFERROR(IF(ISBLANK(R173),S172,IF(ISNUMBER(S172),S172,0)+R173),"")</f>
        <v/>
      </c>
      <c r="T173" s="61">
        <f>IFERROR(IF(OR(ISBLANK(Q173),ISBLANK(L173)),"",Q173*L173*VLOOKUP(C173,設定!$B$9:$D$23,3,FALSE)),"")</f>
        <v/>
      </c>
      <c r="U173" s="55" t="n"/>
      <c r="V173" s="55" t="n"/>
    </row>
    <row r="174">
      <c r="A174" s="44">
        <f>IF(ISBLANK(B174),"",COUNTA($B$18:B174))</f>
        <v/>
      </c>
      <c r="B174" s="45" t="n"/>
      <c r="C174" s="46" t="n"/>
      <c r="D174" s="46" t="n"/>
      <c r="E174" s="44" t="n"/>
      <c r="F174" s="47" t="n"/>
      <c r="G174" s="47" t="n"/>
      <c r="H174" s="47" t="n"/>
      <c r="I174" s="47" t="n"/>
      <c r="J174" s="47" t="n"/>
      <c r="K174" s="47" t="n"/>
      <c r="L174" s="48" t="n"/>
      <c r="M174" s="47" t="n"/>
      <c r="N174" s="46" t="n"/>
      <c r="O174" s="49">
        <f>IFERROR(IF(OR(ISBLANK(G174),ISBLANK(I174)),"",ABS(G174-I174)/VLOOKUP(C174,設定!$B$9:$D$23,2,FALSE)),"")</f>
        <v/>
      </c>
      <c r="P174" s="48">
        <f>IFERROR(IF(OR(ISBLANK(F174),ISBLANK(H174),ISBLANK(J174)),"",ABS(J174-F174)/ABS(F174-H174)),"")</f>
        <v/>
      </c>
      <c r="Q174" s="50">
        <f>IFERROR(IF(OR(ISBLANK(M174),ISBLANK(D174),ISBLANK(G174)),"",IF(D174="Long",(M174-G174),(G174-M174))/VLOOKUP(C174,設定!$B$9:$D$23,2,FALSE)),"")</f>
        <v/>
      </c>
      <c r="R174" s="51">
        <f>IFERROR(IF(OR(ISBLANK(Q174),O174=0),"",Q174/O174),"")</f>
        <v/>
      </c>
      <c r="S174" s="51">
        <f>IFERROR(IF(ISBLANK(R174),S173,IF(ISNUMBER(S173),S173,0)+R174),"")</f>
        <v/>
      </c>
      <c r="T174" s="52">
        <f>IFERROR(IF(OR(ISBLANK(Q174),ISBLANK(L174)),"",Q174*L174*VLOOKUP(C174,設定!$B$9:$D$23,3,FALSE)),"")</f>
        <v/>
      </c>
      <c r="U174" s="46" t="n"/>
      <c r="V174" s="46" t="n"/>
    </row>
    <row r="175">
      <c r="A175" s="53">
        <f>IF(ISBLANK(B175),"",COUNTA($B$18:B175))</f>
        <v/>
      </c>
      <c r="B175" s="54" t="n"/>
      <c r="C175" s="55" t="n"/>
      <c r="D175" s="55" t="n"/>
      <c r="E175" s="53" t="n"/>
      <c r="F175" s="56" t="n"/>
      <c r="G175" s="56" t="n"/>
      <c r="H175" s="56" t="n"/>
      <c r="I175" s="56" t="n"/>
      <c r="J175" s="56" t="n"/>
      <c r="K175" s="56" t="n"/>
      <c r="L175" s="57" t="n"/>
      <c r="M175" s="56" t="n"/>
      <c r="N175" s="55" t="n"/>
      <c r="O175" s="58">
        <f>IFERROR(IF(OR(ISBLANK(G175),ISBLANK(I175)),"",ABS(G175-I175)/VLOOKUP(C175,設定!$B$9:$D$23,2,FALSE)),"")</f>
        <v/>
      </c>
      <c r="P175" s="57">
        <f>IFERROR(IF(OR(ISBLANK(F175),ISBLANK(H175),ISBLANK(J175)),"",ABS(J175-F175)/ABS(F175-H175)),"")</f>
        <v/>
      </c>
      <c r="Q175" s="59">
        <f>IFERROR(IF(OR(ISBLANK(M175),ISBLANK(D175),ISBLANK(G175)),"",IF(D175="Long",(M175-G175),(G175-M175))/VLOOKUP(C175,設定!$B$9:$D$23,2,FALSE)),"")</f>
        <v/>
      </c>
      <c r="R175" s="60">
        <f>IFERROR(IF(OR(ISBLANK(Q175),O175=0),"",Q175/O175),"")</f>
        <v/>
      </c>
      <c r="S175" s="60">
        <f>IFERROR(IF(ISBLANK(R175),S174,IF(ISNUMBER(S174),S174,0)+R175),"")</f>
        <v/>
      </c>
      <c r="T175" s="61">
        <f>IFERROR(IF(OR(ISBLANK(Q175),ISBLANK(L175)),"",Q175*L175*VLOOKUP(C175,設定!$B$9:$D$23,3,FALSE)),"")</f>
        <v/>
      </c>
      <c r="U175" s="55" t="n"/>
      <c r="V175" s="55" t="n"/>
    </row>
    <row r="176">
      <c r="A176" s="44">
        <f>IF(ISBLANK(B176),"",COUNTA($B$18:B176))</f>
        <v/>
      </c>
      <c r="B176" s="45" t="n"/>
      <c r="C176" s="46" t="n"/>
      <c r="D176" s="46" t="n"/>
      <c r="E176" s="44" t="n"/>
      <c r="F176" s="47" t="n"/>
      <c r="G176" s="47" t="n"/>
      <c r="H176" s="47" t="n"/>
      <c r="I176" s="47" t="n"/>
      <c r="J176" s="47" t="n"/>
      <c r="K176" s="47" t="n"/>
      <c r="L176" s="48" t="n"/>
      <c r="M176" s="47" t="n"/>
      <c r="N176" s="46" t="n"/>
      <c r="O176" s="49">
        <f>IFERROR(IF(OR(ISBLANK(G176),ISBLANK(I176)),"",ABS(G176-I176)/VLOOKUP(C176,設定!$B$9:$D$23,2,FALSE)),"")</f>
        <v/>
      </c>
      <c r="P176" s="48">
        <f>IFERROR(IF(OR(ISBLANK(F176),ISBLANK(H176),ISBLANK(J176)),"",ABS(J176-F176)/ABS(F176-H176)),"")</f>
        <v/>
      </c>
      <c r="Q176" s="50">
        <f>IFERROR(IF(OR(ISBLANK(M176),ISBLANK(D176),ISBLANK(G176)),"",IF(D176="Long",(M176-G176),(G176-M176))/VLOOKUP(C176,設定!$B$9:$D$23,2,FALSE)),"")</f>
        <v/>
      </c>
      <c r="R176" s="51">
        <f>IFERROR(IF(OR(ISBLANK(Q176),O176=0),"",Q176/O176),"")</f>
        <v/>
      </c>
      <c r="S176" s="51">
        <f>IFERROR(IF(ISBLANK(R176),S175,IF(ISNUMBER(S175),S175,0)+R176),"")</f>
        <v/>
      </c>
      <c r="T176" s="52">
        <f>IFERROR(IF(OR(ISBLANK(Q176),ISBLANK(L176)),"",Q176*L176*VLOOKUP(C176,設定!$B$9:$D$23,3,FALSE)),"")</f>
        <v/>
      </c>
      <c r="U176" s="46" t="n"/>
      <c r="V176" s="46" t="n"/>
    </row>
    <row r="177">
      <c r="A177" s="53">
        <f>IF(ISBLANK(B177),"",COUNTA($B$18:B177))</f>
        <v/>
      </c>
      <c r="B177" s="54" t="n"/>
      <c r="C177" s="55" t="n"/>
      <c r="D177" s="55" t="n"/>
      <c r="E177" s="53" t="n"/>
      <c r="F177" s="56" t="n"/>
      <c r="G177" s="56" t="n"/>
      <c r="H177" s="56" t="n"/>
      <c r="I177" s="56" t="n"/>
      <c r="J177" s="56" t="n"/>
      <c r="K177" s="56" t="n"/>
      <c r="L177" s="57" t="n"/>
      <c r="M177" s="56" t="n"/>
      <c r="N177" s="55" t="n"/>
      <c r="O177" s="58">
        <f>IFERROR(IF(OR(ISBLANK(G177),ISBLANK(I177)),"",ABS(G177-I177)/VLOOKUP(C177,設定!$B$9:$D$23,2,FALSE)),"")</f>
        <v/>
      </c>
      <c r="P177" s="57">
        <f>IFERROR(IF(OR(ISBLANK(F177),ISBLANK(H177),ISBLANK(J177)),"",ABS(J177-F177)/ABS(F177-H177)),"")</f>
        <v/>
      </c>
      <c r="Q177" s="59">
        <f>IFERROR(IF(OR(ISBLANK(M177),ISBLANK(D177),ISBLANK(G177)),"",IF(D177="Long",(M177-G177),(G177-M177))/VLOOKUP(C177,設定!$B$9:$D$23,2,FALSE)),"")</f>
        <v/>
      </c>
      <c r="R177" s="60">
        <f>IFERROR(IF(OR(ISBLANK(Q177),O177=0),"",Q177/O177),"")</f>
        <v/>
      </c>
      <c r="S177" s="60">
        <f>IFERROR(IF(ISBLANK(R177),S176,IF(ISNUMBER(S176),S176,0)+R177),"")</f>
        <v/>
      </c>
      <c r="T177" s="61">
        <f>IFERROR(IF(OR(ISBLANK(Q177),ISBLANK(L177)),"",Q177*L177*VLOOKUP(C177,設定!$B$9:$D$23,3,FALSE)),"")</f>
        <v/>
      </c>
      <c r="U177" s="55" t="n"/>
      <c r="V177" s="55" t="n"/>
    </row>
    <row r="178">
      <c r="A178" s="44">
        <f>IF(ISBLANK(B178),"",COUNTA($B$18:B178))</f>
        <v/>
      </c>
      <c r="B178" s="45" t="n"/>
      <c r="C178" s="46" t="n"/>
      <c r="D178" s="46" t="n"/>
      <c r="E178" s="44" t="n"/>
      <c r="F178" s="47" t="n"/>
      <c r="G178" s="47" t="n"/>
      <c r="H178" s="47" t="n"/>
      <c r="I178" s="47" t="n"/>
      <c r="J178" s="47" t="n"/>
      <c r="K178" s="47" t="n"/>
      <c r="L178" s="48" t="n"/>
      <c r="M178" s="47" t="n"/>
      <c r="N178" s="46" t="n"/>
      <c r="O178" s="49">
        <f>IFERROR(IF(OR(ISBLANK(G178),ISBLANK(I178)),"",ABS(G178-I178)/VLOOKUP(C178,設定!$B$9:$D$23,2,FALSE)),"")</f>
        <v/>
      </c>
      <c r="P178" s="48">
        <f>IFERROR(IF(OR(ISBLANK(F178),ISBLANK(H178),ISBLANK(J178)),"",ABS(J178-F178)/ABS(F178-H178)),"")</f>
        <v/>
      </c>
      <c r="Q178" s="50">
        <f>IFERROR(IF(OR(ISBLANK(M178),ISBLANK(D178),ISBLANK(G178)),"",IF(D178="Long",(M178-G178),(G178-M178))/VLOOKUP(C178,設定!$B$9:$D$23,2,FALSE)),"")</f>
        <v/>
      </c>
      <c r="R178" s="51">
        <f>IFERROR(IF(OR(ISBLANK(Q178),O178=0),"",Q178/O178),"")</f>
        <v/>
      </c>
      <c r="S178" s="51">
        <f>IFERROR(IF(ISBLANK(R178),S177,IF(ISNUMBER(S177),S177,0)+R178),"")</f>
        <v/>
      </c>
      <c r="T178" s="52">
        <f>IFERROR(IF(OR(ISBLANK(Q178),ISBLANK(L178)),"",Q178*L178*VLOOKUP(C178,設定!$B$9:$D$23,3,FALSE)),"")</f>
        <v/>
      </c>
      <c r="U178" s="46" t="n"/>
      <c r="V178" s="46" t="n"/>
    </row>
    <row r="179">
      <c r="A179" s="53">
        <f>IF(ISBLANK(B179),"",COUNTA($B$18:B179))</f>
        <v/>
      </c>
      <c r="B179" s="54" t="n"/>
      <c r="C179" s="55" t="n"/>
      <c r="D179" s="55" t="n"/>
      <c r="E179" s="53" t="n"/>
      <c r="F179" s="56" t="n"/>
      <c r="G179" s="56" t="n"/>
      <c r="H179" s="56" t="n"/>
      <c r="I179" s="56" t="n"/>
      <c r="J179" s="56" t="n"/>
      <c r="K179" s="56" t="n"/>
      <c r="L179" s="57" t="n"/>
      <c r="M179" s="56" t="n"/>
      <c r="N179" s="55" t="n"/>
      <c r="O179" s="58">
        <f>IFERROR(IF(OR(ISBLANK(G179),ISBLANK(I179)),"",ABS(G179-I179)/VLOOKUP(C179,設定!$B$9:$D$23,2,FALSE)),"")</f>
        <v/>
      </c>
      <c r="P179" s="57">
        <f>IFERROR(IF(OR(ISBLANK(F179),ISBLANK(H179),ISBLANK(J179)),"",ABS(J179-F179)/ABS(F179-H179)),"")</f>
        <v/>
      </c>
      <c r="Q179" s="59">
        <f>IFERROR(IF(OR(ISBLANK(M179),ISBLANK(D179),ISBLANK(G179)),"",IF(D179="Long",(M179-G179),(G179-M179))/VLOOKUP(C179,設定!$B$9:$D$23,2,FALSE)),"")</f>
        <v/>
      </c>
      <c r="R179" s="60">
        <f>IFERROR(IF(OR(ISBLANK(Q179),O179=0),"",Q179/O179),"")</f>
        <v/>
      </c>
      <c r="S179" s="60">
        <f>IFERROR(IF(ISBLANK(R179),S178,IF(ISNUMBER(S178),S178,0)+R179),"")</f>
        <v/>
      </c>
      <c r="T179" s="61">
        <f>IFERROR(IF(OR(ISBLANK(Q179),ISBLANK(L179)),"",Q179*L179*VLOOKUP(C179,設定!$B$9:$D$23,3,FALSE)),"")</f>
        <v/>
      </c>
      <c r="U179" s="55" t="n"/>
      <c r="V179" s="55" t="n"/>
    </row>
    <row r="180">
      <c r="A180" s="44">
        <f>IF(ISBLANK(B180),"",COUNTA($B$18:B180))</f>
        <v/>
      </c>
      <c r="B180" s="45" t="n"/>
      <c r="C180" s="46" t="n"/>
      <c r="D180" s="46" t="n"/>
      <c r="E180" s="44" t="n"/>
      <c r="F180" s="47" t="n"/>
      <c r="G180" s="47" t="n"/>
      <c r="H180" s="47" t="n"/>
      <c r="I180" s="47" t="n"/>
      <c r="J180" s="47" t="n"/>
      <c r="K180" s="47" t="n"/>
      <c r="L180" s="48" t="n"/>
      <c r="M180" s="47" t="n"/>
      <c r="N180" s="46" t="n"/>
      <c r="O180" s="49">
        <f>IFERROR(IF(OR(ISBLANK(G180),ISBLANK(I180)),"",ABS(G180-I180)/VLOOKUP(C180,設定!$B$9:$D$23,2,FALSE)),"")</f>
        <v/>
      </c>
      <c r="P180" s="48">
        <f>IFERROR(IF(OR(ISBLANK(F180),ISBLANK(H180),ISBLANK(J180)),"",ABS(J180-F180)/ABS(F180-H180)),"")</f>
        <v/>
      </c>
      <c r="Q180" s="50">
        <f>IFERROR(IF(OR(ISBLANK(M180),ISBLANK(D180),ISBLANK(G180)),"",IF(D180="Long",(M180-G180),(G180-M180))/VLOOKUP(C180,設定!$B$9:$D$23,2,FALSE)),"")</f>
        <v/>
      </c>
      <c r="R180" s="51">
        <f>IFERROR(IF(OR(ISBLANK(Q180),O180=0),"",Q180/O180),"")</f>
        <v/>
      </c>
      <c r="S180" s="51">
        <f>IFERROR(IF(ISBLANK(R180),S179,IF(ISNUMBER(S179),S179,0)+R180),"")</f>
        <v/>
      </c>
      <c r="T180" s="52">
        <f>IFERROR(IF(OR(ISBLANK(Q180),ISBLANK(L180)),"",Q180*L180*VLOOKUP(C180,設定!$B$9:$D$23,3,FALSE)),"")</f>
        <v/>
      </c>
      <c r="U180" s="46" t="n"/>
      <c r="V180" s="46" t="n"/>
    </row>
    <row r="181">
      <c r="A181" s="53">
        <f>IF(ISBLANK(B181),"",COUNTA($B$18:B181))</f>
        <v/>
      </c>
      <c r="B181" s="54" t="n"/>
      <c r="C181" s="55" t="n"/>
      <c r="D181" s="55" t="n"/>
      <c r="E181" s="53" t="n"/>
      <c r="F181" s="56" t="n"/>
      <c r="G181" s="56" t="n"/>
      <c r="H181" s="56" t="n"/>
      <c r="I181" s="56" t="n"/>
      <c r="J181" s="56" t="n"/>
      <c r="K181" s="56" t="n"/>
      <c r="L181" s="57" t="n"/>
      <c r="M181" s="56" t="n"/>
      <c r="N181" s="55" t="n"/>
      <c r="O181" s="58">
        <f>IFERROR(IF(OR(ISBLANK(G181),ISBLANK(I181)),"",ABS(G181-I181)/VLOOKUP(C181,設定!$B$9:$D$23,2,FALSE)),"")</f>
        <v/>
      </c>
      <c r="P181" s="57">
        <f>IFERROR(IF(OR(ISBLANK(F181),ISBLANK(H181),ISBLANK(J181)),"",ABS(J181-F181)/ABS(F181-H181)),"")</f>
        <v/>
      </c>
      <c r="Q181" s="59">
        <f>IFERROR(IF(OR(ISBLANK(M181),ISBLANK(D181),ISBLANK(G181)),"",IF(D181="Long",(M181-G181),(G181-M181))/VLOOKUP(C181,設定!$B$9:$D$23,2,FALSE)),"")</f>
        <v/>
      </c>
      <c r="R181" s="60">
        <f>IFERROR(IF(OR(ISBLANK(Q181),O181=0),"",Q181/O181),"")</f>
        <v/>
      </c>
      <c r="S181" s="60">
        <f>IFERROR(IF(ISBLANK(R181),S180,IF(ISNUMBER(S180),S180,0)+R181),"")</f>
        <v/>
      </c>
      <c r="T181" s="61">
        <f>IFERROR(IF(OR(ISBLANK(Q181),ISBLANK(L181)),"",Q181*L181*VLOOKUP(C181,設定!$B$9:$D$23,3,FALSE)),"")</f>
        <v/>
      </c>
      <c r="U181" s="55" t="n"/>
      <c r="V181" s="55" t="n"/>
    </row>
    <row r="182">
      <c r="A182" s="44">
        <f>IF(ISBLANK(B182),"",COUNTA($B$18:B182))</f>
        <v/>
      </c>
      <c r="B182" s="45" t="n"/>
      <c r="C182" s="46" t="n"/>
      <c r="D182" s="46" t="n"/>
      <c r="E182" s="44" t="n"/>
      <c r="F182" s="47" t="n"/>
      <c r="G182" s="47" t="n"/>
      <c r="H182" s="47" t="n"/>
      <c r="I182" s="47" t="n"/>
      <c r="J182" s="47" t="n"/>
      <c r="K182" s="47" t="n"/>
      <c r="L182" s="48" t="n"/>
      <c r="M182" s="47" t="n"/>
      <c r="N182" s="46" t="n"/>
      <c r="O182" s="49">
        <f>IFERROR(IF(OR(ISBLANK(G182),ISBLANK(I182)),"",ABS(G182-I182)/VLOOKUP(C182,設定!$B$9:$D$23,2,FALSE)),"")</f>
        <v/>
      </c>
      <c r="P182" s="48">
        <f>IFERROR(IF(OR(ISBLANK(F182),ISBLANK(H182),ISBLANK(J182)),"",ABS(J182-F182)/ABS(F182-H182)),"")</f>
        <v/>
      </c>
      <c r="Q182" s="50">
        <f>IFERROR(IF(OR(ISBLANK(M182),ISBLANK(D182),ISBLANK(G182)),"",IF(D182="Long",(M182-G182),(G182-M182))/VLOOKUP(C182,設定!$B$9:$D$23,2,FALSE)),"")</f>
        <v/>
      </c>
      <c r="R182" s="51">
        <f>IFERROR(IF(OR(ISBLANK(Q182),O182=0),"",Q182/O182),"")</f>
        <v/>
      </c>
      <c r="S182" s="51">
        <f>IFERROR(IF(ISBLANK(R182),S181,IF(ISNUMBER(S181),S181,0)+R182),"")</f>
        <v/>
      </c>
      <c r="T182" s="52">
        <f>IFERROR(IF(OR(ISBLANK(Q182),ISBLANK(L182)),"",Q182*L182*VLOOKUP(C182,設定!$B$9:$D$23,3,FALSE)),"")</f>
        <v/>
      </c>
      <c r="U182" s="46" t="n"/>
      <c r="V182" s="46" t="n"/>
    </row>
    <row r="183">
      <c r="A183" s="53">
        <f>IF(ISBLANK(B183),"",COUNTA($B$18:B183))</f>
        <v/>
      </c>
      <c r="B183" s="54" t="n"/>
      <c r="C183" s="55" t="n"/>
      <c r="D183" s="55" t="n"/>
      <c r="E183" s="53" t="n"/>
      <c r="F183" s="56" t="n"/>
      <c r="G183" s="56" t="n"/>
      <c r="H183" s="56" t="n"/>
      <c r="I183" s="56" t="n"/>
      <c r="J183" s="56" t="n"/>
      <c r="K183" s="56" t="n"/>
      <c r="L183" s="57" t="n"/>
      <c r="M183" s="56" t="n"/>
      <c r="N183" s="55" t="n"/>
      <c r="O183" s="58">
        <f>IFERROR(IF(OR(ISBLANK(G183),ISBLANK(I183)),"",ABS(G183-I183)/VLOOKUP(C183,設定!$B$9:$D$23,2,FALSE)),"")</f>
        <v/>
      </c>
      <c r="P183" s="57">
        <f>IFERROR(IF(OR(ISBLANK(F183),ISBLANK(H183),ISBLANK(J183)),"",ABS(J183-F183)/ABS(F183-H183)),"")</f>
        <v/>
      </c>
      <c r="Q183" s="59">
        <f>IFERROR(IF(OR(ISBLANK(M183),ISBLANK(D183),ISBLANK(G183)),"",IF(D183="Long",(M183-G183),(G183-M183))/VLOOKUP(C183,設定!$B$9:$D$23,2,FALSE)),"")</f>
        <v/>
      </c>
      <c r="R183" s="60">
        <f>IFERROR(IF(OR(ISBLANK(Q183),O183=0),"",Q183/O183),"")</f>
        <v/>
      </c>
      <c r="S183" s="60">
        <f>IFERROR(IF(ISBLANK(R183),S182,IF(ISNUMBER(S182),S182,0)+R183),"")</f>
        <v/>
      </c>
      <c r="T183" s="61">
        <f>IFERROR(IF(OR(ISBLANK(Q183),ISBLANK(L183)),"",Q183*L183*VLOOKUP(C183,設定!$B$9:$D$23,3,FALSE)),"")</f>
        <v/>
      </c>
      <c r="U183" s="55" t="n"/>
      <c r="V183" s="55" t="n"/>
    </row>
    <row r="184">
      <c r="A184" s="44">
        <f>IF(ISBLANK(B184),"",COUNTA($B$18:B184))</f>
        <v/>
      </c>
      <c r="B184" s="45" t="n"/>
      <c r="C184" s="46" t="n"/>
      <c r="D184" s="46" t="n"/>
      <c r="E184" s="44" t="n"/>
      <c r="F184" s="47" t="n"/>
      <c r="G184" s="47" t="n"/>
      <c r="H184" s="47" t="n"/>
      <c r="I184" s="47" t="n"/>
      <c r="J184" s="47" t="n"/>
      <c r="K184" s="47" t="n"/>
      <c r="L184" s="48" t="n"/>
      <c r="M184" s="47" t="n"/>
      <c r="N184" s="46" t="n"/>
      <c r="O184" s="49">
        <f>IFERROR(IF(OR(ISBLANK(G184),ISBLANK(I184)),"",ABS(G184-I184)/VLOOKUP(C184,設定!$B$9:$D$23,2,FALSE)),"")</f>
        <v/>
      </c>
      <c r="P184" s="48">
        <f>IFERROR(IF(OR(ISBLANK(F184),ISBLANK(H184),ISBLANK(J184)),"",ABS(J184-F184)/ABS(F184-H184)),"")</f>
        <v/>
      </c>
      <c r="Q184" s="50">
        <f>IFERROR(IF(OR(ISBLANK(M184),ISBLANK(D184),ISBLANK(G184)),"",IF(D184="Long",(M184-G184),(G184-M184))/VLOOKUP(C184,設定!$B$9:$D$23,2,FALSE)),"")</f>
        <v/>
      </c>
      <c r="R184" s="51">
        <f>IFERROR(IF(OR(ISBLANK(Q184),O184=0),"",Q184/O184),"")</f>
        <v/>
      </c>
      <c r="S184" s="51">
        <f>IFERROR(IF(ISBLANK(R184),S183,IF(ISNUMBER(S183),S183,0)+R184),"")</f>
        <v/>
      </c>
      <c r="T184" s="52">
        <f>IFERROR(IF(OR(ISBLANK(Q184),ISBLANK(L184)),"",Q184*L184*VLOOKUP(C184,設定!$B$9:$D$23,3,FALSE)),"")</f>
        <v/>
      </c>
      <c r="U184" s="46" t="n"/>
      <c r="V184" s="46" t="n"/>
    </row>
    <row r="185">
      <c r="A185" s="53">
        <f>IF(ISBLANK(B185),"",COUNTA($B$18:B185))</f>
        <v/>
      </c>
      <c r="B185" s="54" t="n"/>
      <c r="C185" s="55" t="n"/>
      <c r="D185" s="55" t="n"/>
      <c r="E185" s="53" t="n"/>
      <c r="F185" s="56" t="n"/>
      <c r="G185" s="56" t="n"/>
      <c r="H185" s="56" t="n"/>
      <c r="I185" s="56" t="n"/>
      <c r="J185" s="56" t="n"/>
      <c r="K185" s="56" t="n"/>
      <c r="L185" s="57" t="n"/>
      <c r="M185" s="56" t="n"/>
      <c r="N185" s="55" t="n"/>
      <c r="O185" s="58">
        <f>IFERROR(IF(OR(ISBLANK(G185),ISBLANK(I185)),"",ABS(G185-I185)/VLOOKUP(C185,設定!$B$9:$D$23,2,FALSE)),"")</f>
        <v/>
      </c>
      <c r="P185" s="57">
        <f>IFERROR(IF(OR(ISBLANK(F185),ISBLANK(H185),ISBLANK(J185)),"",ABS(J185-F185)/ABS(F185-H185)),"")</f>
        <v/>
      </c>
      <c r="Q185" s="59">
        <f>IFERROR(IF(OR(ISBLANK(M185),ISBLANK(D185),ISBLANK(G185)),"",IF(D185="Long",(M185-G185),(G185-M185))/VLOOKUP(C185,設定!$B$9:$D$23,2,FALSE)),"")</f>
        <v/>
      </c>
      <c r="R185" s="60">
        <f>IFERROR(IF(OR(ISBLANK(Q185),O185=0),"",Q185/O185),"")</f>
        <v/>
      </c>
      <c r="S185" s="60">
        <f>IFERROR(IF(ISBLANK(R185),S184,IF(ISNUMBER(S184),S184,0)+R185),"")</f>
        <v/>
      </c>
      <c r="T185" s="61">
        <f>IFERROR(IF(OR(ISBLANK(Q185),ISBLANK(L185)),"",Q185*L185*VLOOKUP(C185,設定!$B$9:$D$23,3,FALSE)),"")</f>
        <v/>
      </c>
      <c r="U185" s="55" t="n"/>
      <c r="V185" s="55" t="n"/>
    </row>
    <row r="186">
      <c r="A186" s="44">
        <f>IF(ISBLANK(B186),"",COUNTA($B$18:B186))</f>
        <v/>
      </c>
      <c r="B186" s="45" t="n"/>
      <c r="C186" s="46" t="n"/>
      <c r="D186" s="46" t="n"/>
      <c r="E186" s="44" t="n"/>
      <c r="F186" s="47" t="n"/>
      <c r="G186" s="47" t="n"/>
      <c r="H186" s="47" t="n"/>
      <c r="I186" s="47" t="n"/>
      <c r="J186" s="47" t="n"/>
      <c r="K186" s="47" t="n"/>
      <c r="L186" s="48" t="n"/>
      <c r="M186" s="47" t="n"/>
      <c r="N186" s="46" t="n"/>
      <c r="O186" s="49">
        <f>IFERROR(IF(OR(ISBLANK(G186),ISBLANK(I186)),"",ABS(G186-I186)/VLOOKUP(C186,設定!$B$9:$D$23,2,FALSE)),"")</f>
        <v/>
      </c>
      <c r="P186" s="48">
        <f>IFERROR(IF(OR(ISBLANK(F186),ISBLANK(H186),ISBLANK(J186)),"",ABS(J186-F186)/ABS(F186-H186)),"")</f>
        <v/>
      </c>
      <c r="Q186" s="50">
        <f>IFERROR(IF(OR(ISBLANK(M186),ISBLANK(D186),ISBLANK(G186)),"",IF(D186="Long",(M186-G186),(G186-M186))/VLOOKUP(C186,設定!$B$9:$D$23,2,FALSE)),"")</f>
        <v/>
      </c>
      <c r="R186" s="51">
        <f>IFERROR(IF(OR(ISBLANK(Q186),O186=0),"",Q186/O186),"")</f>
        <v/>
      </c>
      <c r="S186" s="51">
        <f>IFERROR(IF(ISBLANK(R186),S185,IF(ISNUMBER(S185),S185,0)+R186),"")</f>
        <v/>
      </c>
      <c r="T186" s="52">
        <f>IFERROR(IF(OR(ISBLANK(Q186),ISBLANK(L186)),"",Q186*L186*VLOOKUP(C186,設定!$B$9:$D$23,3,FALSE)),"")</f>
        <v/>
      </c>
      <c r="U186" s="46" t="n"/>
      <c r="V186" s="46" t="n"/>
    </row>
    <row r="187">
      <c r="A187" s="53">
        <f>IF(ISBLANK(B187),"",COUNTA($B$18:B187))</f>
        <v/>
      </c>
      <c r="B187" s="54" t="n"/>
      <c r="C187" s="55" t="n"/>
      <c r="D187" s="55" t="n"/>
      <c r="E187" s="53" t="n"/>
      <c r="F187" s="56" t="n"/>
      <c r="G187" s="56" t="n"/>
      <c r="H187" s="56" t="n"/>
      <c r="I187" s="56" t="n"/>
      <c r="J187" s="56" t="n"/>
      <c r="K187" s="56" t="n"/>
      <c r="L187" s="57" t="n"/>
      <c r="M187" s="56" t="n"/>
      <c r="N187" s="55" t="n"/>
      <c r="O187" s="58">
        <f>IFERROR(IF(OR(ISBLANK(G187),ISBLANK(I187)),"",ABS(G187-I187)/VLOOKUP(C187,設定!$B$9:$D$23,2,FALSE)),"")</f>
        <v/>
      </c>
      <c r="P187" s="57">
        <f>IFERROR(IF(OR(ISBLANK(F187),ISBLANK(H187),ISBLANK(J187)),"",ABS(J187-F187)/ABS(F187-H187)),"")</f>
        <v/>
      </c>
      <c r="Q187" s="59">
        <f>IFERROR(IF(OR(ISBLANK(M187),ISBLANK(D187),ISBLANK(G187)),"",IF(D187="Long",(M187-G187),(G187-M187))/VLOOKUP(C187,設定!$B$9:$D$23,2,FALSE)),"")</f>
        <v/>
      </c>
      <c r="R187" s="60">
        <f>IFERROR(IF(OR(ISBLANK(Q187),O187=0),"",Q187/O187),"")</f>
        <v/>
      </c>
      <c r="S187" s="60">
        <f>IFERROR(IF(ISBLANK(R187),S186,IF(ISNUMBER(S186),S186,0)+R187),"")</f>
        <v/>
      </c>
      <c r="T187" s="61">
        <f>IFERROR(IF(OR(ISBLANK(Q187),ISBLANK(L187)),"",Q187*L187*VLOOKUP(C187,設定!$B$9:$D$23,3,FALSE)),"")</f>
        <v/>
      </c>
      <c r="U187" s="55" t="n"/>
      <c r="V187" s="55" t="n"/>
    </row>
    <row r="188">
      <c r="A188" s="44">
        <f>IF(ISBLANK(B188),"",COUNTA($B$18:B188))</f>
        <v/>
      </c>
      <c r="B188" s="45" t="n"/>
      <c r="C188" s="46" t="n"/>
      <c r="D188" s="46" t="n"/>
      <c r="E188" s="44" t="n"/>
      <c r="F188" s="47" t="n"/>
      <c r="G188" s="47" t="n"/>
      <c r="H188" s="47" t="n"/>
      <c r="I188" s="47" t="n"/>
      <c r="J188" s="47" t="n"/>
      <c r="K188" s="47" t="n"/>
      <c r="L188" s="48" t="n"/>
      <c r="M188" s="47" t="n"/>
      <c r="N188" s="46" t="n"/>
      <c r="O188" s="49">
        <f>IFERROR(IF(OR(ISBLANK(G188),ISBLANK(I188)),"",ABS(G188-I188)/VLOOKUP(C188,設定!$B$9:$D$23,2,FALSE)),"")</f>
        <v/>
      </c>
      <c r="P188" s="48">
        <f>IFERROR(IF(OR(ISBLANK(F188),ISBLANK(H188),ISBLANK(J188)),"",ABS(J188-F188)/ABS(F188-H188)),"")</f>
        <v/>
      </c>
      <c r="Q188" s="50">
        <f>IFERROR(IF(OR(ISBLANK(M188),ISBLANK(D188),ISBLANK(G188)),"",IF(D188="Long",(M188-G188),(G188-M188))/VLOOKUP(C188,設定!$B$9:$D$23,2,FALSE)),"")</f>
        <v/>
      </c>
      <c r="R188" s="51">
        <f>IFERROR(IF(OR(ISBLANK(Q188),O188=0),"",Q188/O188),"")</f>
        <v/>
      </c>
      <c r="S188" s="51">
        <f>IFERROR(IF(ISBLANK(R188),S187,IF(ISNUMBER(S187),S187,0)+R188),"")</f>
        <v/>
      </c>
      <c r="T188" s="52">
        <f>IFERROR(IF(OR(ISBLANK(Q188),ISBLANK(L188)),"",Q188*L188*VLOOKUP(C188,設定!$B$9:$D$23,3,FALSE)),"")</f>
        <v/>
      </c>
      <c r="U188" s="46" t="n"/>
      <c r="V188" s="46" t="n"/>
    </row>
    <row r="189">
      <c r="A189" s="53">
        <f>IF(ISBLANK(B189),"",COUNTA($B$18:B189))</f>
        <v/>
      </c>
      <c r="B189" s="54" t="n"/>
      <c r="C189" s="55" t="n"/>
      <c r="D189" s="55" t="n"/>
      <c r="E189" s="53" t="n"/>
      <c r="F189" s="56" t="n"/>
      <c r="G189" s="56" t="n"/>
      <c r="H189" s="56" t="n"/>
      <c r="I189" s="56" t="n"/>
      <c r="J189" s="56" t="n"/>
      <c r="K189" s="56" t="n"/>
      <c r="L189" s="57" t="n"/>
      <c r="M189" s="56" t="n"/>
      <c r="N189" s="55" t="n"/>
      <c r="O189" s="58">
        <f>IFERROR(IF(OR(ISBLANK(G189),ISBLANK(I189)),"",ABS(G189-I189)/VLOOKUP(C189,設定!$B$9:$D$23,2,FALSE)),"")</f>
        <v/>
      </c>
      <c r="P189" s="57">
        <f>IFERROR(IF(OR(ISBLANK(F189),ISBLANK(H189),ISBLANK(J189)),"",ABS(J189-F189)/ABS(F189-H189)),"")</f>
        <v/>
      </c>
      <c r="Q189" s="59">
        <f>IFERROR(IF(OR(ISBLANK(M189),ISBLANK(D189),ISBLANK(G189)),"",IF(D189="Long",(M189-G189),(G189-M189))/VLOOKUP(C189,設定!$B$9:$D$23,2,FALSE)),"")</f>
        <v/>
      </c>
      <c r="R189" s="60">
        <f>IFERROR(IF(OR(ISBLANK(Q189),O189=0),"",Q189/O189),"")</f>
        <v/>
      </c>
      <c r="S189" s="60">
        <f>IFERROR(IF(ISBLANK(R189),S188,IF(ISNUMBER(S188),S188,0)+R189),"")</f>
        <v/>
      </c>
      <c r="T189" s="61">
        <f>IFERROR(IF(OR(ISBLANK(Q189),ISBLANK(L189)),"",Q189*L189*VLOOKUP(C189,設定!$B$9:$D$23,3,FALSE)),"")</f>
        <v/>
      </c>
      <c r="U189" s="55" t="n"/>
      <c r="V189" s="55" t="n"/>
    </row>
    <row r="190">
      <c r="A190" s="44">
        <f>IF(ISBLANK(B190),"",COUNTA($B$18:B190))</f>
        <v/>
      </c>
      <c r="B190" s="45" t="n"/>
      <c r="C190" s="46" t="n"/>
      <c r="D190" s="46" t="n"/>
      <c r="E190" s="44" t="n"/>
      <c r="F190" s="47" t="n"/>
      <c r="G190" s="47" t="n"/>
      <c r="H190" s="47" t="n"/>
      <c r="I190" s="47" t="n"/>
      <c r="J190" s="47" t="n"/>
      <c r="K190" s="47" t="n"/>
      <c r="L190" s="48" t="n"/>
      <c r="M190" s="47" t="n"/>
      <c r="N190" s="46" t="n"/>
      <c r="O190" s="49">
        <f>IFERROR(IF(OR(ISBLANK(G190),ISBLANK(I190)),"",ABS(G190-I190)/VLOOKUP(C190,設定!$B$9:$D$23,2,FALSE)),"")</f>
        <v/>
      </c>
      <c r="P190" s="48">
        <f>IFERROR(IF(OR(ISBLANK(F190),ISBLANK(H190),ISBLANK(J190)),"",ABS(J190-F190)/ABS(F190-H190)),"")</f>
        <v/>
      </c>
      <c r="Q190" s="50">
        <f>IFERROR(IF(OR(ISBLANK(M190),ISBLANK(D190),ISBLANK(G190)),"",IF(D190="Long",(M190-G190),(G190-M190))/VLOOKUP(C190,設定!$B$9:$D$23,2,FALSE)),"")</f>
        <v/>
      </c>
      <c r="R190" s="51">
        <f>IFERROR(IF(OR(ISBLANK(Q190),O190=0),"",Q190/O190),"")</f>
        <v/>
      </c>
      <c r="S190" s="51">
        <f>IFERROR(IF(ISBLANK(R190),S189,IF(ISNUMBER(S189),S189,0)+R190),"")</f>
        <v/>
      </c>
      <c r="T190" s="52">
        <f>IFERROR(IF(OR(ISBLANK(Q190),ISBLANK(L190)),"",Q190*L190*VLOOKUP(C190,設定!$B$9:$D$23,3,FALSE)),"")</f>
        <v/>
      </c>
      <c r="U190" s="46" t="n"/>
      <c r="V190" s="46" t="n"/>
    </row>
    <row r="191">
      <c r="A191" s="53">
        <f>IF(ISBLANK(B191),"",COUNTA($B$18:B191))</f>
        <v/>
      </c>
      <c r="B191" s="54" t="n"/>
      <c r="C191" s="55" t="n"/>
      <c r="D191" s="55" t="n"/>
      <c r="E191" s="53" t="n"/>
      <c r="F191" s="56" t="n"/>
      <c r="G191" s="56" t="n"/>
      <c r="H191" s="56" t="n"/>
      <c r="I191" s="56" t="n"/>
      <c r="J191" s="56" t="n"/>
      <c r="K191" s="56" t="n"/>
      <c r="L191" s="57" t="n"/>
      <c r="M191" s="56" t="n"/>
      <c r="N191" s="55" t="n"/>
      <c r="O191" s="58">
        <f>IFERROR(IF(OR(ISBLANK(G191),ISBLANK(I191)),"",ABS(G191-I191)/VLOOKUP(C191,設定!$B$9:$D$23,2,FALSE)),"")</f>
        <v/>
      </c>
      <c r="P191" s="57">
        <f>IFERROR(IF(OR(ISBLANK(F191),ISBLANK(H191),ISBLANK(J191)),"",ABS(J191-F191)/ABS(F191-H191)),"")</f>
        <v/>
      </c>
      <c r="Q191" s="59">
        <f>IFERROR(IF(OR(ISBLANK(M191),ISBLANK(D191),ISBLANK(G191)),"",IF(D191="Long",(M191-G191),(G191-M191))/VLOOKUP(C191,設定!$B$9:$D$23,2,FALSE)),"")</f>
        <v/>
      </c>
      <c r="R191" s="60">
        <f>IFERROR(IF(OR(ISBLANK(Q191),O191=0),"",Q191/O191),"")</f>
        <v/>
      </c>
      <c r="S191" s="60">
        <f>IFERROR(IF(ISBLANK(R191),S190,IF(ISNUMBER(S190),S190,0)+R191),"")</f>
        <v/>
      </c>
      <c r="T191" s="61">
        <f>IFERROR(IF(OR(ISBLANK(Q191),ISBLANK(L191)),"",Q191*L191*VLOOKUP(C191,設定!$B$9:$D$23,3,FALSE)),"")</f>
        <v/>
      </c>
      <c r="U191" s="55" t="n"/>
      <c r="V191" s="55" t="n"/>
    </row>
    <row r="192">
      <c r="A192" s="44">
        <f>IF(ISBLANK(B192),"",COUNTA($B$18:B192))</f>
        <v/>
      </c>
      <c r="B192" s="45" t="n"/>
      <c r="C192" s="46" t="n"/>
      <c r="D192" s="46" t="n"/>
      <c r="E192" s="44" t="n"/>
      <c r="F192" s="47" t="n"/>
      <c r="G192" s="47" t="n"/>
      <c r="H192" s="47" t="n"/>
      <c r="I192" s="47" t="n"/>
      <c r="J192" s="47" t="n"/>
      <c r="K192" s="47" t="n"/>
      <c r="L192" s="48" t="n"/>
      <c r="M192" s="47" t="n"/>
      <c r="N192" s="46" t="n"/>
      <c r="O192" s="49">
        <f>IFERROR(IF(OR(ISBLANK(G192),ISBLANK(I192)),"",ABS(G192-I192)/VLOOKUP(C192,設定!$B$9:$D$23,2,FALSE)),"")</f>
        <v/>
      </c>
      <c r="P192" s="48">
        <f>IFERROR(IF(OR(ISBLANK(F192),ISBLANK(H192),ISBLANK(J192)),"",ABS(J192-F192)/ABS(F192-H192)),"")</f>
        <v/>
      </c>
      <c r="Q192" s="50">
        <f>IFERROR(IF(OR(ISBLANK(M192),ISBLANK(D192),ISBLANK(G192)),"",IF(D192="Long",(M192-G192),(G192-M192))/VLOOKUP(C192,設定!$B$9:$D$23,2,FALSE)),"")</f>
        <v/>
      </c>
      <c r="R192" s="51">
        <f>IFERROR(IF(OR(ISBLANK(Q192),O192=0),"",Q192/O192),"")</f>
        <v/>
      </c>
      <c r="S192" s="51">
        <f>IFERROR(IF(ISBLANK(R192),S191,IF(ISNUMBER(S191),S191,0)+R192),"")</f>
        <v/>
      </c>
      <c r="T192" s="52">
        <f>IFERROR(IF(OR(ISBLANK(Q192),ISBLANK(L192)),"",Q192*L192*VLOOKUP(C192,設定!$B$9:$D$23,3,FALSE)),"")</f>
        <v/>
      </c>
      <c r="U192" s="46" t="n"/>
      <c r="V192" s="46" t="n"/>
    </row>
    <row r="193">
      <c r="A193" s="53">
        <f>IF(ISBLANK(B193),"",COUNTA($B$18:B193))</f>
        <v/>
      </c>
      <c r="B193" s="54" t="n"/>
      <c r="C193" s="55" t="n"/>
      <c r="D193" s="55" t="n"/>
      <c r="E193" s="53" t="n"/>
      <c r="F193" s="56" t="n"/>
      <c r="G193" s="56" t="n"/>
      <c r="H193" s="56" t="n"/>
      <c r="I193" s="56" t="n"/>
      <c r="J193" s="56" t="n"/>
      <c r="K193" s="56" t="n"/>
      <c r="L193" s="57" t="n"/>
      <c r="M193" s="56" t="n"/>
      <c r="N193" s="55" t="n"/>
      <c r="O193" s="58">
        <f>IFERROR(IF(OR(ISBLANK(G193),ISBLANK(I193)),"",ABS(G193-I193)/VLOOKUP(C193,設定!$B$9:$D$23,2,FALSE)),"")</f>
        <v/>
      </c>
      <c r="P193" s="57">
        <f>IFERROR(IF(OR(ISBLANK(F193),ISBLANK(H193),ISBLANK(J193)),"",ABS(J193-F193)/ABS(F193-H193)),"")</f>
        <v/>
      </c>
      <c r="Q193" s="59">
        <f>IFERROR(IF(OR(ISBLANK(M193),ISBLANK(D193),ISBLANK(G193)),"",IF(D193="Long",(M193-G193),(G193-M193))/VLOOKUP(C193,設定!$B$9:$D$23,2,FALSE)),"")</f>
        <v/>
      </c>
      <c r="R193" s="60">
        <f>IFERROR(IF(OR(ISBLANK(Q193),O193=0),"",Q193/O193),"")</f>
        <v/>
      </c>
      <c r="S193" s="60">
        <f>IFERROR(IF(ISBLANK(R193),S192,IF(ISNUMBER(S192),S192,0)+R193),"")</f>
        <v/>
      </c>
      <c r="T193" s="61">
        <f>IFERROR(IF(OR(ISBLANK(Q193),ISBLANK(L193)),"",Q193*L193*VLOOKUP(C193,設定!$B$9:$D$23,3,FALSE)),"")</f>
        <v/>
      </c>
      <c r="U193" s="55" t="n"/>
      <c r="V193" s="55" t="n"/>
    </row>
    <row r="194">
      <c r="A194" s="44">
        <f>IF(ISBLANK(B194),"",COUNTA($B$18:B194))</f>
        <v/>
      </c>
      <c r="B194" s="45" t="n"/>
      <c r="C194" s="46" t="n"/>
      <c r="D194" s="46" t="n"/>
      <c r="E194" s="44" t="n"/>
      <c r="F194" s="47" t="n"/>
      <c r="G194" s="47" t="n"/>
      <c r="H194" s="47" t="n"/>
      <c r="I194" s="47" t="n"/>
      <c r="J194" s="47" t="n"/>
      <c r="K194" s="47" t="n"/>
      <c r="L194" s="48" t="n"/>
      <c r="M194" s="47" t="n"/>
      <c r="N194" s="46" t="n"/>
      <c r="O194" s="49">
        <f>IFERROR(IF(OR(ISBLANK(G194),ISBLANK(I194)),"",ABS(G194-I194)/VLOOKUP(C194,設定!$B$9:$D$23,2,FALSE)),"")</f>
        <v/>
      </c>
      <c r="P194" s="48">
        <f>IFERROR(IF(OR(ISBLANK(F194),ISBLANK(H194),ISBLANK(J194)),"",ABS(J194-F194)/ABS(F194-H194)),"")</f>
        <v/>
      </c>
      <c r="Q194" s="50">
        <f>IFERROR(IF(OR(ISBLANK(M194),ISBLANK(D194),ISBLANK(G194)),"",IF(D194="Long",(M194-G194),(G194-M194))/VLOOKUP(C194,設定!$B$9:$D$23,2,FALSE)),"")</f>
        <v/>
      </c>
      <c r="R194" s="51">
        <f>IFERROR(IF(OR(ISBLANK(Q194),O194=0),"",Q194/O194),"")</f>
        <v/>
      </c>
      <c r="S194" s="51">
        <f>IFERROR(IF(ISBLANK(R194),S193,IF(ISNUMBER(S193),S193,0)+R194),"")</f>
        <v/>
      </c>
      <c r="T194" s="52">
        <f>IFERROR(IF(OR(ISBLANK(Q194),ISBLANK(L194)),"",Q194*L194*VLOOKUP(C194,設定!$B$9:$D$23,3,FALSE)),"")</f>
        <v/>
      </c>
      <c r="U194" s="46" t="n"/>
      <c r="V194" s="46" t="n"/>
    </row>
    <row r="195">
      <c r="A195" s="53">
        <f>IF(ISBLANK(B195),"",COUNTA($B$18:B195))</f>
        <v/>
      </c>
      <c r="B195" s="54" t="n"/>
      <c r="C195" s="55" t="n"/>
      <c r="D195" s="55" t="n"/>
      <c r="E195" s="53" t="n"/>
      <c r="F195" s="56" t="n"/>
      <c r="G195" s="56" t="n"/>
      <c r="H195" s="56" t="n"/>
      <c r="I195" s="56" t="n"/>
      <c r="J195" s="56" t="n"/>
      <c r="K195" s="56" t="n"/>
      <c r="L195" s="57" t="n"/>
      <c r="M195" s="56" t="n"/>
      <c r="N195" s="55" t="n"/>
      <c r="O195" s="58">
        <f>IFERROR(IF(OR(ISBLANK(G195),ISBLANK(I195)),"",ABS(G195-I195)/VLOOKUP(C195,設定!$B$9:$D$23,2,FALSE)),"")</f>
        <v/>
      </c>
      <c r="P195" s="57">
        <f>IFERROR(IF(OR(ISBLANK(F195),ISBLANK(H195),ISBLANK(J195)),"",ABS(J195-F195)/ABS(F195-H195)),"")</f>
        <v/>
      </c>
      <c r="Q195" s="59">
        <f>IFERROR(IF(OR(ISBLANK(M195),ISBLANK(D195),ISBLANK(G195)),"",IF(D195="Long",(M195-G195),(G195-M195))/VLOOKUP(C195,設定!$B$9:$D$23,2,FALSE)),"")</f>
        <v/>
      </c>
      <c r="R195" s="60">
        <f>IFERROR(IF(OR(ISBLANK(Q195),O195=0),"",Q195/O195),"")</f>
        <v/>
      </c>
      <c r="S195" s="60">
        <f>IFERROR(IF(ISBLANK(R195),S194,IF(ISNUMBER(S194),S194,0)+R195),"")</f>
        <v/>
      </c>
      <c r="T195" s="61">
        <f>IFERROR(IF(OR(ISBLANK(Q195),ISBLANK(L195)),"",Q195*L195*VLOOKUP(C195,設定!$B$9:$D$23,3,FALSE)),"")</f>
        <v/>
      </c>
      <c r="U195" s="55" t="n"/>
      <c r="V195" s="55" t="n"/>
    </row>
    <row r="196">
      <c r="A196" s="44">
        <f>IF(ISBLANK(B196),"",COUNTA($B$18:B196))</f>
        <v/>
      </c>
      <c r="B196" s="45" t="n"/>
      <c r="C196" s="46" t="n"/>
      <c r="D196" s="46" t="n"/>
      <c r="E196" s="44" t="n"/>
      <c r="F196" s="47" t="n"/>
      <c r="G196" s="47" t="n"/>
      <c r="H196" s="47" t="n"/>
      <c r="I196" s="47" t="n"/>
      <c r="J196" s="47" t="n"/>
      <c r="K196" s="47" t="n"/>
      <c r="L196" s="48" t="n"/>
      <c r="M196" s="47" t="n"/>
      <c r="N196" s="46" t="n"/>
      <c r="O196" s="49">
        <f>IFERROR(IF(OR(ISBLANK(G196),ISBLANK(I196)),"",ABS(G196-I196)/VLOOKUP(C196,設定!$B$9:$D$23,2,FALSE)),"")</f>
        <v/>
      </c>
      <c r="P196" s="48">
        <f>IFERROR(IF(OR(ISBLANK(F196),ISBLANK(H196),ISBLANK(J196)),"",ABS(J196-F196)/ABS(F196-H196)),"")</f>
        <v/>
      </c>
      <c r="Q196" s="50">
        <f>IFERROR(IF(OR(ISBLANK(M196),ISBLANK(D196),ISBLANK(G196)),"",IF(D196="Long",(M196-G196),(G196-M196))/VLOOKUP(C196,設定!$B$9:$D$23,2,FALSE)),"")</f>
        <v/>
      </c>
      <c r="R196" s="51">
        <f>IFERROR(IF(OR(ISBLANK(Q196),O196=0),"",Q196/O196),"")</f>
        <v/>
      </c>
      <c r="S196" s="51">
        <f>IFERROR(IF(ISBLANK(R196),S195,IF(ISNUMBER(S195),S195,0)+R196),"")</f>
        <v/>
      </c>
      <c r="T196" s="52">
        <f>IFERROR(IF(OR(ISBLANK(Q196),ISBLANK(L196)),"",Q196*L196*VLOOKUP(C196,設定!$B$9:$D$23,3,FALSE)),"")</f>
        <v/>
      </c>
      <c r="U196" s="46" t="n"/>
      <c r="V196" s="46" t="n"/>
    </row>
    <row r="197">
      <c r="A197" s="53">
        <f>IF(ISBLANK(B197),"",COUNTA($B$18:B197))</f>
        <v/>
      </c>
      <c r="B197" s="54" t="n"/>
      <c r="C197" s="55" t="n"/>
      <c r="D197" s="55" t="n"/>
      <c r="E197" s="53" t="n"/>
      <c r="F197" s="56" t="n"/>
      <c r="G197" s="56" t="n"/>
      <c r="H197" s="56" t="n"/>
      <c r="I197" s="56" t="n"/>
      <c r="J197" s="56" t="n"/>
      <c r="K197" s="56" t="n"/>
      <c r="L197" s="57" t="n"/>
      <c r="M197" s="56" t="n"/>
      <c r="N197" s="55" t="n"/>
      <c r="O197" s="58">
        <f>IFERROR(IF(OR(ISBLANK(G197),ISBLANK(I197)),"",ABS(G197-I197)/VLOOKUP(C197,設定!$B$9:$D$23,2,FALSE)),"")</f>
        <v/>
      </c>
      <c r="P197" s="57">
        <f>IFERROR(IF(OR(ISBLANK(F197),ISBLANK(H197),ISBLANK(J197)),"",ABS(J197-F197)/ABS(F197-H197)),"")</f>
        <v/>
      </c>
      <c r="Q197" s="59">
        <f>IFERROR(IF(OR(ISBLANK(M197),ISBLANK(D197),ISBLANK(G197)),"",IF(D197="Long",(M197-G197),(G197-M197))/VLOOKUP(C197,設定!$B$9:$D$23,2,FALSE)),"")</f>
        <v/>
      </c>
      <c r="R197" s="60">
        <f>IFERROR(IF(OR(ISBLANK(Q197),O197=0),"",Q197/O197),"")</f>
        <v/>
      </c>
      <c r="S197" s="60">
        <f>IFERROR(IF(ISBLANK(R197),S196,IF(ISNUMBER(S196),S196,0)+R197),"")</f>
        <v/>
      </c>
      <c r="T197" s="61">
        <f>IFERROR(IF(OR(ISBLANK(Q197),ISBLANK(L197)),"",Q197*L197*VLOOKUP(C197,設定!$B$9:$D$23,3,FALSE)),"")</f>
        <v/>
      </c>
      <c r="U197" s="55" t="n"/>
      <c r="V197" s="55" t="n"/>
    </row>
    <row r="198">
      <c r="A198" s="44">
        <f>IF(ISBLANK(B198),"",COUNTA($B$18:B198))</f>
        <v/>
      </c>
      <c r="B198" s="45" t="n"/>
      <c r="C198" s="46" t="n"/>
      <c r="D198" s="46" t="n"/>
      <c r="E198" s="44" t="n"/>
      <c r="F198" s="47" t="n"/>
      <c r="G198" s="47" t="n"/>
      <c r="H198" s="47" t="n"/>
      <c r="I198" s="47" t="n"/>
      <c r="J198" s="47" t="n"/>
      <c r="K198" s="47" t="n"/>
      <c r="L198" s="48" t="n"/>
      <c r="M198" s="47" t="n"/>
      <c r="N198" s="46" t="n"/>
      <c r="O198" s="49">
        <f>IFERROR(IF(OR(ISBLANK(G198),ISBLANK(I198)),"",ABS(G198-I198)/VLOOKUP(C198,設定!$B$9:$D$23,2,FALSE)),"")</f>
        <v/>
      </c>
      <c r="P198" s="48">
        <f>IFERROR(IF(OR(ISBLANK(F198),ISBLANK(H198),ISBLANK(J198)),"",ABS(J198-F198)/ABS(F198-H198)),"")</f>
        <v/>
      </c>
      <c r="Q198" s="50">
        <f>IFERROR(IF(OR(ISBLANK(M198),ISBLANK(D198),ISBLANK(G198)),"",IF(D198="Long",(M198-G198),(G198-M198))/VLOOKUP(C198,設定!$B$9:$D$23,2,FALSE)),"")</f>
        <v/>
      </c>
      <c r="R198" s="51">
        <f>IFERROR(IF(OR(ISBLANK(Q198),O198=0),"",Q198/O198),"")</f>
        <v/>
      </c>
      <c r="S198" s="51">
        <f>IFERROR(IF(ISBLANK(R198),S197,IF(ISNUMBER(S197),S197,0)+R198),"")</f>
        <v/>
      </c>
      <c r="T198" s="52">
        <f>IFERROR(IF(OR(ISBLANK(Q198),ISBLANK(L198)),"",Q198*L198*VLOOKUP(C198,設定!$B$9:$D$23,3,FALSE)),"")</f>
        <v/>
      </c>
      <c r="U198" s="46" t="n"/>
      <c r="V198" s="46" t="n"/>
    </row>
    <row r="199">
      <c r="A199" s="53">
        <f>IF(ISBLANK(B199),"",COUNTA($B$18:B199))</f>
        <v/>
      </c>
      <c r="B199" s="54" t="n"/>
      <c r="C199" s="55" t="n"/>
      <c r="D199" s="55" t="n"/>
      <c r="E199" s="53" t="n"/>
      <c r="F199" s="56" t="n"/>
      <c r="G199" s="56" t="n"/>
      <c r="H199" s="56" t="n"/>
      <c r="I199" s="56" t="n"/>
      <c r="J199" s="56" t="n"/>
      <c r="K199" s="56" t="n"/>
      <c r="L199" s="57" t="n"/>
      <c r="M199" s="56" t="n"/>
      <c r="N199" s="55" t="n"/>
      <c r="O199" s="58">
        <f>IFERROR(IF(OR(ISBLANK(G199),ISBLANK(I199)),"",ABS(G199-I199)/VLOOKUP(C199,設定!$B$9:$D$23,2,FALSE)),"")</f>
        <v/>
      </c>
      <c r="P199" s="57">
        <f>IFERROR(IF(OR(ISBLANK(F199),ISBLANK(H199),ISBLANK(J199)),"",ABS(J199-F199)/ABS(F199-H199)),"")</f>
        <v/>
      </c>
      <c r="Q199" s="59">
        <f>IFERROR(IF(OR(ISBLANK(M199),ISBLANK(D199),ISBLANK(G199)),"",IF(D199="Long",(M199-G199),(G199-M199))/VLOOKUP(C199,設定!$B$9:$D$23,2,FALSE)),"")</f>
        <v/>
      </c>
      <c r="R199" s="60">
        <f>IFERROR(IF(OR(ISBLANK(Q199),O199=0),"",Q199/O199),"")</f>
        <v/>
      </c>
      <c r="S199" s="60">
        <f>IFERROR(IF(ISBLANK(R199),S198,IF(ISNUMBER(S198),S198,0)+R199),"")</f>
        <v/>
      </c>
      <c r="T199" s="61">
        <f>IFERROR(IF(OR(ISBLANK(Q199),ISBLANK(L199)),"",Q199*L199*VLOOKUP(C199,設定!$B$9:$D$23,3,FALSE)),"")</f>
        <v/>
      </c>
      <c r="U199" s="55" t="n"/>
      <c r="V199" s="55" t="n"/>
    </row>
    <row r="200">
      <c r="A200" s="44">
        <f>IF(ISBLANK(B200),"",COUNTA($B$18:B200))</f>
        <v/>
      </c>
      <c r="B200" s="45" t="n"/>
      <c r="C200" s="46" t="n"/>
      <c r="D200" s="46" t="n"/>
      <c r="E200" s="44" t="n"/>
      <c r="F200" s="47" t="n"/>
      <c r="G200" s="47" t="n"/>
      <c r="H200" s="47" t="n"/>
      <c r="I200" s="47" t="n"/>
      <c r="J200" s="47" t="n"/>
      <c r="K200" s="47" t="n"/>
      <c r="L200" s="48" t="n"/>
      <c r="M200" s="47" t="n"/>
      <c r="N200" s="46" t="n"/>
      <c r="O200" s="49">
        <f>IFERROR(IF(OR(ISBLANK(G200),ISBLANK(I200)),"",ABS(G200-I200)/VLOOKUP(C200,設定!$B$9:$D$23,2,FALSE)),"")</f>
        <v/>
      </c>
      <c r="P200" s="48">
        <f>IFERROR(IF(OR(ISBLANK(F200),ISBLANK(H200),ISBLANK(J200)),"",ABS(J200-F200)/ABS(F200-H200)),"")</f>
        <v/>
      </c>
      <c r="Q200" s="50">
        <f>IFERROR(IF(OR(ISBLANK(M200),ISBLANK(D200),ISBLANK(G200)),"",IF(D200="Long",(M200-G200),(G200-M200))/VLOOKUP(C200,設定!$B$9:$D$23,2,FALSE)),"")</f>
        <v/>
      </c>
      <c r="R200" s="51">
        <f>IFERROR(IF(OR(ISBLANK(Q200),O200=0),"",Q200/O200),"")</f>
        <v/>
      </c>
      <c r="S200" s="51">
        <f>IFERROR(IF(ISBLANK(R200),S199,IF(ISNUMBER(S199),S199,0)+R200),"")</f>
        <v/>
      </c>
      <c r="T200" s="52">
        <f>IFERROR(IF(OR(ISBLANK(Q200),ISBLANK(L200)),"",Q200*L200*VLOOKUP(C200,設定!$B$9:$D$23,3,FALSE)),"")</f>
        <v/>
      </c>
      <c r="U200" s="46" t="n"/>
      <c r="V200" s="46" t="n"/>
    </row>
    <row r="201">
      <c r="A201" s="53">
        <f>IF(ISBLANK(B201),"",COUNTA($B$18:B201))</f>
        <v/>
      </c>
      <c r="B201" s="54" t="n"/>
      <c r="C201" s="55" t="n"/>
      <c r="D201" s="55" t="n"/>
      <c r="E201" s="53" t="n"/>
      <c r="F201" s="56" t="n"/>
      <c r="G201" s="56" t="n"/>
      <c r="H201" s="56" t="n"/>
      <c r="I201" s="56" t="n"/>
      <c r="J201" s="56" t="n"/>
      <c r="K201" s="56" t="n"/>
      <c r="L201" s="57" t="n"/>
      <c r="M201" s="56" t="n"/>
      <c r="N201" s="55" t="n"/>
      <c r="O201" s="58">
        <f>IFERROR(IF(OR(ISBLANK(G201),ISBLANK(I201)),"",ABS(G201-I201)/VLOOKUP(C201,設定!$B$9:$D$23,2,FALSE)),"")</f>
        <v/>
      </c>
      <c r="P201" s="57">
        <f>IFERROR(IF(OR(ISBLANK(F201),ISBLANK(H201),ISBLANK(J201)),"",ABS(J201-F201)/ABS(F201-H201)),"")</f>
        <v/>
      </c>
      <c r="Q201" s="59">
        <f>IFERROR(IF(OR(ISBLANK(M201),ISBLANK(D201),ISBLANK(G201)),"",IF(D201="Long",(M201-G201),(G201-M201))/VLOOKUP(C201,設定!$B$9:$D$23,2,FALSE)),"")</f>
        <v/>
      </c>
      <c r="R201" s="60">
        <f>IFERROR(IF(OR(ISBLANK(Q201),O201=0),"",Q201/O201),"")</f>
        <v/>
      </c>
      <c r="S201" s="60">
        <f>IFERROR(IF(ISBLANK(R201),S200,IF(ISNUMBER(S200),S200,0)+R201),"")</f>
        <v/>
      </c>
      <c r="T201" s="61">
        <f>IFERROR(IF(OR(ISBLANK(Q201),ISBLANK(L201)),"",Q201*L201*VLOOKUP(C201,設定!$B$9:$D$23,3,FALSE)),"")</f>
        <v/>
      </c>
      <c r="U201" s="55" t="n"/>
      <c r="V201" s="55" t="n"/>
    </row>
    <row r="202">
      <c r="A202" s="44">
        <f>IF(ISBLANK(B202),"",COUNTA($B$18:B202))</f>
        <v/>
      </c>
      <c r="B202" s="45" t="n"/>
      <c r="C202" s="46" t="n"/>
      <c r="D202" s="46" t="n"/>
      <c r="E202" s="44" t="n"/>
      <c r="F202" s="47" t="n"/>
      <c r="G202" s="47" t="n"/>
      <c r="H202" s="47" t="n"/>
      <c r="I202" s="47" t="n"/>
      <c r="J202" s="47" t="n"/>
      <c r="K202" s="47" t="n"/>
      <c r="L202" s="48" t="n"/>
      <c r="M202" s="47" t="n"/>
      <c r="N202" s="46" t="n"/>
      <c r="O202" s="49">
        <f>IFERROR(IF(OR(ISBLANK(G202),ISBLANK(I202)),"",ABS(G202-I202)/VLOOKUP(C202,設定!$B$9:$D$23,2,FALSE)),"")</f>
        <v/>
      </c>
      <c r="P202" s="48">
        <f>IFERROR(IF(OR(ISBLANK(F202),ISBLANK(H202),ISBLANK(J202)),"",ABS(J202-F202)/ABS(F202-H202)),"")</f>
        <v/>
      </c>
      <c r="Q202" s="50">
        <f>IFERROR(IF(OR(ISBLANK(M202),ISBLANK(D202),ISBLANK(G202)),"",IF(D202="Long",(M202-G202),(G202-M202))/VLOOKUP(C202,設定!$B$9:$D$23,2,FALSE)),"")</f>
        <v/>
      </c>
      <c r="R202" s="51">
        <f>IFERROR(IF(OR(ISBLANK(Q202),O202=0),"",Q202/O202),"")</f>
        <v/>
      </c>
      <c r="S202" s="51">
        <f>IFERROR(IF(ISBLANK(R202),S201,IF(ISNUMBER(S201),S201,0)+R202),"")</f>
        <v/>
      </c>
      <c r="T202" s="52">
        <f>IFERROR(IF(OR(ISBLANK(Q202),ISBLANK(L202)),"",Q202*L202*VLOOKUP(C202,設定!$B$9:$D$23,3,FALSE)),"")</f>
        <v/>
      </c>
      <c r="U202" s="46" t="n"/>
      <c r="V202" s="46" t="n"/>
    </row>
    <row r="203">
      <c r="A203" s="53">
        <f>IF(ISBLANK(B203),"",COUNTA($B$18:B203))</f>
        <v/>
      </c>
      <c r="B203" s="54" t="n"/>
      <c r="C203" s="55" t="n"/>
      <c r="D203" s="55" t="n"/>
      <c r="E203" s="53" t="n"/>
      <c r="F203" s="56" t="n"/>
      <c r="G203" s="56" t="n"/>
      <c r="H203" s="56" t="n"/>
      <c r="I203" s="56" t="n"/>
      <c r="J203" s="56" t="n"/>
      <c r="K203" s="56" t="n"/>
      <c r="L203" s="57" t="n"/>
      <c r="M203" s="56" t="n"/>
      <c r="N203" s="55" t="n"/>
      <c r="O203" s="58">
        <f>IFERROR(IF(OR(ISBLANK(G203),ISBLANK(I203)),"",ABS(G203-I203)/VLOOKUP(C203,設定!$B$9:$D$23,2,FALSE)),"")</f>
        <v/>
      </c>
      <c r="P203" s="57">
        <f>IFERROR(IF(OR(ISBLANK(F203),ISBLANK(H203),ISBLANK(J203)),"",ABS(J203-F203)/ABS(F203-H203)),"")</f>
        <v/>
      </c>
      <c r="Q203" s="59">
        <f>IFERROR(IF(OR(ISBLANK(M203),ISBLANK(D203),ISBLANK(G203)),"",IF(D203="Long",(M203-G203),(G203-M203))/VLOOKUP(C203,設定!$B$9:$D$23,2,FALSE)),"")</f>
        <v/>
      </c>
      <c r="R203" s="60">
        <f>IFERROR(IF(OR(ISBLANK(Q203),O203=0),"",Q203/O203),"")</f>
        <v/>
      </c>
      <c r="S203" s="60">
        <f>IFERROR(IF(ISBLANK(R203),S202,IF(ISNUMBER(S202),S202,0)+R203),"")</f>
        <v/>
      </c>
      <c r="T203" s="61">
        <f>IFERROR(IF(OR(ISBLANK(Q203),ISBLANK(L203)),"",Q203*L203*VLOOKUP(C203,設定!$B$9:$D$23,3,FALSE)),"")</f>
        <v/>
      </c>
      <c r="U203" s="55" t="n"/>
      <c r="V203" s="55" t="n"/>
    </row>
    <row r="204">
      <c r="A204" s="44">
        <f>IF(ISBLANK(B204),"",COUNTA($B$18:B204))</f>
        <v/>
      </c>
      <c r="B204" s="45" t="n"/>
      <c r="C204" s="46" t="n"/>
      <c r="D204" s="46" t="n"/>
      <c r="E204" s="44" t="n"/>
      <c r="F204" s="47" t="n"/>
      <c r="G204" s="47" t="n"/>
      <c r="H204" s="47" t="n"/>
      <c r="I204" s="47" t="n"/>
      <c r="J204" s="47" t="n"/>
      <c r="K204" s="47" t="n"/>
      <c r="L204" s="48" t="n"/>
      <c r="M204" s="47" t="n"/>
      <c r="N204" s="46" t="n"/>
      <c r="O204" s="49">
        <f>IFERROR(IF(OR(ISBLANK(G204),ISBLANK(I204)),"",ABS(G204-I204)/VLOOKUP(C204,設定!$B$9:$D$23,2,FALSE)),"")</f>
        <v/>
      </c>
      <c r="P204" s="48">
        <f>IFERROR(IF(OR(ISBLANK(F204),ISBLANK(H204),ISBLANK(J204)),"",ABS(J204-F204)/ABS(F204-H204)),"")</f>
        <v/>
      </c>
      <c r="Q204" s="50">
        <f>IFERROR(IF(OR(ISBLANK(M204),ISBLANK(D204),ISBLANK(G204)),"",IF(D204="Long",(M204-G204),(G204-M204))/VLOOKUP(C204,設定!$B$9:$D$23,2,FALSE)),"")</f>
        <v/>
      </c>
      <c r="R204" s="51">
        <f>IFERROR(IF(OR(ISBLANK(Q204),O204=0),"",Q204/O204),"")</f>
        <v/>
      </c>
      <c r="S204" s="51">
        <f>IFERROR(IF(ISBLANK(R204),S203,IF(ISNUMBER(S203),S203,0)+R204),"")</f>
        <v/>
      </c>
      <c r="T204" s="52">
        <f>IFERROR(IF(OR(ISBLANK(Q204),ISBLANK(L204)),"",Q204*L204*VLOOKUP(C204,設定!$B$9:$D$23,3,FALSE)),"")</f>
        <v/>
      </c>
      <c r="U204" s="46" t="n"/>
      <c r="V204" s="46" t="n"/>
    </row>
    <row r="205">
      <c r="A205" s="53">
        <f>IF(ISBLANK(B205),"",COUNTA($B$18:B205))</f>
        <v/>
      </c>
      <c r="B205" s="54" t="n"/>
      <c r="C205" s="55" t="n"/>
      <c r="D205" s="55" t="n"/>
      <c r="E205" s="53" t="n"/>
      <c r="F205" s="56" t="n"/>
      <c r="G205" s="56" t="n"/>
      <c r="H205" s="56" t="n"/>
      <c r="I205" s="56" t="n"/>
      <c r="J205" s="56" t="n"/>
      <c r="K205" s="56" t="n"/>
      <c r="L205" s="57" t="n"/>
      <c r="M205" s="56" t="n"/>
      <c r="N205" s="55" t="n"/>
      <c r="O205" s="58">
        <f>IFERROR(IF(OR(ISBLANK(G205),ISBLANK(I205)),"",ABS(G205-I205)/VLOOKUP(C205,設定!$B$9:$D$23,2,FALSE)),"")</f>
        <v/>
      </c>
      <c r="P205" s="57">
        <f>IFERROR(IF(OR(ISBLANK(F205),ISBLANK(H205),ISBLANK(J205)),"",ABS(J205-F205)/ABS(F205-H205)),"")</f>
        <v/>
      </c>
      <c r="Q205" s="59">
        <f>IFERROR(IF(OR(ISBLANK(M205),ISBLANK(D205),ISBLANK(G205)),"",IF(D205="Long",(M205-G205),(G205-M205))/VLOOKUP(C205,設定!$B$9:$D$23,2,FALSE)),"")</f>
        <v/>
      </c>
      <c r="R205" s="60">
        <f>IFERROR(IF(OR(ISBLANK(Q205),O205=0),"",Q205/O205),"")</f>
        <v/>
      </c>
      <c r="S205" s="60">
        <f>IFERROR(IF(ISBLANK(R205),S204,IF(ISNUMBER(S204),S204,0)+R205),"")</f>
        <v/>
      </c>
      <c r="T205" s="61">
        <f>IFERROR(IF(OR(ISBLANK(Q205),ISBLANK(L205)),"",Q205*L205*VLOOKUP(C205,設定!$B$9:$D$23,3,FALSE)),"")</f>
        <v/>
      </c>
      <c r="U205" s="55" t="n"/>
      <c r="V205" s="55" t="n"/>
    </row>
    <row r="206">
      <c r="A206" s="44">
        <f>IF(ISBLANK(B206),"",COUNTA($B$18:B206))</f>
        <v/>
      </c>
      <c r="B206" s="45" t="n"/>
      <c r="C206" s="46" t="n"/>
      <c r="D206" s="46" t="n"/>
      <c r="E206" s="44" t="n"/>
      <c r="F206" s="47" t="n"/>
      <c r="G206" s="47" t="n"/>
      <c r="H206" s="47" t="n"/>
      <c r="I206" s="47" t="n"/>
      <c r="J206" s="47" t="n"/>
      <c r="K206" s="47" t="n"/>
      <c r="L206" s="48" t="n"/>
      <c r="M206" s="47" t="n"/>
      <c r="N206" s="46" t="n"/>
      <c r="O206" s="49">
        <f>IFERROR(IF(OR(ISBLANK(G206),ISBLANK(I206)),"",ABS(G206-I206)/VLOOKUP(C206,設定!$B$9:$D$23,2,FALSE)),"")</f>
        <v/>
      </c>
      <c r="P206" s="48">
        <f>IFERROR(IF(OR(ISBLANK(F206),ISBLANK(H206),ISBLANK(J206)),"",ABS(J206-F206)/ABS(F206-H206)),"")</f>
        <v/>
      </c>
      <c r="Q206" s="50">
        <f>IFERROR(IF(OR(ISBLANK(M206),ISBLANK(D206),ISBLANK(G206)),"",IF(D206="Long",(M206-G206),(G206-M206))/VLOOKUP(C206,設定!$B$9:$D$23,2,FALSE)),"")</f>
        <v/>
      </c>
      <c r="R206" s="51">
        <f>IFERROR(IF(OR(ISBLANK(Q206),O206=0),"",Q206/O206),"")</f>
        <v/>
      </c>
      <c r="S206" s="51">
        <f>IFERROR(IF(ISBLANK(R206),S205,IF(ISNUMBER(S205),S205,0)+R206),"")</f>
        <v/>
      </c>
      <c r="T206" s="52">
        <f>IFERROR(IF(OR(ISBLANK(Q206),ISBLANK(L206)),"",Q206*L206*VLOOKUP(C206,設定!$B$9:$D$23,3,FALSE)),"")</f>
        <v/>
      </c>
      <c r="U206" s="46" t="n"/>
      <c r="V206" s="46" t="n"/>
    </row>
    <row r="207">
      <c r="A207" s="53">
        <f>IF(ISBLANK(B207),"",COUNTA($B$18:B207))</f>
        <v/>
      </c>
      <c r="B207" s="54" t="n"/>
      <c r="C207" s="55" t="n"/>
      <c r="D207" s="55" t="n"/>
      <c r="E207" s="53" t="n"/>
      <c r="F207" s="56" t="n"/>
      <c r="G207" s="56" t="n"/>
      <c r="H207" s="56" t="n"/>
      <c r="I207" s="56" t="n"/>
      <c r="J207" s="56" t="n"/>
      <c r="K207" s="56" t="n"/>
      <c r="L207" s="57" t="n"/>
      <c r="M207" s="56" t="n"/>
      <c r="N207" s="55" t="n"/>
      <c r="O207" s="58">
        <f>IFERROR(IF(OR(ISBLANK(G207),ISBLANK(I207)),"",ABS(G207-I207)/VLOOKUP(C207,設定!$B$9:$D$23,2,FALSE)),"")</f>
        <v/>
      </c>
      <c r="P207" s="57">
        <f>IFERROR(IF(OR(ISBLANK(F207),ISBLANK(H207),ISBLANK(J207)),"",ABS(J207-F207)/ABS(F207-H207)),"")</f>
        <v/>
      </c>
      <c r="Q207" s="59">
        <f>IFERROR(IF(OR(ISBLANK(M207),ISBLANK(D207),ISBLANK(G207)),"",IF(D207="Long",(M207-G207),(G207-M207))/VLOOKUP(C207,設定!$B$9:$D$23,2,FALSE)),"")</f>
        <v/>
      </c>
      <c r="R207" s="60">
        <f>IFERROR(IF(OR(ISBLANK(Q207),O207=0),"",Q207/O207),"")</f>
        <v/>
      </c>
      <c r="S207" s="60">
        <f>IFERROR(IF(ISBLANK(R207),S206,IF(ISNUMBER(S206),S206,0)+R207),"")</f>
        <v/>
      </c>
      <c r="T207" s="61">
        <f>IFERROR(IF(OR(ISBLANK(Q207),ISBLANK(L207)),"",Q207*L207*VLOOKUP(C207,設定!$B$9:$D$23,3,FALSE)),"")</f>
        <v/>
      </c>
      <c r="U207" s="55" t="n"/>
      <c r="V207" s="55" t="n"/>
    </row>
    <row r="208">
      <c r="A208" s="44">
        <f>IF(ISBLANK(B208),"",COUNTA($B$18:B208))</f>
        <v/>
      </c>
      <c r="B208" s="45" t="n"/>
      <c r="C208" s="46" t="n"/>
      <c r="D208" s="46" t="n"/>
      <c r="E208" s="44" t="n"/>
      <c r="F208" s="47" t="n"/>
      <c r="G208" s="47" t="n"/>
      <c r="H208" s="47" t="n"/>
      <c r="I208" s="47" t="n"/>
      <c r="J208" s="47" t="n"/>
      <c r="K208" s="47" t="n"/>
      <c r="L208" s="48" t="n"/>
      <c r="M208" s="47" t="n"/>
      <c r="N208" s="46" t="n"/>
      <c r="O208" s="49">
        <f>IFERROR(IF(OR(ISBLANK(G208),ISBLANK(I208)),"",ABS(G208-I208)/VLOOKUP(C208,設定!$B$9:$D$23,2,FALSE)),"")</f>
        <v/>
      </c>
      <c r="P208" s="48">
        <f>IFERROR(IF(OR(ISBLANK(F208),ISBLANK(H208),ISBLANK(J208)),"",ABS(J208-F208)/ABS(F208-H208)),"")</f>
        <v/>
      </c>
      <c r="Q208" s="50">
        <f>IFERROR(IF(OR(ISBLANK(M208),ISBLANK(D208),ISBLANK(G208)),"",IF(D208="Long",(M208-G208),(G208-M208))/VLOOKUP(C208,設定!$B$9:$D$23,2,FALSE)),"")</f>
        <v/>
      </c>
      <c r="R208" s="51">
        <f>IFERROR(IF(OR(ISBLANK(Q208),O208=0),"",Q208/O208),"")</f>
        <v/>
      </c>
      <c r="S208" s="51">
        <f>IFERROR(IF(ISBLANK(R208),S207,IF(ISNUMBER(S207),S207,0)+R208),"")</f>
        <v/>
      </c>
      <c r="T208" s="52">
        <f>IFERROR(IF(OR(ISBLANK(Q208),ISBLANK(L208)),"",Q208*L208*VLOOKUP(C208,設定!$B$9:$D$23,3,FALSE)),"")</f>
        <v/>
      </c>
      <c r="U208" s="46" t="n"/>
      <c r="V208" s="46" t="n"/>
    </row>
    <row r="209">
      <c r="A209" s="53">
        <f>IF(ISBLANK(B209),"",COUNTA($B$18:B209))</f>
        <v/>
      </c>
      <c r="B209" s="54" t="n"/>
      <c r="C209" s="55" t="n"/>
      <c r="D209" s="55" t="n"/>
      <c r="E209" s="53" t="n"/>
      <c r="F209" s="56" t="n"/>
      <c r="G209" s="56" t="n"/>
      <c r="H209" s="56" t="n"/>
      <c r="I209" s="56" t="n"/>
      <c r="J209" s="56" t="n"/>
      <c r="K209" s="56" t="n"/>
      <c r="L209" s="57" t="n"/>
      <c r="M209" s="56" t="n"/>
      <c r="N209" s="55" t="n"/>
      <c r="O209" s="58">
        <f>IFERROR(IF(OR(ISBLANK(G209),ISBLANK(I209)),"",ABS(G209-I209)/VLOOKUP(C209,設定!$B$9:$D$23,2,FALSE)),"")</f>
        <v/>
      </c>
      <c r="P209" s="57">
        <f>IFERROR(IF(OR(ISBLANK(F209),ISBLANK(H209),ISBLANK(J209)),"",ABS(J209-F209)/ABS(F209-H209)),"")</f>
        <v/>
      </c>
      <c r="Q209" s="59">
        <f>IFERROR(IF(OR(ISBLANK(M209),ISBLANK(D209),ISBLANK(G209)),"",IF(D209="Long",(M209-G209),(G209-M209))/VLOOKUP(C209,設定!$B$9:$D$23,2,FALSE)),"")</f>
        <v/>
      </c>
      <c r="R209" s="60">
        <f>IFERROR(IF(OR(ISBLANK(Q209),O209=0),"",Q209/O209),"")</f>
        <v/>
      </c>
      <c r="S209" s="60">
        <f>IFERROR(IF(ISBLANK(R209),S208,IF(ISNUMBER(S208),S208,0)+R209),"")</f>
        <v/>
      </c>
      <c r="T209" s="61">
        <f>IFERROR(IF(OR(ISBLANK(Q209),ISBLANK(L209)),"",Q209*L209*VLOOKUP(C209,設定!$B$9:$D$23,3,FALSE)),"")</f>
        <v/>
      </c>
      <c r="U209" s="55" t="n"/>
      <c r="V209" s="55" t="n"/>
    </row>
    <row r="210">
      <c r="A210" s="44">
        <f>IF(ISBLANK(B210),"",COUNTA($B$18:B210))</f>
        <v/>
      </c>
      <c r="B210" s="45" t="n"/>
      <c r="C210" s="46" t="n"/>
      <c r="D210" s="46" t="n"/>
      <c r="E210" s="44" t="n"/>
      <c r="F210" s="47" t="n"/>
      <c r="G210" s="47" t="n"/>
      <c r="H210" s="47" t="n"/>
      <c r="I210" s="47" t="n"/>
      <c r="J210" s="47" t="n"/>
      <c r="K210" s="47" t="n"/>
      <c r="L210" s="48" t="n"/>
      <c r="M210" s="47" t="n"/>
      <c r="N210" s="46" t="n"/>
      <c r="O210" s="49">
        <f>IFERROR(IF(OR(ISBLANK(G210),ISBLANK(I210)),"",ABS(G210-I210)/VLOOKUP(C210,設定!$B$9:$D$23,2,FALSE)),"")</f>
        <v/>
      </c>
      <c r="P210" s="48">
        <f>IFERROR(IF(OR(ISBLANK(F210),ISBLANK(H210),ISBLANK(J210)),"",ABS(J210-F210)/ABS(F210-H210)),"")</f>
        <v/>
      </c>
      <c r="Q210" s="50">
        <f>IFERROR(IF(OR(ISBLANK(M210),ISBLANK(D210),ISBLANK(G210)),"",IF(D210="Long",(M210-G210),(G210-M210))/VLOOKUP(C210,設定!$B$9:$D$23,2,FALSE)),"")</f>
        <v/>
      </c>
      <c r="R210" s="51">
        <f>IFERROR(IF(OR(ISBLANK(Q210),O210=0),"",Q210/O210),"")</f>
        <v/>
      </c>
      <c r="S210" s="51">
        <f>IFERROR(IF(ISBLANK(R210),S209,IF(ISNUMBER(S209),S209,0)+R210),"")</f>
        <v/>
      </c>
      <c r="T210" s="52">
        <f>IFERROR(IF(OR(ISBLANK(Q210),ISBLANK(L210)),"",Q210*L210*VLOOKUP(C210,設定!$B$9:$D$23,3,FALSE)),"")</f>
        <v/>
      </c>
      <c r="U210" s="46" t="n"/>
      <c r="V210" s="46" t="n"/>
    </row>
    <row r="211">
      <c r="A211" s="53">
        <f>IF(ISBLANK(B211),"",COUNTA($B$18:B211))</f>
        <v/>
      </c>
      <c r="B211" s="54" t="n"/>
      <c r="C211" s="55" t="n"/>
      <c r="D211" s="55" t="n"/>
      <c r="E211" s="53" t="n"/>
      <c r="F211" s="56" t="n"/>
      <c r="G211" s="56" t="n"/>
      <c r="H211" s="56" t="n"/>
      <c r="I211" s="56" t="n"/>
      <c r="J211" s="56" t="n"/>
      <c r="K211" s="56" t="n"/>
      <c r="L211" s="57" t="n"/>
      <c r="M211" s="56" t="n"/>
      <c r="N211" s="55" t="n"/>
      <c r="O211" s="58">
        <f>IFERROR(IF(OR(ISBLANK(G211),ISBLANK(I211)),"",ABS(G211-I211)/VLOOKUP(C211,設定!$B$9:$D$23,2,FALSE)),"")</f>
        <v/>
      </c>
      <c r="P211" s="57">
        <f>IFERROR(IF(OR(ISBLANK(F211),ISBLANK(H211),ISBLANK(J211)),"",ABS(J211-F211)/ABS(F211-H211)),"")</f>
        <v/>
      </c>
      <c r="Q211" s="59">
        <f>IFERROR(IF(OR(ISBLANK(M211),ISBLANK(D211),ISBLANK(G211)),"",IF(D211="Long",(M211-G211),(G211-M211))/VLOOKUP(C211,設定!$B$9:$D$23,2,FALSE)),"")</f>
        <v/>
      </c>
      <c r="R211" s="60">
        <f>IFERROR(IF(OR(ISBLANK(Q211),O211=0),"",Q211/O211),"")</f>
        <v/>
      </c>
      <c r="S211" s="60">
        <f>IFERROR(IF(ISBLANK(R211),S210,IF(ISNUMBER(S210),S210,0)+R211),"")</f>
        <v/>
      </c>
      <c r="T211" s="61">
        <f>IFERROR(IF(OR(ISBLANK(Q211),ISBLANK(L211)),"",Q211*L211*VLOOKUP(C211,設定!$B$9:$D$23,3,FALSE)),"")</f>
        <v/>
      </c>
      <c r="U211" s="55" t="n"/>
      <c r="V211" s="55" t="n"/>
    </row>
    <row r="212">
      <c r="A212" s="44">
        <f>IF(ISBLANK(B212),"",COUNTA($B$18:B212))</f>
        <v/>
      </c>
      <c r="B212" s="45" t="n"/>
      <c r="C212" s="46" t="n"/>
      <c r="D212" s="46" t="n"/>
      <c r="E212" s="44" t="n"/>
      <c r="F212" s="47" t="n"/>
      <c r="G212" s="47" t="n"/>
      <c r="H212" s="47" t="n"/>
      <c r="I212" s="47" t="n"/>
      <c r="J212" s="47" t="n"/>
      <c r="K212" s="47" t="n"/>
      <c r="L212" s="48" t="n"/>
      <c r="M212" s="47" t="n"/>
      <c r="N212" s="46" t="n"/>
      <c r="O212" s="49">
        <f>IFERROR(IF(OR(ISBLANK(G212),ISBLANK(I212)),"",ABS(G212-I212)/VLOOKUP(C212,設定!$B$9:$D$23,2,FALSE)),"")</f>
        <v/>
      </c>
      <c r="P212" s="48">
        <f>IFERROR(IF(OR(ISBLANK(F212),ISBLANK(H212),ISBLANK(J212)),"",ABS(J212-F212)/ABS(F212-H212)),"")</f>
        <v/>
      </c>
      <c r="Q212" s="50">
        <f>IFERROR(IF(OR(ISBLANK(M212),ISBLANK(D212),ISBLANK(G212)),"",IF(D212="Long",(M212-G212),(G212-M212))/VLOOKUP(C212,設定!$B$9:$D$23,2,FALSE)),"")</f>
        <v/>
      </c>
      <c r="R212" s="51">
        <f>IFERROR(IF(OR(ISBLANK(Q212),O212=0),"",Q212/O212),"")</f>
        <v/>
      </c>
      <c r="S212" s="51">
        <f>IFERROR(IF(ISBLANK(R212),S211,IF(ISNUMBER(S211),S211,0)+R212),"")</f>
        <v/>
      </c>
      <c r="T212" s="52">
        <f>IFERROR(IF(OR(ISBLANK(Q212),ISBLANK(L212)),"",Q212*L212*VLOOKUP(C212,設定!$B$9:$D$23,3,FALSE)),"")</f>
        <v/>
      </c>
      <c r="U212" s="46" t="n"/>
      <c r="V212" s="46" t="n"/>
    </row>
    <row r="213">
      <c r="A213" s="53">
        <f>IF(ISBLANK(B213),"",COUNTA($B$18:B213))</f>
        <v/>
      </c>
      <c r="B213" s="54" t="n"/>
      <c r="C213" s="55" t="n"/>
      <c r="D213" s="55" t="n"/>
      <c r="E213" s="53" t="n"/>
      <c r="F213" s="56" t="n"/>
      <c r="G213" s="56" t="n"/>
      <c r="H213" s="56" t="n"/>
      <c r="I213" s="56" t="n"/>
      <c r="J213" s="56" t="n"/>
      <c r="K213" s="56" t="n"/>
      <c r="L213" s="57" t="n"/>
      <c r="M213" s="56" t="n"/>
      <c r="N213" s="55" t="n"/>
      <c r="O213" s="58">
        <f>IFERROR(IF(OR(ISBLANK(G213),ISBLANK(I213)),"",ABS(G213-I213)/VLOOKUP(C213,設定!$B$9:$D$23,2,FALSE)),"")</f>
        <v/>
      </c>
      <c r="P213" s="57">
        <f>IFERROR(IF(OR(ISBLANK(F213),ISBLANK(H213),ISBLANK(J213)),"",ABS(J213-F213)/ABS(F213-H213)),"")</f>
        <v/>
      </c>
      <c r="Q213" s="59">
        <f>IFERROR(IF(OR(ISBLANK(M213),ISBLANK(D213),ISBLANK(G213)),"",IF(D213="Long",(M213-G213),(G213-M213))/VLOOKUP(C213,設定!$B$9:$D$23,2,FALSE)),"")</f>
        <v/>
      </c>
      <c r="R213" s="60">
        <f>IFERROR(IF(OR(ISBLANK(Q213),O213=0),"",Q213/O213),"")</f>
        <v/>
      </c>
      <c r="S213" s="60">
        <f>IFERROR(IF(ISBLANK(R213),S212,IF(ISNUMBER(S212),S212,0)+R213),"")</f>
        <v/>
      </c>
      <c r="T213" s="61">
        <f>IFERROR(IF(OR(ISBLANK(Q213),ISBLANK(L213)),"",Q213*L213*VLOOKUP(C213,設定!$B$9:$D$23,3,FALSE)),"")</f>
        <v/>
      </c>
      <c r="U213" s="55" t="n"/>
      <c r="V213" s="55" t="n"/>
    </row>
    <row r="214">
      <c r="A214" s="44">
        <f>IF(ISBLANK(B214),"",COUNTA($B$18:B214))</f>
        <v/>
      </c>
      <c r="B214" s="45" t="n"/>
      <c r="C214" s="46" t="n"/>
      <c r="D214" s="46" t="n"/>
      <c r="E214" s="44" t="n"/>
      <c r="F214" s="47" t="n"/>
      <c r="G214" s="47" t="n"/>
      <c r="H214" s="47" t="n"/>
      <c r="I214" s="47" t="n"/>
      <c r="J214" s="47" t="n"/>
      <c r="K214" s="47" t="n"/>
      <c r="L214" s="48" t="n"/>
      <c r="M214" s="47" t="n"/>
      <c r="N214" s="46" t="n"/>
      <c r="O214" s="49">
        <f>IFERROR(IF(OR(ISBLANK(G214),ISBLANK(I214)),"",ABS(G214-I214)/VLOOKUP(C214,設定!$B$9:$D$23,2,FALSE)),"")</f>
        <v/>
      </c>
      <c r="P214" s="48">
        <f>IFERROR(IF(OR(ISBLANK(F214),ISBLANK(H214),ISBLANK(J214)),"",ABS(J214-F214)/ABS(F214-H214)),"")</f>
        <v/>
      </c>
      <c r="Q214" s="50">
        <f>IFERROR(IF(OR(ISBLANK(M214),ISBLANK(D214),ISBLANK(G214)),"",IF(D214="Long",(M214-G214),(G214-M214))/VLOOKUP(C214,設定!$B$9:$D$23,2,FALSE)),"")</f>
        <v/>
      </c>
      <c r="R214" s="51">
        <f>IFERROR(IF(OR(ISBLANK(Q214),O214=0),"",Q214/O214),"")</f>
        <v/>
      </c>
      <c r="S214" s="51">
        <f>IFERROR(IF(ISBLANK(R214),S213,IF(ISNUMBER(S213),S213,0)+R214),"")</f>
        <v/>
      </c>
      <c r="T214" s="52">
        <f>IFERROR(IF(OR(ISBLANK(Q214),ISBLANK(L214)),"",Q214*L214*VLOOKUP(C214,設定!$B$9:$D$23,3,FALSE)),"")</f>
        <v/>
      </c>
      <c r="U214" s="46" t="n"/>
      <c r="V214" s="46" t="n"/>
    </row>
    <row r="215">
      <c r="A215" s="53">
        <f>IF(ISBLANK(B215),"",COUNTA($B$18:B215))</f>
        <v/>
      </c>
      <c r="B215" s="54" t="n"/>
      <c r="C215" s="55" t="n"/>
      <c r="D215" s="55" t="n"/>
      <c r="E215" s="53" t="n"/>
      <c r="F215" s="56" t="n"/>
      <c r="G215" s="56" t="n"/>
      <c r="H215" s="56" t="n"/>
      <c r="I215" s="56" t="n"/>
      <c r="J215" s="56" t="n"/>
      <c r="K215" s="56" t="n"/>
      <c r="L215" s="57" t="n"/>
      <c r="M215" s="56" t="n"/>
      <c r="N215" s="55" t="n"/>
      <c r="O215" s="58">
        <f>IFERROR(IF(OR(ISBLANK(G215),ISBLANK(I215)),"",ABS(G215-I215)/VLOOKUP(C215,設定!$B$9:$D$23,2,FALSE)),"")</f>
        <v/>
      </c>
      <c r="P215" s="57">
        <f>IFERROR(IF(OR(ISBLANK(F215),ISBLANK(H215),ISBLANK(J215)),"",ABS(J215-F215)/ABS(F215-H215)),"")</f>
        <v/>
      </c>
      <c r="Q215" s="59">
        <f>IFERROR(IF(OR(ISBLANK(M215),ISBLANK(D215),ISBLANK(G215)),"",IF(D215="Long",(M215-G215),(G215-M215))/VLOOKUP(C215,設定!$B$9:$D$23,2,FALSE)),"")</f>
        <v/>
      </c>
      <c r="R215" s="60">
        <f>IFERROR(IF(OR(ISBLANK(Q215),O215=0),"",Q215/O215),"")</f>
        <v/>
      </c>
      <c r="S215" s="60">
        <f>IFERROR(IF(ISBLANK(R215),S214,IF(ISNUMBER(S214),S214,0)+R215),"")</f>
        <v/>
      </c>
      <c r="T215" s="61">
        <f>IFERROR(IF(OR(ISBLANK(Q215),ISBLANK(L215)),"",Q215*L215*VLOOKUP(C215,設定!$B$9:$D$23,3,FALSE)),"")</f>
        <v/>
      </c>
      <c r="U215" s="55" t="n"/>
      <c r="V215" s="55" t="n"/>
    </row>
    <row r="216">
      <c r="A216" s="44">
        <f>IF(ISBLANK(B216),"",COUNTA($B$18:B216))</f>
        <v/>
      </c>
      <c r="B216" s="45" t="n"/>
      <c r="C216" s="46" t="n"/>
      <c r="D216" s="46" t="n"/>
      <c r="E216" s="44" t="n"/>
      <c r="F216" s="47" t="n"/>
      <c r="G216" s="47" t="n"/>
      <c r="H216" s="47" t="n"/>
      <c r="I216" s="47" t="n"/>
      <c r="J216" s="47" t="n"/>
      <c r="K216" s="47" t="n"/>
      <c r="L216" s="48" t="n"/>
      <c r="M216" s="47" t="n"/>
      <c r="N216" s="46" t="n"/>
      <c r="O216" s="49">
        <f>IFERROR(IF(OR(ISBLANK(G216),ISBLANK(I216)),"",ABS(G216-I216)/VLOOKUP(C216,設定!$B$9:$D$23,2,FALSE)),"")</f>
        <v/>
      </c>
      <c r="P216" s="48">
        <f>IFERROR(IF(OR(ISBLANK(F216),ISBLANK(H216),ISBLANK(J216)),"",ABS(J216-F216)/ABS(F216-H216)),"")</f>
        <v/>
      </c>
      <c r="Q216" s="50">
        <f>IFERROR(IF(OR(ISBLANK(M216),ISBLANK(D216),ISBLANK(G216)),"",IF(D216="Long",(M216-G216),(G216-M216))/VLOOKUP(C216,設定!$B$9:$D$23,2,FALSE)),"")</f>
        <v/>
      </c>
      <c r="R216" s="51">
        <f>IFERROR(IF(OR(ISBLANK(Q216),O216=0),"",Q216/O216),"")</f>
        <v/>
      </c>
      <c r="S216" s="51">
        <f>IFERROR(IF(ISBLANK(R216),S215,IF(ISNUMBER(S215),S215,0)+R216),"")</f>
        <v/>
      </c>
      <c r="T216" s="52">
        <f>IFERROR(IF(OR(ISBLANK(Q216),ISBLANK(L216)),"",Q216*L216*VLOOKUP(C216,設定!$B$9:$D$23,3,FALSE)),"")</f>
        <v/>
      </c>
      <c r="U216" s="46" t="n"/>
      <c r="V216" s="46" t="n"/>
    </row>
    <row r="217">
      <c r="A217" s="53">
        <f>IF(ISBLANK(B217),"",COUNTA($B$18:B217))</f>
        <v/>
      </c>
      <c r="B217" s="54" t="n"/>
      <c r="C217" s="55" t="n"/>
      <c r="D217" s="55" t="n"/>
      <c r="E217" s="53" t="n"/>
      <c r="F217" s="56" t="n"/>
      <c r="G217" s="56" t="n"/>
      <c r="H217" s="56" t="n"/>
      <c r="I217" s="56" t="n"/>
      <c r="J217" s="56" t="n"/>
      <c r="K217" s="56" t="n"/>
      <c r="L217" s="57" t="n"/>
      <c r="M217" s="56" t="n"/>
      <c r="N217" s="55" t="n"/>
      <c r="O217" s="58">
        <f>IFERROR(IF(OR(ISBLANK(G217),ISBLANK(I217)),"",ABS(G217-I217)/VLOOKUP(C217,設定!$B$9:$D$23,2,FALSE)),"")</f>
        <v/>
      </c>
      <c r="P217" s="57">
        <f>IFERROR(IF(OR(ISBLANK(F217),ISBLANK(H217),ISBLANK(J217)),"",ABS(J217-F217)/ABS(F217-H217)),"")</f>
        <v/>
      </c>
      <c r="Q217" s="59">
        <f>IFERROR(IF(OR(ISBLANK(M217),ISBLANK(D217),ISBLANK(G217)),"",IF(D217="Long",(M217-G217),(G217-M217))/VLOOKUP(C217,設定!$B$9:$D$23,2,FALSE)),"")</f>
        <v/>
      </c>
      <c r="R217" s="60">
        <f>IFERROR(IF(OR(ISBLANK(Q217),O217=0),"",Q217/O217),"")</f>
        <v/>
      </c>
      <c r="S217" s="60">
        <f>IFERROR(IF(ISBLANK(R217),S216,IF(ISNUMBER(S216),S216,0)+R217),"")</f>
        <v/>
      </c>
      <c r="T217" s="61">
        <f>IFERROR(IF(OR(ISBLANK(Q217),ISBLANK(L217)),"",Q217*L217*VLOOKUP(C217,設定!$B$9:$D$23,3,FALSE)),"")</f>
        <v/>
      </c>
      <c r="U217" s="55" t="n"/>
      <c r="V217" s="55" t="n"/>
    </row>
  </sheetData>
  <mergeCells count="6">
    <mergeCell ref="A2:V2"/>
    <mergeCell ref="I3:V3"/>
    <mergeCell ref="E3:H3"/>
    <mergeCell ref="B3:C3"/>
    <mergeCell ref="A1:V1"/>
    <mergeCell ref="I4:V15"/>
  </mergeCells>
  <conditionalFormatting sqref="R18:R2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18:N217">
    <cfRule type="expression" priority="3" dxfId="0">
      <formula>$N18="TP"</formula>
    </cfRule>
    <cfRule type="expression" priority="4" dxfId="1">
      <formula>$N18="SL"</formula>
    </cfRule>
  </conditionalFormatting>
  <conditionalFormatting sqref="U18:U217">
    <cfRule type="expression" priority="5" dxfId="4">
      <formula>$U18="S"</formula>
    </cfRule>
    <cfRule type="expression" priority="6" dxfId="0">
      <formula>$U18="A"</formula>
    </cfRule>
    <cfRule type="expression" priority="7" dxfId="1">
      <formula>$U18="D"</formula>
    </cfRule>
  </conditionalFormatting>
  <dataValidations count="4">
    <dataValidation sqref="C18:C217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18:D217" showDropDown="0" showInputMessage="0" showErrorMessage="0" allowBlank="1" type="list">
      <formula1>"Long,Short"</formula1>
    </dataValidation>
    <dataValidation sqref="N18:N217" showDropDown="0" showInputMessage="0" showErrorMessage="0" allowBlank="1" type="list">
      <formula1>"TP,SL,手動,強制,建値撤退"</formula1>
    </dataValidation>
    <dataValidation sqref="U18:U21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7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11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35" customWidth="1" min="22" max="22"/>
  </cols>
  <sheetData>
    <row r="1" ht="36" customHeight="1">
      <c r="A1" s="71" t="inlineStr">
        <is>
          <t>CLAUDE  ·  手動トレード履歴</t>
        </is>
      </c>
    </row>
    <row r="2" ht="32" customHeight="1">
      <c r="A2" s="72" t="inlineStr">
        <is>
          <t>HTF バイアス / 4H モメンタム / 15M ATR 収縮 / 20EMA プルバック / RSI 再奪取 / Donchian ブレイクの 6 エッジ合流。</t>
        </is>
      </c>
    </row>
    <row r="3">
      <c r="B3" s="4" t="inlineStr">
        <is>
          <t>📊 集計サマリ</t>
        </is>
      </c>
      <c r="C3" s="28" t="n"/>
      <c r="E3" s="4" t="inlineStr">
        <is>
          <t>🏅 トレード評価分布</t>
        </is>
      </c>
      <c r="I3" s="4" t="inlineStr">
        <is>
          <t>📝 CLAUDE で学んだこと · 観察メモ</t>
        </is>
      </c>
    </row>
    <row r="4">
      <c r="B4" s="10" t="inlineStr">
        <is>
          <t>件数</t>
        </is>
      </c>
      <c r="C4" s="29">
        <f>COUNT(R18:R217)</f>
        <v/>
      </c>
      <c r="E4" s="10" t="inlineStr">
        <is>
          <t>S ランク</t>
        </is>
      </c>
      <c r="F4" s="30">
        <f>COUNTIF(U18:U217,"S")</f>
        <v/>
      </c>
      <c r="G4" s="31">
        <f>IFERROR(F4/COUNTA(U18:U217),0)</f>
        <v/>
      </c>
      <c r="H4" s="32" t="inlineStr">
        <is>
          <t>完璧 (計画通り + 理想的展開)</t>
        </is>
      </c>
      <c r="I4" s="73" t="inlineStr">
        <is>
          <t>(ここに CLAUDE で気づいたこと・パターン・反省を自由記述。例:
 ・東京時間の発火は勝率が低い、ロンドン時間に絞ると改善
 ・スコア 80+ のシグナルだけ取ると勝率が劇的に上がる
 ・SL を少しタイトめにすると RR 向上)</t>
        </is>
      </c>
    </row>
    <row r="5">
      <c r="B5" s="10" t="inlineStr">
        <is>
          <t>勝率</t>
        </is>
      </c>
      <c r="C5" s="34">
        <f>IFERROR(COUNTIF(R18:R217,"&gt;0")/COUNT(R18:R217),0)</f>
        <v/>
      </c>
      <c r="E5" s="10" t="inlineStr">
        <is>
          <t>A ランク</t>
        </is>
      </c>
      <c r="F5" s="35">
        <f>COUNTIF(U18:U217,"A")</f>
        <v/>
      </c>
      <c r="G5" s="31">
        <f>IFERROR(F5/COUNTA(U18:U217),0)</f>
        <v/>
      </c>
      <c r="H5" s="32" t="inlineStr">
        <is>
          <t>良い (利益確保)</t>
        </is>
      </c>
    </row>
    <row r="6">
      <c r="B6" s="10" t="inlineStr">
        <is>
          <t>平均 RR (計画)</t>
        </is>
      </c>
      <c r="C6" s="36">
        <f>IFERROR(AVERAGE(P18:P217),0)</f>
        <v/>
      </c>
      <c r="E6" s="10" t="inlineStr">
        <is>
          <t>B ランク</t>
        </is>
      </c>
      <c r="F6" s="37">
        <f>COUNTIF(U18:U217,"B")</f>
        <v/>
      </c>
      <c r="G6" s="31">
        <f>IFERROR(F6/COUNTA(U18:U217),0)</f>
        <v/>
      </c>
      <c r="H6" s="32" t="inlineStr">
        <is>
          <t>普通 (微益微損)</t>
        </is>
      </c>
    </row>
    <row r="7">
      <c r="B7" s="10" t="inlineStr">
        <is>
          <t>PF</t>
        </is>
      </c>
      <c r="C7" s="36">
        <f>IFERROR(SUMIF(R18:R217,"&gt;0")/-SUMIF(R18:R217,"&lt;0"),0)</f>
        <v/>
      </c>
      <c r="E7" s="10" t="inlineStr">
        <is>
          <t>C ランク</t>
        </is>
      </c>
      <c r="F7" s="38">
        <f>COUNTIF(U18:U217,"C")</f>
        <v/>
      </c>
      <c r="G7" s="31">
        <f>IFERROR(F7/COUNTA(U18:U217),0)</f>
        <v/>
      </c>
      <c r="H7" s="32" t="inlineStr">
        <is>
          <t>悪い (損失だが学びあり)</t>
        </is>
      </c>
    </row>
    <row r="8">
      <c r="B8" s="10" t="inlineStr">
        <is>
          <t>期待値 (R)</t>
        </is>
      </c>
      <c r="C8" s="39">
        <f>IFERROR(AVERAGE(R18:R217),0)</f>
        <v/>
      </c>
      <c r="E8" s="10" t="inlineStr">
        <is>
          <t>D ランク</t>
        </is>
      </c>
      <c r="F8" s="40">
        <f>COUNTIF(U18:U217,"D")</f>
        <v/>
      </c>
      <c r="G8" s="31">
        <f>IFERROR(F8/COUNTA(U18:U217),0)</f>
        <v/>
      </c>
      <c r="H8" s="32" t="inlineStr">
        <is>
          <t>失敗 (規律違反含む)</t>
        </is>
      </c>
    </row>
    <row r="9">
      <c r="B9" s="10" t="inlineStr">
        <is>
          <t>累計 R</t>
        </is>
      </c>
      <c r="C9" s="22">
        <f>SUM(R18:R217)</f>
        <v/>
      </c>
    </row>
    <row r="10">
      <c r="B10" s="10" t="inlineStr">
        <is>
          <t>累計損益 ¥</t>
        </is>
      </c>
      <c r="C10" s="23">
        <f>SUM(T18:T217)</f>
        <v/>
      </c>
    </row>
    <row r="11">
      <c r="B11" s="10" t="inlineStr">
        <is>
          <t>最大 DD (R)</t>
        </is>
      </c>
      <c r="C11" s="41">
        <f>IFERROR(MAX(S18:S217)-MIN(S18:S217),0)</f>
        <v/>
      </c>
    </row>
    <row r="12">
      <c r="B12" s="10" t="inlineStr">
        <is>
          <t>勝ち平均 R</t>
        </is>
      </c>
      <c r="C12" s="42">
        <f>IFERROR(AVERAGEIF(R18:R217,"&gt;0"),0)</f>
        <v/>
      </c>
    </row>
    <row r="13">
      <c r="B13" s="10" t="inlineStr">
        <is>
          <t>負け平均 R</t>
        </is>
      </c>
      <c r="C13" s="42">
        <f>IFERROR(AVERAGEIF(R18:R217,"&lt;0"),0)</f>
        <v/>
      </c>
    </row>
    <row r="14">
      <c r="B14" s="10" t="inlineStr">
        <is>
          <t>評価 S 件数</t>
        </is>
      </c>
      <c r="C14" s="29">
        <f>COUNTIF(U18:U217,"S")</f>
        <v/>
      </c>
    </row>
    <row r="15">
      <c r="B15" s="10" t="inlineStr">
        <is>
          <t>評価 D 件数</t>
        </is>
      </c>
      <c r="C15" s="29">
        <f>COUNTIF(U18:U217,"D")</f>
        <v/>
      </c>
    </row>
    <row r="17" ht="28" customHeight="1">
      <c r="A17" s="43" t="inlineStr">
        <is>
          <t>#</t>
        </is>
      </c>
      <c r="B17" s="43" t="inlineStr">
        <is>
          <t>日付</t>
        </is>
      </c>
      <c r="C17" s="43" t="inlineStr">
        <is>
          <t>通貨ペア</t>
        </is>
      </c>
      <c r="D17" s="43" t="inlineStr">
        <is>
          <t>方向</t>
        </is>
      </c>
      <c r="E17" s="43" t="inlineStr">
        <is>
          <t>スコア</t>
        </is>
      </c>
      <c r="F17" s="43" t="inlineStr">
        <is>
          <t>計画Entry</t>
        </is>
      </c>
      <c r="G17" s="43" t="inlineStr">
        <is>
          <t>実Entry</t>
        </is>
      </c>
      <c r="H17" s="43" t="inlineStr">
        <is>
          <t>計画SL</t>
        </is>
      </c>
      <c r="I17" s="43" t="inlineStr">
        <is>
          <t>実SL</t>
        </is>
      </c>
      <c r="J17" s="43" t="inlineStr">
        <is>
          <t>計画TP</t>
        </is>
      </c>
      <c r="K17" s="43" t="inlineStr">
        <is>
          <t>実TP</t>
        </is>
      </c>
      <c r="L17" s="43" t="inlineStr">
        <is>
          <t>ロット</t>
        </is>
      </c>
      <c r="M17" s="43" t="inlineStr">
        <is>
          <t>決済価格</t>
        </is>
      </c>
      <c r="N17" s="43" t="inlineStr">
        <is>
          <t>決済理由</t>
        </is>
      </c>
      <c r="O17" s="43" t="inlineStr">
        <is>
          <t>実SL pips</t>
        </is>
      </c>
      <c r="P17" s="43" t="inlineStr">
        <is>
          <t>計画RR</t>
        </is>
      </c>
      <c r="Q17" s="43" t="inlineStr">
        <is>
          <t>損益 pips</t>
        </is>
      </c>
      <c r="R17" s="43" t="inlineStr">
        <is>
          <t>R-mult</t>
        </is>
      </c>
      <c r="S17" s="43" t="inlineStr">
        <is>
          <t>累計R</t>
        </is>
      </c>
      <c r="T17" s="43" t="inlineStr">
        <is>
          <t>損益 ¥</t>
        </is>
      </c>
      <c r="U17" s="43" t="inlineStr">
        <is>
          <t>評価</t>
        </is>
      </c>
      <c r="V17" s="43" t="inlineStr">
        <is>
          <t>学び / 反省</t>
        </is>
      </c>
    </row>
    <row r="18">
      <c r="A18" s="44">
        <f>IF(ISBLANK(B18),"",COUNTA($B$18:B18))</f>
        <v/>
      </c>
      <c r="B18" s="45" t="n"/>
      <c r="C18" s="46" t="n"/>
      <c r="D18" s="46" t="n"/>
      <c r="E18" s="44" t="n"/>
      <c r="F18" s="47" t="n"/>
      <c r="G18" s="47" t="n"/>
      <c r="H18" s="47" t="n"/>
      <c r="I18" s="47" t="n"/>
      <c r="J18" s="47" t="n"/>
      <c r="K18" s="47" t="n"/>
      <c r="L18" s="48" t="n"/>
      <c r="M18" s="47" t="n"/>
      <c r="N18" s="46" t="n"/>
      <c r="O18" s="49">
        <f>IFERROR(IF(OR(ISBLANK(G18),ISBLANK(I18)),"",ABS(G18-I18)/VLOOKUP(C18,設定!$B$9:$D$23,2,FALSE)),"")</f>
        <v/>
      </c>
      <c r="P18" s="48">
        <f>IFERROR(IF(OR(ISBLANK(F18),ISBLANK(H18),ISBLANK(J18)),"",ABS(J18-F18)/ABS(F18-H18)),"")</f>
        <v/>
      </c>
      <c r="Q18" s="50">
        <f>IFERROR(IF(OR(ISBLANK(M18),ISBLANK(D18),ISBLANK(G18)),"",IF(D18="Long",(M18-G18),(G18-M18))/VLOOKUP(C18,設定!$B$9:$D$23,2,FALSE)),"")</f>
        <v/>
      </c>
      <c r="R18" s="51">
        <f>IFERROR(IF(OR(ISBLANK(Q18),O18=0),"",Q18/O18),"")</f>
        <v/>
      </c>
      <c r="S18" s="51">
        <f>IFERROR(IF(ISBLANK(R18),"",R18),"")</f>
        <v/>
      </c>
      <c r="T18" s="52">
        <f>IFERROR(IF(OR(ISBLANK(Q18),ISBLANK(L18)),"",Q18*L18*VLOOKUP(C18,設定!$B$9:$D$23,3,FALSE)),"")</f>
        <v/>
      </c>
      <c r="U18" s="46" t="n"/>
      <c r="V18" s="46" t="n"/>
    </row>
    <row r="19">
      <c r="A19" s="53">
        <f>IF(ISBLANK(B19),"",COUNTA($B$18:B19))</f>
        <v/>
      </c>
      <c r="B19" s="54" t="n"/>
      <c r="C19" s="55" t="n"/>
      <c r="D19" s="55" t="n"/>
      <c r="E19" s="53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5" t="n"/>
      <c r="O19" s="58">
        <f>IFERROR(IF(OR(ISBLANK(G19),ISBLANK(I19)),"",ABS(G19-I19)/VLOOKUP(C19,設定!$B$9:$D$23,2,FALSE)),"")</f>
        <v/>
      </c>
      <c r="P19" s="57">
        <f>IFERROR(IF(OR(ISBLANK(F19),ISBLANK(H19),ISBLANK(J19)),"",ABS(J19-F19)/ABS(F19-H19)),"")</f>
        <v/>
      </c>
      <c r="Q19" s="59">
        <f>IFERROR(IF(OR(ISBLANK(M19),ISBLANK(D19),ISBLANK(G19)),"",IF(D19="Long",(M19-G19),(G19-M19))/VLOOKUP(C19,設定!$B$9:$D$23,2,FALSE)),"")</f>
        <v/>
      </c>
      <c r="R19" s="60">
        <f>IFERROR(IF(OR(ISBLANK(Q19),O19=0),"",Q19/O19),"")</f>
        <v/>
      </c>
      <c r="S19" s="60">
        <f>IFERROR(IF(ISBLANK(R19),S18,IF(ISNUMBER(S18),S18,0)+R19),"")</f>
        <v/>
      </c>
      <c r="T19" s="61">
        <f>IFERROR(IF(OR(ISBLANK(Q19),ISBLANK(L19)),"",Q19*L19*VLOOKUP(C19,設定!$B$9:$D$23,3,FALSE)),"")</f>
        <v/>
      </c>
      <c r="U19" s="55" t="n"/>
      <c r="V19" s="55" t="n"/>
    </row>
    <row r="20">
      <c r="A20" s="44">
        <f>IF(ISBLANK(B20),"",COUNTA($B$18:B20))</f>
        <v/>
      </c>
      <c r="B20" s="45" t="n"/>
      <c r="C20" s="46" t="n"/>
      <c r="D20" s="46" t="n"/>
      <c r="E20" s="44" t="n"/>
      <c r="F20" s="47" t="n"/>
      <c r="G20" s="47" t="n"/>
      <c r="H20" s="47" t="n"/>
      <c r="I20" s="47" t="n"/>
      <c r="J20" s="47" t="n"/>
      <c r="K20" s="47" t="n"/>
      <c r="L20" s="48" t="n"/>
      <c r="M20" s="47" t="n"/>
      <c r="N20" s="46" t="n"/>
      <c r="O20" s="49">
        <f>IFERROR(IF(OR(ISBLANK(G20),ISBLANK(I20)),"",ABS(G20-I20)/VLOOKUP(C20,設定!$B$9:$D$23,2,FALSE)),"")</f>
        <v/>
      </c>
      <c r="P20" s="48">
        <f>IFERROR(IF(OR(ISBLANK(F20),ISBLANK(H20),ISBLANK(J20)),"",ABS(J20-F20)/ABS(F20-H20)),"")</f>
        <v/>
      </c>
      <c r="Q20" s="50">
        <f>IFERROR(IF(OR(ISBLANK(M20),ISBLANK(D20),ISBLANK(G20)),"",IF(D20="Long",(M20-G20),(G20-M20))/VLOOKUP(C20,設定!$B$9:$D$23,2,FALSE)),"")</f>
        <v/>
      </c>
      <c r="R20" s="51">
        <f>IFERROR(IF(OR(ISBLANK(Q20),O20=0),"",Q20/O20),"")</f>
        <v/>
      </c>
      <c r="S20" s="51">
        <f>IFERROR(IF(ISBLANK(R20),S19,IF(ISNUMBER(S19),S19,0)+R20),"")</f>
        <v/>
      </c>
      <c r="T20" s="52">
        <f>IFERROR(IF(OR(ISBLANK(Q20),ISBLANK(L20)),"",Q20*L20*VLOOKUP(C20,設定!$B$9:$D$23,3,FALSE)),"")</f>
        <v/>
      </c>
      <c r="U20" s="46" t="n"/>
      <c r="V20" s="46" t="n"/>
    </row>
    <row r="21">
      <c r="A21" s="53">
        <f>IF(ISBLANK(B21),"",COUNTA($B$18:B21))</f>
        <v/>
      </c>
      <c r="B21" s="54" t="n"/>
      <c r="C21" s="55" t="n"/>
      <c r="D21" s="55" t="n"/>
      <c r="E21" s="53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5" t="n"/>
      <c r="O21" s="58">
        <f>IFERROR(IF(OR(ISBLANK(G21),ISBLANK(I21)),"",ABS(G21-I21)/VLOOKUP(C21,設定!$B$9:$D$23,2,FALSE)),"")</f>
        <v/>
      </c>
      <c r="P21" s="57">
        <f>IFERROR(IF(OR(ISBLANK(F21),ISBLANK(H21),ISBLANK(J21)),"",ABS(J21-F21)/ABS(F21-H21)),"")</f>
        <v/>
      </c>
      <c r="Q21" s="59">
        <f>IFERROR(IF(OR(ISBLANK(M21),ISBLANK(D21),ISBLANK(G21)),"",IF(D21="Long",(M21-G21),(G21-M21))/VLOOKUP(C21,設定!$B$9:$D$23,2,FALSE)),"")</f>
        <v/>
      </c>
      <c r="R21" s="60">
        <f>IFERROR(IF(OR(ISBLANK(Q21),O21=0),"",Q21/O21),"")</f>
        <v/>
      </c>
      <c r="S21" s="60">
        <f>IFERROR(IF(ISBLANK(R21),S20,IF(ISNUMBER(S20),S20,0)+R21),"")</f>
        <v/>
      </c>
      <c r="T21" s="61">
        <f>IFERROR(IF(OR(ISBLANK(Q21),ISBLANK(L21)),"",Q21*L21*VLOOKUP(C21,設定!$B$9:$D$23,3,FALSE)),"")</f>
        <v/>
      </c>
      <c r="U21" s="55" t="n"/>
      <c r="V21" s="55" t="n"/>
    </row>
    <row r="22">
      <c r="A22" s="44">
        <f>IF(ISBLANK(B22),"",COUNTA($B$18:B22))</f>
        <v/>
      </c>
      <c r="B22" s="45" t="n"/>
      <c r="C22" s="46" t="n"/>
      <c r="D22" s="46" t="n"/>
      <c r="E22" s="44" t="n"/>
      <c r="F22" s="47" t="n"/>
      <c r="G22" s="47" t="n"/>
      <c r="H22" s="47" t="n"/>
      <c r="I22" s="47" t="n"/>
      <c r="J22" s="47" t="n"/>
      <c r="K22" s="47" t="n"/>
      <c r="L22" s="48" t="n"/>
      <c r="M22" s="47" t="n"/>
      <c r="N22" s="46" t="n"/>
      <c r="O22" s="49">
        <f>IFERROR(IF(OR(ISBLANK(G22),ISBLANK(I22)),"",ABS(G22-I22)/VLOOKUP(C22,設定!$B$9:$D$23,2,FALSE)),"")</f>
        <v/>
      </c>
      <c r="P22" s="48">
        <f>IFERROR(IF(OR(ISBLANK(F22),ISBLANK(H22),ISBLANK(J22)),"",ABS(J22-F22)/ABS(F22-H22)),"")</f>
        <v/>
      </c>
      <c r="Q22" s="50">
        <f>IFERROR(IF(OR(ISBLANK(M22),ISBLANK(D22),ISBLANK(G22)),"",IF(D22="Long",(M22-G22),(G22-M22))/VLOOKUP(C22,設定!$B$9:$D$23,2,FALSE)),"")</f>
        <v/>
      </c>
      <c r="R22" s="51">
        <f>IFERROR(IF(OR(ISBLANK(Q22),O22=0),"",Q22/O22),"")</f>
        <v/>
      </c>
      <c r="S22" s="51">
        <f>IFERROR(IF(ISBLANK(R22),S21,IF(ISNUMBER(S21),S21,0)+R22),"")</f>
        <v/>
      </c>
      <c r="T22" s="52">
        <f>IFERROR(IF(OR(ISBLANK(Q22),ISBLANK(L22)),"",Q22*L22*VLOOKUP(C22,設定!$B$9:$D$23,3,FALSE)),"")</f>
        <v/>
      </c>
      <c r="U22" s="46" t="n"/>
      <c r="V22" s="46" t="n"/>
    </row>
    <row r="23">
      <c r="A23" s="53">
        <f>IF(ISBLANK(B23),"",COUNTA($B$18:B23))</f>
        <v/>
      </c>
      <c r="B23" s="54" t="n"/>
      <c r="C23" s="55" t="n"/>
      <c r="D23" s="55" t="n"/>
      <c r="E23" s="53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5" t="n"/>
      <c r="O23" s="58">
        <f>IFERROR(IF(OR(ISBLANK(G23),ISBLANK(I23)),"",ABS(G23-I23)/VLOOKUP(C23,設定!$B$9:$D$23,2,FALSE)),"")</f>
        <v/>
      </c>
      <c r="P23" s="57">
        <f>IFERROR(IF(OR(ISBLANK(F23),ISBLANK(H23),ISBLANK(J23)),"",ABS(J23-F23)/ABS(F23-H23)),"")</f>
        <v/>
      </c>
      <c r="Q23" s="59">
        <f>IFERROR(IF(OR(ISBLANK(M23),ISBLANK(D23),ISBLANK(G23)),"",IF(D23="Long",(M23-G23),(G23-M23))/VLOOKUP(C23,設定!$B$9:$D$23,2,FALSE)),"")</f>
        <v/>
      </c>
      <c r="R23" s="60">
        <f>IFERROR(IF(OR(ISBLANK(Q23),O23=0),"",Q23/O23),"")</f>
        <v/>
      </c>
      <c r="S23" s="60">
        <f>IFERROR(IF(ISBLANK(R23),S22,IF(ISNUMBER(S22),S22,0)+R23),"")</f>
        <v/>
      </c>
      <c r="T23" s="61">
        <f>IFERROR(IF(OR(ISBLANK(Q23),ISBLANK(L23)),"",Q23*L23*VLOOKUP(C23,設定!$B$9:$D$23,3,FALSE)),"")</f>
        <v/>
      </c>
      <c r="U23" s="55" t="n"/>
      <c r="V23" s="55" t="n"/>
    </row>
    <row r="24">
      <c r="A24" s="44">
        <f>IF(ISBLANK(B24),"",COUNTA($B$18:B24))</f>
        <v/>
      </c>
      <c r="B24" s="45" t="n"/>
      <c r="C24" s="46" t="n"/>
      <c r="D24" s="46" t="n"/>
      <c r="E24" s="44" t="n"/>
      <c r="F24" s="47" t="n"/>
      <c r="G24" s="47" t="n"/>
      <c r="H24" s="47" t="n"/>
      <c r="I24" s="47" t="n"/>
      <c r="J24" s="47" t="n"/>
      <c r="K24" s="47" t="n"/>
      <c r="L24" s="48" t="n"/>
      <c r="M24" s="47" t="n"/>
      <c r="N24" s="46" t="n"/>
      <c r="O24" s="49">
        <f>IFERROR(IF(OR(ISBLANK(G24),ISBLANK(I24)),"",ABS(G24-I24)/VLOOKUP(C24,設定!$B$9:$D$23,2,FALSE)),"")</f>
        <v/>
      </c>
      <c r="P24" s="48">
        <f>IFERROR(IF(OR(ISBLANK(F24),ISBLANK(H24),ISBLANK(J24)),"",ABS(J24-F24)/ABS(F24-H24)),"")</f>
        <v/>
      </c>
      <c r="Q24" s="50">
        <f>IFERROR(IF(OR(ISBLANK(M24),ISBLANK(D24),ISBLANK(G24)),"",IF(D24="Long",(M24-G24),(G24-M24))/VLOOKUP(C24,設定!$B$9:$D$23,2,FALSE)),"")</f>
        <v/>
      </c>
      <c r="R24" s="51">
        <f>IFERROR(IF(OR(ISBLANK(Q24),O24=0),"",Q24/O24),"")</f>
        <v/>
      </c>
      <c r="S24" s="51">
        <f>IFERROR(IF(ISBLANK(R24),S23,IF(ISNUMBER(S23),S23,0)+R24),"")</f>
        <v/>
      </c>
      <c r="T24" s="52">
        <f>IFERROR(IF(OR(ISBLANK(Q24),ISBLANK(L24)),"",Q24*L24*VLOOKUP(C24,設定!$B$9:$D$23,3,FALSE)),"")</f>
        <v/>
      </c>
      <c r="U24" s="46" t="n"/>
      <c r="V24" s="46" t="n"/>
    </row>
    <row r="25">
      <c r="A25" s="53">
        <f>IF(ISBLANK(B25),"",COUNTA($B$18:B25))</f>
        <v/>
      </c>
      <c r="B25" s="54" t="n"/>
      <c r="C25" s="55" t="n"/>
      <c r="D25" s="55" t="n"/>
      <c r="E25" s="53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5" t="n"/>
      <c r="O25" s="58">
        <f>IFERROR(IF(OR(ISBLANK(G25),ISBLANK(I25)),"",ABS(G25-I25)/VLOOKUP(C25,設定!$B$9:$D$23,2,FALSE)),"")</f>
        <v/>
      </c>
      <c r="P25" s="57">
        <f>IFERROR(IF(OR(ISBLANK(F25),ISBLANK(H25),ISBLANK(J25)),"",ABS(J25-F25)/ABS(F25-H25)),"")</f>
        <v/>
      </c>
      <c r="Q25" s="59">
        <f>IFERROR(IF(OR(ISBLANK(M25),ISBLANK(D25),ISBLANK(G25)),"",IF(D25="Long",(M25-G25),(G25-M25))/VLOOKUP(C25,設定!$B$9:$D$23,2,FALSE)),"")</f>
        <v/>
      </c>
      <c r="R25" s="60">
        <f>IFERROR(IF(OR(ISBLANK(Q25),O25=0),"",Q25/O25),"")</f>
        <v/>
      </c>
      <c r="S25" s="60">
        <f>IFERROR(IF(ISBLANK(R25),S24,IF(ISNUMBER(S24),S24,0)+R25),"")</f>
        <v/>
      </c>
      <c r="T25" s="61">
        <f>IFERROR(IF(OR(ISBLANK(Q25),ISBLANK(L25)),"",Q25*L25*VLOOKUP(C25,設定!$B$9:$D$23,3,FALSE)),"")</f>
        <v/>
      </c>
      <c r="U25" s="55" t="n"/>
      <c r="V25" s="55" t="n"/>
    </row>
    <row r="26">
      <c r="A26" s="44">
        <f>IF(ISBLANK(B26),"",COUNTA($B$18:B26))</f>
        <v/>
      </c>
      <c r="B26" s="45" t="n"/>
      <c r="C26" s="46" t="n"/>
      <c r="D26" s="46" t="n"/>
      <c r="E26" s="44" t="n"/>
      <c r="F26" s="47" t="n"/>
      <c r="G26" s="47" t="n"/>
      <c r="H26" s="47" t="n"/>
      <c r="I26" s="47" t="n"/>
      <c r="J26" s="47" t="n"/>
      <c r="K26" s="47" t="n"/>
      <c r="L26" s="48" t="n"/>
      <c r="M26" s="47" t="n"/>
      <c r="N26" s="46" t="n"/>
      <c r="O26" s="49">
        <f>IFERROR(IF(OR(ISBLANK(G26),ISBLANK(I26)),"",ABS(G26-I26)/VLOOKUP(C26,設定!$B$9:$D$23,2,FALSE)),"")</f>
        <v/>
      </c>
      <c r="P26" s="48">
        <f>IFERROR(IF(OR(ISBLANK(F26),ISBLANK(H26),ISBLANK(J26)),"",ABS(J26-F26)/ABS(F26-H26)),"")</f>
        <v/>
      </c>
      <c r="Q26" s="50">
        <f>IFERROR(IF(OR(ISBLANK(M26),ISBLANK(D26),ISBLANK(G26)),"",IF(D26="Long",(M26-G26),(G26-M26))/VLOOKUP(C26,設定!$B$9:$D$23,2,FALSE)),"")</f>
        <v/>
      </c>
      <c r="R26" s="51">
        <f>IFERROR(IF(OR(ISBLANK(Q26),O26=0),"",Q26/O26),"")</f>
        <v/>
      </c>
      <c r="S26" s="51">
        <f>IFERROR(IF(ISBLANK(R26),S25,IF(ISNUMBER(S25),S25,0)+R26),"")</f>
        <v/>
      </c>
      <c r="T26" s="52">
        <f>IFERROR(IF(OR(ISBLANK(Q26),ISBLANK(L26)),"",Q26*L26*VLOOKUP(C26,設定!$B$9:$D$23,3,FALSE)),"")</f>
        <v/>
      </c>
      <c r="U26" s="46" t="n"/>
      <c r="V26" s="46" t="n"/>
    </row>
    <row r="27">
      <c r="A27" s="53">
        <f>IF(ISBLANK(B27),"",COUNTA($B$18:B27))</f>
        <v/>
      </c>
      <c r="B27" s="54" t="n"/>
      <c r="C27" s="55" t="n"/>
      <c r="D27" s="55" t="n"/>
      <c r="E27" s="53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5" t="n"/>
      <c r="O27" s="58">
        <f>IFERROR(IF(OR(ISBLANK(G27),ISBLANK(I27)),"",ABS(G27-I27)/VLOOKUP(C27,設定!$B$9:$D$23,2,FALSE)),"")</f>
        <v/>
      </c>
      <c r="P27" s="57">
        <f>IFERROR(IF(OR(ISBLANK(F27),ISBLANK(H27),ISBLANK(J27)),"",ABS(J27-F27)/ABS(F27-H27)),"")</f>
        <v/>
      </c>
      <c r="Q27" s="59">
        <f>IFERROR(IF(OR(ISBLANK(M27),ISBLANK(D27),ISBLANK(G27)),"",IF(D27="Long",(M27-G27),(G27-M27))/VLOOKUP(C27,設定!$B$9:$D$23,2,FALSE)),"")</f>
        <v/>
      </c>
      <c r="R27" s="60">
        <f>IFERROR(IF(OR(ISBLANK(Q27),O27=0),"",Q27/O27),"")</f>
        <v/>
      </c>
      <c r="S27" s="60">
        <f>IFERROR(IF(ISBLANK(R27),S26,IF(ISNUMBER(S26),S26,0)+R27),"")</f>
        <v/>
      </c>
      <c r="T27" s="61">
        <f>IFERROR(IF(OR(ISBLANK(Q27),ISBLANK(L27)),"",Q27*L27*VLOOKUP(C27,設定!$B$9:$D$23,3,FALSE)),"")</f>
        <v/>
      </c>
      <c r="U27" s="55" t="n"/>
      <c r="V27" s="55" t="n"/>
    </row>
    <row r="28">
      <c r="A28" s="44">
        <f>IF(ISBLANK(B28),"",COUNTA($B$18:B28))</f>
        <v/>
      </c>
      <c r="B28" s="45" t="n"/>
      <c r="C28" s="46" t="n"/>
      <c r="D28" s="46" t="n"/>
      <c r="E28" s="44" t="n"/>
      <c r="F28" s="47" t="n"/>
      <c r="G28" s="47" t="n"/>
      <c r="H28" s="47" t="n"/>
      <c r="I28" s="47" t="n"/>
      <c r="J28" s="47" t="n"/>
      <c r="K28" s="47" t="n"/>
      <c r="L28" s="48" t="n"/>
      <c r="M28" s="47" t="n"/>
      <c r="N28" s="46" t="n"/>
      <c r="O28" s="49">
        <f>IFERROR(IF(OR(ISBLANK(G28),ISBLANK(I28)),"",ABS(G28-I28)/VLOOKUP(C28,設定!$B$9:$D$23,2,FALSE)),"")</f>
        <v/>
      </c>
      <c r="P28" s="48">
        <f>IFERROR(IF(OR(ISBLANK(F28),ISBLANK(H28),ISBLANK(J28)),"",ABS(J28-F28)/ABS(F28-H28)),"")</f>
        <v/>
      </c>
      <c r="Q28" s="50">
        <f>IFERROR(IF(OR(ISBLANK(M28),ISBLANK(D28),ISBLANK(G28)),"",IF(D28="Long",(M28-G28),(G28-M28))/VLOOKUP(C28,設定!$B$9:$D$23,2,FALSE)),"")</f>
        <v/>
      </c>
      <c r="R28" s="51">
        <f>IFERROR(IF(OR(ISBLANK(Q28),O28=0),"",Q28/O28),"")</f>
        <v/>
      </c>
      <c r="S28" s="51">
        <f>IFERROR(IF(ISBLANK(R28),S27,IF(ISNUMBER(S27),S27,0)+R28),"")</f>
        <v/>
      </c>
      <c r="T28" s="52">
        <f>IFERROR(IF(OR(ISBLANK(Q28),ISBLANK(L28)),"",Q28*L28*VLOOKUP(C28,設定!$B$9:$D$23,3,FALSE)),"")</f>
        <v/>
      </c>
      <c r="U28" s="46" t="n"/>
      <c r="V28" s="46" t="n"/>
    </row>
    <row r="29">
      <c r="A29" s="53">
        <f>IF(ISBLANK(B29),"",COUNTA($B$18:B29))</f>
        <v/>
      </c>
      <c r="B29" s="54" t="n"/>
      <c r="C29" s="55" t="n"/>
      <c r="D29" s="55" t="n"/>
      <c r="E29" s="53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5" t="n"/>
      <c r="O29" s="58">
        <f>IFERROR(IF(OR(ISBLANK(G29),ISBLANK(I29)),"",ABS(G29-I29)/VLOOKUP(C29,設定!$B$9:$D$23,2,FALSE)),"")</f>
        <v/>
      </c>
      <c r="P29" s="57">
        <f>IFERROR(IF(OR(ISBLANK(F29),ISBLANK(H29),ISBLANK(J29)),"",ABS(J29-F29)/ABS(F29-H29)),"")</f>
        <v/>
      </c>
      <c r="Q29" s="59">
        <f>IFERROR(IF(OR(ISBLANK(M29),ISBLANK(D29),ISBLANK(G29)),"",IF(D29="Long",(M29-G29),(G29-M29))/VLOOKUP(C29,設定!$B$9:$D$23,2,FALSE)),"")</f>
        <v/>
      </c>
      <c r="R29" s="60">
        <f>IFERROR(IF(OR(ISBLANK(Q29),O29=0),"",Q29/O29),"")</f>
        <v/>
      </c>
      <c r="S29" s="60">
        <f>IFERROR(IF(ISBLANK(R29),S28,IF(ISNUMBER(S28),S28,0)+R29),"")</f>
        <v/>
      </c>
      <c r="T29" s="61">
        <f>IFERROR(IF(OR(ISBLANK(Q29),ISBLANK(L29)),"",Q29*L29*VLOOKUP(C29,設定!$B$9:$D$23,3,FALSE)),"")</f>
        <v/>
      </c>
      <c r="U29" s="55" t="n"/>
      <c r="V29" s="55" t="n"/>
    </row>
    <row r="30">
      <c r="A30" s="44">
        <f>IF(ISBLANK(B30),"",COUNTA($B$18:B30))</f>
        <v/>
      </c>
      <c r="B30" s="45" t="n"/>
      <c r="C30" s="46" t="n"/>
      <c r="D30" s="46" t="n"/>
      <c r="E30" s="44" t="n"/>
      <c r="F30" s="47" t="n"/>
      <c r="G30" s="47" t="n"/>
      <c r="H30" s="47" t="n"/>
      <c r="I30" s="47" t="n"/>
      <c r="J30" s="47" t="n"/>
      <c r="K30" s="47" t="n"/>
      <c r="L30" s="48" t="n"/>
      <c r="M30" s="47" t="n"/>
      <c r="N30" s="46" t="n"/>
      <c r="O30" s="49">
        <f>IFERROR(IF(OR(ISBLANK(G30),ISBLANK(I30)),"",ABS(G30-I30)/VLOOKUP(C30,設定!$B$9:$D$23,2,FALSE)),"")</f>
        <v/>
      </c>
      <c r="P30" s="48">
        <f>IFERROR(IF(OR(ISBLANK(F30),ISBLANK(H30),ISBLANK(J30)),"",ABS(J30-F30)/ABS(F30-H30)),"")</f>
        <v/>
      </c>
      <c r="Q30" s="50">
        <f>IFERROR(IF(OR(ISBLANK(M30),ISBLANK(D30),ISBLANK(G30)),"",IF(D30="Long",(M30-G30),(G30-M30))/VLOOKUP(C30,設定!$B$9:$D$23,2,FALSE)),"")</f>
        <v/>
      </c>
      <c r="R30" s="51">
        <f>IFERROR(IF(OR(ISBLANK(Q30),O30=0),"",Q30/O30),"")</f>
        <v/>
      </c>
      <c r="S30" s="51">
        <f>IFERROR(IF(ISBLANK(R30),S29,IF(ISNUMBER(S29),S29,0)+R30),"")</f>
        <v/>
      </c>
      <c r="T30" s="52">
        <f>IFERROR(IF(OR(ISBLANK(Q30),ISBLANK(L30)),"",Q30*L30*VLOOKUP(C30,設定!$B$9:$D$23,3,FALSE)),"")</f>
        <v/>
      </c>
      <c r="U30" s="46" t="n"/>
      <c r="V30" s="46" t="n"/>
    </row>
    <row r="31">
      <c r="A31" s="53">
        <f>IF(ISBLANK(B31),"",COUNTA($B$18:B31))</f>
        <v/>
      </c>
      <c r="B31" s="54" t="n"/>
      <c r="C31" s="55" t="n"/>
      <c r="D31" s="55" t="n"/>
      <c r="E31" s="53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5" t="n"/>
      <c r="O31" s="58">
        <f>IFERROR(IF(OR(ISBLANK(G31),ISBLANK(I31)),"",ABS(G31-I31)/VLOOKUP(C31,設定!$B$9:$D$23,2,FALSE)),"")</f>
        <v/>
      </c>
      <c r="P31" s="57">
        <f>IFERROR(IF(OR(ISBLANK(F31),ISBLANK(H31),ISBLANK(J31)),"",ABS(J31-F31)/ABS(F31-H31)),"")</f>
        <v/>
      </c>
      <c r="Q31" s="59">
        <f>IFERROR(IF(OR(ISBLANK(M31),ISBLANK(D31),ISBLANK(G31)),"",IF(D31="Long",(M31-G31),(G31-M31))/VLOOKUP(C31,設定!$B$9:$D$23,2,FALSE)),"")</f>
        <v/>
      </c>
      <c r="R31" s="60">
        <f>IFERROR(IF(OR(ISBLANK(Q31),O31=0),"",Q31/O31),"")</f>
        <v/>
      </c>
      <c r="S31" s="60">
        <f>IFERROR(IF(ISBLANK(R31),S30,IF(ISNUMBER(S30),S30,0)+R31),"")</f>
        <v/>
      </c>
      <c r="T31" s="61">
        <f>IFERROR(IF(OR(ISBLANK(Q31),ISBLANK(L31)),"",Q31*L31*VLOOKUP(C31,設定!$B$9:$D$23,3,FALSE)),"")</f>
        <v/>
      </c>
      <c r="U31" s="55" t="n"/>
      <c r="V31" s="55" t="n"/>
    </row>
    <row r="32">
      <c r="A32" s="44">
        <f>IF(ISBLANK(B32),"",COUNTA($B$18:B32))</f>
        <v/>
      </c>
      <c r="B32" s="45" t="n"/>
      <c r="C32" s="46" t="n"/>
      <c r="D32" s="46" t="n"/>
      <c r="E32" s="44" t="n"/>
      <c r="F32" s="47" t="n"/>
      <c r="G32" s="47" t="n"/>
      <c r="H32" s="47" t="n"/>
      <c r="I32" s="47" t="n"/>
      <c r="J32" s="47" t="n"/>
      <c r="K32" s="47" t="n"/>
      <c r="L32" s="48" t="n"/>
      <c r="M32" s="47" t="n"/>
      <c r="N32" s="46" t="n"/>
      <c r="O32" s="49">
        <f>IFERROR(IF(OR(ISBLANK(G32),ISBLANK(I32)),"",ABS(G32-I32)/VLOOKUP(C32,設定!$B$9:$D$23,2,FALSE)),"")</f>
        <v/>
      </c>
      <c r="P32" s="48">
        <f>IFERROR(IF(OR(ISBLANK(F32),ISBLANK(H32),ISBLANK(J32)),"",ABS(J32-F32)/ABS(F32-H32)),"")</f>
        <v/>
      </c>
      <c r="Q32" s="50">
        <f>IFERROR(IF(OR(ISBLANK(M32),ISBLANK(D32),ISBLANK(G32)),"",IF(D32="Long",(M32-G32),(G32-M32))/VLOOKUP(C32,設定!$B$9:$D$23,2,FALSE)),"")</f>
        <v/>
      </c>
      <c r="R32" s="51">
        <f>IFERROR(IF(OR(ISBLANK(Q32),O32=0),"",Q32/O32),"")</f>
        <v/>
      </c>
      <c r="S32" s="51">
        <f>IFERROR(IF(ISBLANK(R32),S31,IF(ISNUMBER(S31),S31,0)+R32),"")</f>
        <v/>
      </c>
      <c r="T32" s="52">
        <f>IFERROR(IF(OR(ISBLANK(Q32),ISBLANK(L32)),"",Q32*L32*VLOOKUP(C32,設定!$B$9:$D$23,3,FALSE)),"")</f>
        <v/>
      </c>
      <c r="U32" s="46" t="n"/>
      <c r="V32" s="46" t="n"/>
    </row>
    <row r="33">
      <c r="A33" s="53">
        <f>IF(ISBLANK(B33),"",COUNTA($B$18:B33))</f>
        <v/>
      </c>
      <c r="B33" s="54" t="n"/>
      <c r="C33" s="55" t="n"/>
      <c r="D33" s="55" t="n"/>
      <c r="E33" s="53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5" t="n"/>
      <c r="O33" s="58">
        <f>IFERROR(IF(OR(ISBLANK(G33),ISBLANK(I33)),"",ABS(G33-I33)/VLOOKUP(C33,設定!$B$9:$D$23,2,FALSE)),"")</f>
        <v/>
      </c>
      <c r="P33" s="57">
        <f>IFERROR(IF(OR(ISBLANK(F33),ISBLANK(H33),ISBLANK(J33)),"",ABS(J33-F33)/ABS(F33-H33)),"")</f>
        <v/>
      </c>
      <c r="Q33" s="59">
        <f>IFERROR(IF(OR(ISBLANK(M33),ISBLANK(D33),ISBLANK(G33)),"",IF(D33="Long",(M33-G33),(G33-M33))/VLOOKUP(C33,設定!$B$9:$D$23,2,FALSE)),"")</f>
        <v/>
      </c>
      <c r="R33" s="60">
        <f>IFERROR(IF(OR(ISBLANK(Q33),O33=0),"",Q33/O33),"")</f>
        <v/>
      </c>
      <c r="S33" s="60">
        <f>IFERROR(IF(ISBLANK(R33),S32,IF(ISNUMBER(S32),S32,0)+R33),"")</f>
        <v/>
      </c>
      <c r="T33" s="61">
        <f>IFERROR(IF(OR(ISBLANK(Q33),ISBLANK(L33)),"",Q33*L33*VLOOKUP(C33,設定!$B$9:$D$23,3,FALSE)),"")</f>
        <v/>
      </c>
      <c r="U33" s="55" t="n"/>
      <c r="V33" s="55" t="n"/>
    </row>
    <row r="34">
      <c r="A34" s="44">
        <f>IF(ISBLANK(B34),"",COUNTA($B$18:B34))</f>
        <v/>
      </c>
      <c r="B34" s="45" t="n"/>
      <c r="C34" s="46" t="n"/>
      <c r="D34" s="46" t="n"/>
      <c r="E34" s="44" t="n"/>
      <c r="F34" s="47" t="n"/>
      <c r="G34" s="47" t="n"/>
      <c r="H34" s="47" t="n"/>
      <c r="I34" s="47" t="n"/>
      <c r="J34" s="47" t="n"/>
      <c r="K34" s="47" t="n"/>
      <c r="L34" s="48" t="n"/>
      <c r="M34" s="47" t="n"/>
      <c r="N34" s="46" t="n"/>
      <c r="O34" s="49">
        <f>IFERROR(IF(OR(ISBLANK(G34),ISBLANK(I34)),"",ABS(G34-I34)/VLOOKUP(C34,設定!$B$9:$D$23,2,FALSE)),"")</f>
        <v/>
      </c>
      <c r="P34" s="48">
        <f>IFERROR(IF(OR(ISBLANK(F34),ISBLANK(H34),ISBLANK(J34)),"",ABS(J34-F34)/ABS(F34-H34)),"")</f>
        <v/>
      </c>
      <c r="Q34" s="50">
        <f>IFERROR(IF(OR(ISBLANK(M34),ISBLANK(D34),ISBLANK(G34)),"",IF(D34="Long",(M34-G34),(G34-M34))/VLOOKUP(C34,設定!$B$9:$D$23,2,FALSE)),"")</f>
        <v/>
      </c>
      <c r="R34" s="51">
        <f>IFERROR(IF(OR(ISBLANK(Q34),O34=0),"",Q34/O34),"")</f>
        <v/>
      </c>
      <c r="S34" s="51">
        <f>IFERROR(IF(ISBLANK(R34),S33,IF(ISNUMBER(S33),S33,0)+R34),"")</f>
        <v/>
      </c>
      <c r="T34" s="52">
        <f>IFERROR(IF(OR(ISBLANK(Q34),ISBLANK(L34)),"",Q34*L34*VLOOKUP(C34,設定!$B$9:$D$23,3,FALSE)),"")</f>
        <v/>
      </c>
      <c r="U34" s="46" t="n"/>
      <c r="V34" s="46" t="n"/>
    </row>
    <row r="35">
      <c r="A35" s="53">
        <f>IF(ISBLANK(B35),"",COUNTA($B$18:B35))</f>
        <v/>
      </c>
      <c r="B35" s="54" t="n"/>
      <c r="C35" s="55" t="n"/>
      <c r="D35" s="55" t="n"/>
      <c r="E35" s="53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5" t="n"/>
      <c r="O35" s="58">
        <f>IFERROR(IF(OR(ISBLANK(G35),ISBLANK(I35)),"",ABS(G35-I35)/VLOOKUP(C35,設定!$B$9:$D$23,2,FALSE)),"")</f>
        <v/>
      </c>
      <c r="P35" s="57">
        <f>IFERROR(IF(OR(ISBLANK(F35),ISBLANK(H35),ISBLANK(J35)),"",ABS(J35-F35)/ABS(F35-H35)),"")</f>
        <v/>
      </c>
      <c r="Q35" s="59">
        <f>IFERROR(IF(OR(ISBLANK(M35),ISBLANK(D35),ISBLANK(G35)),"",IF(D35="Long",(M35-G35),(G35-M35))/VLOOKUP(C35,設定!$B$9:$D$23,2,FALSE)),"")</f>
        <v/>
      </c>
      <c r="R35" s="60">
        <f>IFERROR(IF(OR(ISBLANK(Q35),O35=0),"",Q35/O35),"")</f>
        <v/>
      </c>
      <c r="S35" s="60">
        <f>IFERROR(IF(ISBLANK(R35),S34,IF(ISNUMBER(S34),S34,0)+R35),"")</f>
        <v/>
      </c>
      <c r="T35" s="61">
        <f>IFERROR(IF(OR(ISBLANK(Q35),ISBLANK(L35)),"",Q35*L35*VLOOKUP(C35,設定!$B$9:$D$23,3,FALSE)),"")</f>
        <v/>
      </c>
      <c r="U35" s="55" t="n"/>
      <c r="V35" s="55" t="n"/>
    </row>
    <row r="36">
      <c r="A36" s="44">
        <f>IF(ISBLANK(B36),"",COUNTA($B$18:B36))</f>
        <v/>
      </c>
      <c r="B36" s="45" t="n"/>
      <c r="C36" s="46" t="n"/>
      <c r="D36" s="46" t="n"/>
      <c r="E36" s="44" t="n"/>
      <c r="F36" s="47" t="n"/>
      <c r="G36" s="47" t="n"/>
      <c r="H36" s="47" t="n"/>
      <c r="I36" s="47" t="n"/>
      <c r="J36" s="47" t="n"/>
      <c r="K36" s="47" t="n"/>
      <c r="L36" s="48" t="n"/>
      <c r="M36" s="47" t="n"/>
      <c r="N36" s="46" t="n"/>
      <c r="O36" s="49">
        <f>IFERROR(IF(OR(ISBLANK(G36),ISBLANK(I36)),"",ABS(G36-I36)/VLOOKUP(C36,設定!$B$9:$D$23,2,FALSE)),"")</f>
        <v/>
      </c>
      <c r="P36" s="48">
        <f>IFERROR(IF(OR(ISBLANK(F36),ISBLANK(H36),ISBLANK(J36)),"",ABS(J36-F36)/ABS(F36-H36)),"")</f>
        <v/>
      </c>
      <c r="Q36" s="50">
        <f>IFERROR(IF(OR(ISBLANK(M36),ISBLANK(D36),ISBLANK(G36)),"",IF(D36="Long",(M36-G36),(G36-M36))/VLOOKUP(C36,設定!$B$9:$D$23,2,FALSE)),"")</f>
        <v/>
      </c>
      <c r="R36" s="51">
        <f>IFERROR(IF(OR(ISBLANK(Q36),O36=0),"",Q36/O36),"")</f>
        <v/>
      </c>
      <c r="S36" s="51">
        <f>IFERROR(IF(ISBLANK(R36),S35,IF(ISNUMBER(S35),S35,0)+R36),"")</f>
        <v/>
      </c>
      <c r="T36" s="52">
        <f>IFERROR(IF(OR(ISBLANK(Q36),ISBLANK(L36)),"",Q36*L36*VLOOKUP(C36,設定!$B$9:$D$23,3,FALSE)),"")</f>
        <v/>
      </c>
      <c r="U36" s="46" t="n"/>
      <c r="V36" s="46" t="n"/>
    </row>
    <row r="37">
      <c r="A37" s="53">
        <f>IF(ISBLANK(B37),"",COUNTA($B$18:B37))</f>
        <v/>
      </c>
      <c r="B37" s="54" t="n"/>
      <c r="C37" s="55" t="n"/>
      <c r="D37" s="55" t="n"/>
      <c r="E37" s="53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5" t="n"/>
      <c r="O37" s="58">
        <f>IFERROR(IF(OR(ISBLANK(G37),ISBLANK(I37)),"",ABS(G37-I37)/VLOOKUP(C37,設定!$B$9:$D$23,2,FALSE)),"")</f>
        <v/>
      </c>
      <c r="P37" s="57">
        <f>IFERROR(IF(OR(ISBLANK(F37),ISBLANK(H37),ISBLANK(J37)),"",ABS(J37-F37)/ABS(F37-H37)),"")</f>
        <v/>
      </c>
      <c r="Q37" s="59">
        <f>IFERROR(IF(OR(ISBLANK(M37),ISBLANK(D37),ISBLANK(G37)),"",IF(D37="Long",(M37-G37),(G37-M37))/VLOOKUP(C37,設定!$B$9:$D$23,2,FALSE)),"")</f>
        <v/>
      </c>
      <c r="R37" s="60">
        <f>IFERROR(IF(OR(ISBLANK(Q37),O37=0),"",Q37/O37),"")</f>
        <v/>
      </c>
      <c r="S37" s="60">
        <f>IFERROR(IF(ISBLANK(R37),S36,IF(ISNUMBER(S36),S36,0)+R37),"")</f>
        <v/>
      </c>
      <c r="T37" s="61">
        <f>IFERROR(IF(OR(ISBLANK(Q37),ISBLANK(L37)),"",Q37*L37*VLOOKUP(C37,設定!$B$9:$D$23,3,FALSE)),"")</f>
        <v/>
      </c>
      <c r="U37" s="55" t="n"/>
      <c r="V37" s="55" t="n"/>
    </row>
    <row r="38">
      <c r="A38" s="44">
        <f>IF(ISBLANK(B38),"",COUNTA($B$18:B38))</f>
        <v/>
      </c>
      <c r="B38" s="45" t="n"/>
      <c r="C38" s="46" t="n"/>
      <c r="D38" s="46" t="n"/>
      <c r="E38" s="44" t="n"/>
      <c r="F38" s="47" t="n"/>
      <c r="G38" s="47" t="n"/>
      <c r="H38" s="47" t="n"/>
      <c r="I38" s="47" t="n"/>
      <c r="J38" s="47" t="n"/>
      <c r="K38" s="47" t="n"/>
      <c r="L38" s="48" t="n"/>
      <c r="M38" s="47" t="n"/>
      <c r="N38" s="46" t="n"/>
      <c r="O38" s="49">
        <f>IFERROR(IF(OR(ISBLANK(G38),ISBLANK(I38)),"",ABS(G38-I38)/VLOOKUP(C38,設定!$B$9:$D$23,2,FALSE)),"")</f>
        <v/>
      </c>
      <c r="P38" s="48">
        <f>IFERROR(IF(OR(ISBLANK(F38),ISBLANK(H38),ISBLANK(J38)),"",ABS(J38-F38)/ABS(F38-H38)),"")</f>
        <v/>
      </c>
      <c r="Q38" s="50">
        <f>IFERROR(IF(OR(ISBLANK(M38),ISBLANK(D38),ISBLANK(G38)),"",IF(D38="Long",(M38-G38),(G38-M38))/VLOOKUP(C38,設定!$B$9:$D$23,2,FALSE)),"")</f>
        <v/>
      </c>
      <c r="R38" s="51">
        <f>IFERROR(IF(OR(ISBLANK(Q38),O38=0),"",Q38/O38),"")</f>
        <v/>
      </c>
      <c r="S38" s="51">
        <f>IFERROR(IF(ISBLANK(R38),S37,IF(ISNUMBER(S37),S37,0)+R38),"")</f>
        <v/>
      </c>
      <c r="T38" s="52">
        <f>IFERROR(IF(OR(ISBLANK(Q38),ISBLANK(L38)),"",Q38*L38*VLOOKUP(C38,設定!$B$9:$D$23,3,FALSE)),"")</f>
        <v/>
      </c>
      <c r="U38" s="46" t="n"/>
      <c r="V38" s="46" t="n"/>
    </row>
    <row r="39">
      <c r="A39" s="53">
        <f>IF(ISBLANK(B39),"",COUNTA($B$18:B39))</f>
        <v/>
      </c>
      <c r="B39" s="54" t="n"/>
      <c r="C39" s="55" t="n"/>
      <c r="D39" s="55" t="n"/>
      <c r="E39" s="53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5" t="n"/>
      <c r="O39" s="58">
        <f>IFERROR(IF(OR(ISBLANK(G39),ISBLANK(I39)),"",ABS(G39-I39)/VLOOKUP(C39,設定!$B$9:$D$23,2,FALSE)),"")</f>
        <v/>
      </c>
      <c r="P39" s="57">
        <f>IFERROR(IF(OR(ISBLANK(F39),ISBLANK(H39),ISBLANK(J39)),"",ABS(J39-F39)/ABS(F39-H39)),"")</f>
        <v/>
      </c>
      <c r="Q39" s="59">
        <f>IFERROR(IF(OR(ISBLANK(M39),ISBLANK(D39),ISBLANK(G39)),"",IF(D39="Long",(M39-G39),(G39-M39))/VLOOKUP(C39,設定!$B$9:$D$23,2,FALSE)),"")</f>
        <v/>
      </c>
      <c r="R39" s="60">
        <f>IFERROR(IF(OR(ISBLANK(Q39),O39=0),"",Q39/O39),"")</f>
        <v/>
      </c>
      <c r="S39" s="60">
        <f>IFERROR(IF(ISBLANK(R39),S38,IF(ISNUMBER(S38),S38,0)+R39),"")</f>
        <v/>
      </c>
      <c r="T39" s="61">
        <f>IFERROR(IF(OR(ISBLANK(Q39),ISBLANK(L39)),"",Q39*L39*VLOOKUP(C39,設定!$B$9:$D$23,3,FALSE)),"")</f>
        <v/>
      </c>
      <c r="U39" s="55" t="n"/>
      <c r="V39" s="55" t="n"/>
    </row>
    <row r="40">
      <c r="A40" s="44">
        <f>IF(ISBLANK(B40),"",COUNTA($B$18:B40))</f>
        <v/>
      </c>
      <c r="B40" s="45" t="n"/>
      <c r="C40" s="46" t="n"/>
      <c r="D40" s="46" t="n"/>
      <c r="E40" s="44" t="n"/>
      <c r="F40" s="47" t="n"/>
      <c r="G40" s="47" t="n"/>
      <c r="H40" s="47" t="n"/>
      <c r="I40" s="47" t="n"/>
      <c r="J40" s="47" t="n"/>
      <c r="K40" s="47" t="n"/>
      <c r="L40" s="48" t="n"/>
      <c r="M40" s="47" t="n"/>
      <c r="N40" s="46" t="n"/>
      <c r="O40" s="49">
        <f>IFERROR(IF(OR(ISBLANK(G40),ISBLANK(I40)),"",ABS(G40-I40)/VLOOKUP(C40,設定!$B$9:$D$23,2,FALSE)),"")</f>
        <v/>
      </c>
      <c r="P40" s="48">
        <f>IFERROR(IF(OR(ISBLANK(F40),ISBLANK(H40),ISBLANK(J40)),"",ABS(J40-F40)/ABS(F40-H40)),"")</f>
        <v/>
      </c>
      <c r="Q40" s="50">
        <f>IFERROR(IF(OR(ISBLANK(M40),ISBLANK(D40),ISBLANK(G40)),"",IF(D40="Long",(M40-G40),(G40-M40))/VLOOKUP(C40,設定!$B$9:$D$23,2,FALSE)),"")</f>
        <v/>
      </c>
      <c r="R40" s="51">
        <f>IFERROR(IF(OR(ISBLANK(Q40),O40=0),"",Q40/O40),"")</f>
        <v/>
      </c>
      <c r="S40" s="51">
        <f>IFERROR(IF(ISBLANK(R40),S39,IF(ISNUMBER(S39),S39,0)+R40),"")</f>
        <v/>
      </c>
      <c r="T40" s="52">
        <f>IFERROR(IF(OR(ISBLANK(Q40),ISBLANK(L40)),"",Q40*L40*VLOOKUP(C40,設定!$B$9:$D$23,3,FALSE)),"")</f>
        <v/>
      </c>
      <c r="U40" s="46" t="n"/>
      <c r="V40" s="46" t="n"/>
    </row>
    <row r="41">
      <c r="A41" s="53">
        <f>IF(ISBLANK(B41),"",COUNTA($B$18:B41))</f>
        <v/>
      </c>
      <c r="B41" s="54" t="n"/>
      <c r="C41" s="55" t="n"/>
      <c r="D41" s="55" t="n"/>
      <c r="E41" s="53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5" t="n"/>
      <c r="O41" s="58">
        <f>IFERROR(IF(OR(ISBLANK(G41),ISBLANK(I41)),"",ABS(G41-I41)/VLOOKUP(C41,設定!$B$9:$D$23,2,FALSE)),"")</f>
        <v/>
      </c>
      <c r="P41" s="57">
        <f>IFERROR(IF(OR(ISBLANK(F41),ISBLANK(H41),ISBLANK(J41)),"",ABS(J41-F41)/ABS(F41-H41)),"")</f>
        <v/>
      </c>
      <c r="Q41" s="59">
        <f>IFERROR(IF(OR(ISBLANK(M41),ISBLANK(D41),ISBLANK(G41)),"",IF(D41="Long",(M41-G41),(G41-M41))/VLOOKUP(C41,設定!$B$9:$D$23,2,FALSE)),"")</f>
        <v/>
      </c>
      <c r="R41" s="60">
        <f>IFERROR(IF(OR(ISBLANK(Q41),O41=0),"",Q41/O41),"")</f>
        <v/>
      </c>
      <c r="S41" s="60">
        <f>IFERROR(IF(ISBLANK(R41),S40,IF(ISNUMBER(S40),S40,0)+R41),"")</f>
        <v/>
      </c>
      <c r="T41" s="61">
        <f>IFERROR(IF(OR(ISBLANK(Q41),ISBLANK(L41)),"",Q41*L41*VLOOKUP(C41,設定!$B$9:$D$23,3,FALSE)),"")</f>
        <v/>
      </c>
      <c r="U41" s="55" t="n"/>
      <c r="V41" s="55" t="n"/>
    </row>
    <row r="42">
      <c r="A42" s="44">
        <f>IF(ISBLANK(B42),"",COUNTA($B$18:B42))</f>
        <v/>
      </c>
      <c r="B42" s="45" t="n"/>
      <c r="C42" s="46" t="n"/>
      <c r="D42" s="46" t="n"/>
      <c r="E42" s="44" t="n"/>
      <c r="F42" s="47" t="n"/>
      <c r="G42" s="47" t="n"/>
      <c r="H42" s="47" t="n"/>
      <c r="I42" s="47" t="n"/>
      <c r="J42" s="47" t="n"/>
      <c r="K42" s="47" t="n"/>
      <c r="L42" s="48" t="n"/>
      <c r="M42" s="47" t="n"/>
      <c r="N42" s="46" t="n"/>
      <c r="O42" s="49">
        <f>IFERROR(IF(OR(ISBLANK(G42),ISBLANK(I42)),"",ABS(G42-I42)/VLOOKUP(C42,設定!$B$9:$D$23,2,FALSE)),"")</f>
        <v/>
      </c>
      <c r="P42" s="48">
        <f>IFERROR(IF(OR(ISBLANK(F42),ISBLANK(H42),ISBLANK(J42)),"",ABS(J42-F42)/ABS(F42-H42)),"")</f>
        <v/>
      </c>
      <c r="Q42" s="50">
        <f>IFERROR(IF(OR(ISBLANK(M42),ISBLANK(D42),ISBLANK(G42)),"",IF(D42="Long",(M42-G42),(G42-M42))/VLOOKUP(C42,設定!$B$9:$D$23,2,FALSE)),"")</f>
        <v/>
      </c>
      <c r="R42" s="51">
        <f>IFERROR(IF(OR(ISBLANK(Q42),O42=0),"",Q42/O42),"")</f>
        <v/>
      </c>
      <c r="S42" s="51">
        <f>IFERROR(IF(ISBLANK(R42),S41,IF(ISNUMBER(S41),S41,0)+R42),"")</f>
        <v/>
      </c>
      <c r="T42" s="52">
        <f>IFERROR(IF(OR(ISBLANK(Q42),ISBLANK(L42)),"",Q42*L42*VLOOKUP(C42,設定!$B$9:$D$23,3,FALSE)),"")</f>
        <v/>
      </c>
      <c r="U42" s="46" t="n"/>
      <c r="V42" s="46" t="n"/>
    </row>
    <row r="43">
      <c r="A43" s="53">
        <f>IF(ISBLANK(B43),"",COUNTA($B$18:B43))</f>
        <v/>
      </c>
      <c r="B43" s="54" t="n"/>
      <c r="C43" s="55" t="n"/>
      <c r="D43" s="55" t="n"/>
      <c r="E43" s="53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5" t="n"/>
      <c r="O43" s="58">
        <f>IFERROR(IF(OR(ISBLANK(G43),ISBLANK(I43)),"",ABS(G43-I43)/VLOOKUP(C43,設定!$B$9:$D$23,2,FALSE)),"")</f>
        <v/>
      </c>
      <c r="P43" s="57">
        <f>IFERROR(IF(OR(ISBLANK(F43),ISBLANK(H43),ISBLANK(J43)),"",ABS(J43-F43)/ABS(F43-H43)),"")</f>
        <v/>
      </c>
      <c r="Q43" s="59">
        <f>IFERROR(IF(OR(ISBLANK(M43),ISBLANK(D43),ISBLANK(G43)),"",IF(D43="Long",(M43-G43),(G43-M43))/VLOOKUP(C43,設定!$B$9:$D$23,2,FALSE)),"")</f>
        <v/>
      </c>
      <c r="R43" s="60">
        <f>IFERROR(IF(OR(ISBLANK(Q43),O43=0),"",Q43/O43),"")</f>
        <v/>
      </c>
      <c r="S43" s="60">
        <f>IFERROR(IF(ISBLANK(R43),S42,IF(ISNUMBER(S42),S42,0)+R43),"")</f>
        <v/>
      </c>
      <c r="T43" s="61">
        <f>IFERROR(IF(OR(ISBLANK(Q43),ISBLANK(L43)),"",Q43*L43*VLOOKUP(C43,設定!$B$9:$D$23,3,FALSE)),"")</f>
        <v/>
      </c>
      <c r="U43" s="55" t="n"/>
      <c r="V43" s="55" t="n"/>
    </row>
    <row r="44">
      <c r="A44" s="44">
        <f>IF(ISBLANK(B44),"",COUNTA($B$18:B44))</f>
        <v/>
      </c>
      <c r="B44" s="45" t="n"/>
      <c r="C44" s="46" t="n"/>
      <c r="D44" s="46" t="n"/>
      <c r="E44" s="44" t="n"/>
      <c r="F44" s="47" t="n"/>
      <c r="G44" s="47" t="n"/>
      <c r="H44" s="47" t="n"/>
      <c r="I44" s="47" t="n"/>
      <c r="J44" s="47" t="n"/>
      <c r="K44" s="47" t="n"/>
      <c r="L44" s="48" t="n"/>
      <c r="M44" s="47" t="n"/>
      <c r="N44" s="46" t="n"/>
      <c r="O44" s="49">
        <f>IFERROR(IF(OR(ISBLANK(G44),ISBLANK(I44)),"",ABS(G44-I44)/VLOOKUP(C44,設定!$B$9:$D$23,2,FALSE)),"")</f>
        <v/>
      </c>
      <c r="P44" s="48">
        <f>IFERROR(IF(OR(ISBLANK(F44),ISBLANK(H44),ISBLANK(J44)),"",ABS(J44-F44)/ABS(F44-H44)),"")</f>
        <v/>
      </c>
      <c r="Q44" s="50">
        <f>IFERROR(IF(OR(ISBLANK(M44),ISBLANK(D44),ISBLANK(G44)),"",IF(D44="Long",(M44-G44),(G44-M44))/VLOOKUP(C44,設定!$B$9:$D$23,2,FALSE)),"")</f>
        <v/>
      </c>
      <c r="R44" s="51">
        <f>IFERROR(IF(OR(ISBLANK(Q44),O44=0),"",Q44/O44),"")</f>
        <v/>
      </c>
      <c r="S44" s="51">
        <f>IFERROR(IF(ISBLANK(R44),S43,IF(ISNUMBER(S43),S43,0)+R44),"")</f>
        <v/>
      </c>
      <c r="T44" s="52">
        <f>IFERROR(IF(OR(ISBLANK(Q44),ISBLANK(L44)),"",Q44*L44*VLOOKUP(C44,設定!$B$9:$D$23,3,FALSE)),"")</f>
        <v/>
      </c>
      <c r="U44" s="46" t="n"/>
      <c r="V44" s="46" t="n"/>
    </row>
    <row r="45">
      <c r="A45" s="53">
        <f>IF(ISBLANK(B45),"",COUNTA($B$18:B45))</f>
        <v/>
      </c>
      <c r="B45" s="54" t="n"/>
      <c r="C45" s="55" t="n"/>
      <c r="D45" s="55" t="n"/>
      <c r="E45" s="53" t="n"/>
      <c r="F45" s="56" t="n"/>
      <c r="G45" s="56" t="n"/>
      <c r="H45" s="56" t="n"/>
      <c r="I45" s="56" t="n"/>
      <c r="J45" s="56" t="n"/>
      <c r="K45" s="56" t="n"/>
      <c r="L45" s="57" t="n"/>
      <c r="M45" s="56" t="n"/>
      <c r="N45" s="55" t="n"/>
      <c r="O45" s="58">
        <f>IFERROR(IF(OR(ISBLANK(G45),ISBLANK(I45)),"",ABS(G45-I45)/VLOOKUP(C45,設定!$B$9:$D$23,2,FALSE)),"")</f>
        <v/>
      </c>
      <c r="P45" s="57">
        <f>IFERROR(IF(OR(ISBLANK(F45),ISBLANK(H45),ISBLANK(J45)),"",ABS(J45-F45)/ABS(F45-H45)),"")</f>
        <v/>
      </c>
      <c r="Q45" s="59">
        <f>IFERROR(IF(OR(ISBLANK(M45),ISBLANK(D45),ISBLANK(G45)),"",IF(D45="Long",(M45-G45),(G45-M45))/VLOOKUP(C45,設定!$B$9:$D$23,2,FALSE)),"")</f>
        <v/>
      </c>
      <c r="R45" s="60">
        <f>IFERROR(IF(OR(ISBLANK(Q45),O45=0),"",Q45/O45),"")</f>
        <v/>
      </c>
      <c r="S45" s="60">
        <f>IFERROR(IF(ISBLANK(R45),S44,IF(ISNUMBER(S44),S44,0)+R45),"")</f>
        <v/>
      </c>
      <c r="T45" s="61">
        <f>IFERROR(IF(OR(ISBLANK(Q45),ISBLANK(L45)),"",Q45*L45*VLOOKUP(C45,設定!$B$9:$D$23,3,FALSE)),"")</f>
        <v/>
      </c>
      <c r="U45" s="55" t="n"/>
      <c r="V45" s="55" t="n"/>
    </row>
    <row r="46">
      <c r="A46" s="44">
        <f>IF(ISBLANK(B46),"",COUNTA($B$18:B46))</f>
        <v/>
      </c>
      <c r="B46" s="45" t="n"/>
      <c r="C46" s="46" t="n"/>
      <c r="D46" s="46" t="n"/>
      <c r="E46" s="44" t="n"/>
      <c r="F46" s="47" t="n"/>
      <c r="G46" s="47" t="n"/>
      <c r="H46" s="47" t="n"/>
      <c r="I46" s="47" t="n"/>
      <c r="J46" s="47" t="n"/>
      <c r="K46" s="47" t="n"/>
      <c r="L46" s="48" t="n"/>
      <c r="M46" s="47" t="n"/>
      <c r="N46" s="46" t="n"/>
      <c r="O46" s="49">
        <f>IFERROR(IF(OR(ISBLANK(G46),ISBLANK(I46)),"",ABS(G46-I46)/VLOOKUP(C46,設定!$B$9:$D$23,2,FALSE)),"")</f>
        <v/>
      </c>
      <c r="P46" s="48">
        <f>IFERROR(IF(OR(ISBLANK(F46),ISBLANK(H46),ISBLANK(J46)),"",ABS(J46-F46)/ABS(F46-H46)),"")</f>
        <v/>
      </c>
      <c r="Q46" s="50">
        <f>IFERROR(IF(OR(ISBLANK(M46),ISBLANK(D46),ISBLANK(G46)),"",IF(D46="Long",(M46-G46),(G46-M46))/VLOOKUP(C46,設定!$B$9:$D$23,2,FALSE)),"")</f>
        <v/>
      </c>
      <c r="R46" s="51">
        <f>IFERROR(IF(OR(ISBLANK(Q46),O46=0),"",Q46/O46),"")</f>
        <v/>
      </c>
      <c r="S46" s="51">
        <f>IFERROR(IF(ISBLANK(R46),S45,IF(ISNUMBER(S45),S45,0)+R46),"")</f>
        <v/>
      </c>
      <c r="T46" s="52">
        <f>IFERROR(IF(OR(ISBLANK(Q46),ISBLANK(L46)),"",Q46*L46*VLOOKUP(C46,設定!$B$9:$D$23,3,FALSE)),"")</f>
        <v/>
      </c>
      <c r="U46" s="46" t="n"/>
      <c r="V46" s="46" t="n"/>
    </row>
    <row r="47">
      <c r="A47" s="53">
        <f>IF(ISBLANK(B47),"",COUNTA($B$18:B47))</f>
        <v/>
      </c>
      <c r="B47" s="54" t="n"/>
      <c r="C47" s="55" t="n"/>
      <c r="D47" s="55" t="n"/>
      <c r="E47" s="53" t="n"/>
      <c r="F47" s="56" t="n"/>
      <c r="G47" s="56" t="n"/>
      <c r="H47" s="56" t="n"/>
      <c r="I47" s="56" t="n"/>
      <c r="J47" s="56" t="n"/>
      <c r="K47" s="56" t="n"/>
      <c r="L47" s="57" t="n"/>
      <c r="M47" s="56" t="n"/>
      <c r="N47" s="55" t="n"/>
      <c r="O47" s="58">
        <f>IFERROR(IF(OR(ISBLANK(G47),ISBLANK(I47)),"",ABS(G47-I47)/VLOOKUP(C47,設定!$B$9:$D$23,2,FALSE)),"")</f>
        <v/>
      </c>
      <c r="P47" s="57">
        <f>IFERROR(IF(OR(ISBLANK(F47),ISBLANK(H47),ISBLANK(J47)),"",ABS(J47-F47)/ABS(F47-H47)),"")</f>
        <v/>
      </c>
      <c r="Q47" s="59">
        <f>IFERROR(IF(OR(ISBLANK(M47),ISBLANK(D47),ISBLANK(G47)),"",IF(D47="Long",(M47-G47),(G47-M47))/VLOOKUP(C47,設定!$B$9:$D$23,2,FALSE)),"")</f>
        <v/>
      </c>
      <c r="R47" s="60">
        <f>IFERROR(IF(OR(ISBLANK(Q47),O47=0),"",Q47/O47),"")</f>
        <v/>
      </c>
      <c r="S47" s="60">
        <f>IFERROR(IF(ISBLANK(R47),S46,IF(ISNUMBER(S46),S46,0)+R47),"")</f>
        <v/>
      </c>
      <c r="T47" s="61">
        <f>IFERROR(IF(OR(ISBLANK(Q47),ISBLANK(L47)),"",Q47*L47*VLOOKUP(C47,設定!$B$9:$D$23,3,FALSE)),"")</f>
        <v/>
      </c>
      <c r="U47" s="55" t="n"/>
      <c r="V47" s="55" t="n"/>
    </row>
    <row r="48">
      <c r="A48" s="44">
        <f>IF(ISBLANK(B48),"",COUNTA($B$18:B48))</f>
        <v/>
      </c>
      <c r="B48" s="45" t="n"/>
      <c r="C48" s="46" t="n"/>
      <c r="D48" s="46" t="n"/>
      <c r="E48" s="44" t="n"/>
      <c r="F48" s="47" t="n"/>
      <c r="G48" s="47" t="n"/>
      <c r="H48" s="47" t="n"/>
      <c r="I48" s="47" t="n"/>
      <c r="J48" s="47" t="n"/>
      <c r="K48" s="47" t="n"/>
      <c r="L48" s="48" t="n"/>
      <c r="M48" s="47" t="n"/>
      <c r="N48" s="46" t="n"/>
      <c r="O48" s="49">
        <f>IFERROR(IF(OR(ISBLANK(G48),ISBLANK(I48)),"",ABS(G48-I48)/VLOOKUP(C48,設定!$B$9:$D$23,2,FALSE)),"")</f>
        <v/>
      </c>
      <c r="P48" s="48">
        <f>IFERROR(IF(OR(ISBLANK(F48),ISBLANK(H48),ISBLANK(J48)),"",ABS(J48-F48)/ABS(F48-H48)),"")</f>
        <v/>
      </c>
      <c r="Q48" s="50">
        <f>IFERROR(IF(OR(ISBLANK(M48),ISBLANK(D48),ISBLANK(G48)),"",IF(D48="Long",(M48-G48),(G48-M48))/VLOOKUP(C48,設定!$B$9:$D$23,2,FALSE)),"")</f>
        <v/>
      </c>
      <c r="R48" s="51">
        <f>IFERROR(IF(OR(ISBLANK(Q48),O48=0),"",Q48/O48),"")</f>
        <v/>
      </c>
      <c r="S48" s="51">
        <f>IFERROR(IF(ISBLANK(R48),S47,IF(ISNUMBER(S47),S47,0)+R48),"")</f>
        <v/>
      </c>
      <c r="T48" s="52">
        <f>IFERROR(IF(OR(ISBLANK(Q48),ISBLANK(L48)),"",Q48*L48*VLOOKUP(C48,設定!$B$9:$D$23,3,FALSE)),"")</f>
        <v/>
      </c>
      <c r="U48" s="46" t="n"/>
      <c r="V48" s="46" t="n"/>
    </row>
    <row r="49">
      <c r="A49" s="53">
        <f>IF(ISBLANK(B49),"",COUNTA($B$18:B49))</f>
        <v/>
      </c>
      <c r="B49" s="54" t="n"/>
      <c r="C49" s="55" t="n"/>
      <c r="D49" s="55" t="n"/>
      <c r="E49" s="53" t="n"/>
      <c r="F49" s="56" t="n"/>
      <c r="G49" s="56" t="n"/>
      <c r="H49" s="56" t="n"/>
      <c r="I49" s="56" t="n"/>
      <c r="J49" s="56" t="n"/>
      <c r="K49" s="56" t="n"/>
      <c r="L49" s="57" t="n"/>
      <c r="M49" s="56" t="n"/>
      <c r="N49" s="55" t="n"/>
      <c r="O49" s="58">
        <f>IFERROR(IF(OR(ISBLANK(G49),ISBLANK(I49)),"",ABS(G49-I49)/VLOOKUP(C49,設定!$B$9:$D$23,2,FALSE)),"")</f>
        <v/>
      </c>
      <c r="P49" s="57">
        <f>IFERROR(IF(OR(ISBLANK(F49),ISBLANK(H49),ISBLANK(J49)),"",ABS(J49-F49)/ABS(F49-H49)),"")</f>
        <v/>
      </c>
      <c r="Q49" s="59">
        <f>IFERROR(IF(OR(ISBLANK(M49),ISBLANK(D49),ISBLANK(G49)),"",IF(D49="Long",(M49-G49),(G49-M49))/VLOOKUP(C49,設定!$B$9:$D$23,2,FALSE)),"")</f>
        <v/>
      </c>
      <c r="R49" s="60">
        <f>IFERROR(IF(OR(ISBLANK(Q49),O49=0),"",Q49/O49),"")</f>
        <v/>
      </c>
      <c r="S49" s="60">
        <f>IFERROR(IF(ISBLANK(R49),S48,IF(ISNUMBER(S48),S48,0)+R49),"")</f>
        <v/>
      </c>
      <c r="T49" s="61">
        <f>IFERROR(IF(OR(ISBLANK(Q49),ISBLANK(L49)),"",Q49*L49*VLOOKUP(C49,設定!$B$9:$D$23,3,FALSE)),"")</f>
        <v/>
      </c>
      <c r="U49" s="55" t="n"/>
      <c r="V49" s="55" t="n"/>
    </row>
    <row r="50">
      <c r="A50" s="44">
        <f>IF(ISBLANK(B50),"",COUNTA($B$18:B50))</f>
        <v/>
      </c>
      <c r="B50" s="45" t="n"/>
      <c r="C50" s="46" t="n"/>
      <c r="D50" s="46" t="n"/>
      <c r="E50" s="44" t="n"/>
      <c r="F50" s="47" t="n"/>
      <c r="G50" s="47" t="n"/>
      <c r="H50" s="47" t="n"/>
      <c r="I50" s="47" t="n"/>
      <c r="J50" s="47" t="n"/>
      <c r="K50" s="47" t="n"/>
      <c r="L50" s="48" t="n"/>
      <c r="M50" s="47" t="n"/>
      <c r="N50" s="46" t="n"/>
      <c r="O50" s="49">
        <f>IFERROR(IF(OR(ISBLANK(G50),ISBLANK(I50)),"",ABS(G50-I50)/VLOOKUP(C50,設定!$B$9:$D$23,2,FALSE)),"")</f>
        <v/>
      </c>
      <c r="P50" s="48">
        <f>IFERROR(IF(OR(ISBLANK(F50),ISBLANK(H50),ISBLANK(J50)),"",ABS(J50-F50)/ABS(F50-H50)),"")</f>
        <v/>
      </c>
      <c r="Q50" s="50">
        <f>IFERROR(IF(OR(ISBLANK(M50),ISBLANK(D50),ISBLANK(G50)),"",IF(D50="Long",(M50-G50),(G50-M50))/VLOOKUP(C50,設定!$B$9:$D$23,2,FALSE)),"")</f>
        <v/>
      </c>
      <c r="R50" s="51">
        <f>IFERROR(IF(OR(ISBLANK(Q50),O50=0),"",Q50/O50),"")</f>
        <v/>
      </c>
      <c r="S50" s="51">
        <f>IFERROR(IF(ISBLANK(R50),S49,IF(ISNUMBER(S49),S49,0)+R50),"")</f>
        <v/>
      </c>
      <c r="T50" s="52">
        <f>IFERROR(IF(OR(ISBLANK(Q50),ISBLANK(L50)),"",Q50*L50*VLOOKUP(C50,設定!$B$9:$D$23,3,FALSE)),"")</f>
        <v/>
      </c>
      <c r="U50" s="46" t="n"/>
      <c r="V50" s="46" t="n"/>
    </row>
    <row r="51">
      <c r="A51" s="53">
        <f>IF(ISBLANK(B51),"",COUNTA($B$18:B51))</f>
        <v/>
      </c>
      <c r="B51" s="54" t="n"/>
      <c r="C51" s="55" t="n"/>
      <c r="D51" s="55" t="n"/>
      <c r="E51" s="53" t="n"/>
      <c r="F51" s="56" t="n"/>
      <c r="G51" s="56" t="n"/>
      <c r="H51" s="56" t="n"/>
      <c r="I51" s="56" t="n"/>
      <c r="J51" s="56" t="n"/>
      <c r="K51" s="56" t="n"/>
      <c r="L51" s="57" t="n"/>
      <c r="M51" s="56" t="n"/>
      <c r="N51" s="55" t="n"/>
      <c r="O51" s="58">
        <f>IFERROR(IF(OR(ISBLANK(G51),ISBLANK(I51)),"",ABS(G51-I51)/VLOOKUP(C51,設定!$B$9:$D$23,2,FALSE)),"")</f>
        <v/>
      </c>
      <c r="P51" s="57">
        <f>IFERROR(IF(OR(ISBLANK(F51),ISBLANK(H51),ISBLANK(J51)),"",ABS(J51-F51)/ABS(F51-H51)),"")</f>
        <v/>
      </c>
      <c r="Q51" s="59">
        <f>IFERROR(IF(OR(ISBLANK(M51),ISBLANK(D51),ISBLANK(G51)),"",IF(D51="Long",(M51-G51),(G51-M51))/VLOOKUP(C51,設定!$B$9:$D$23,2,FALSE)),"")</f>
        <v/>
      </c>
      <c r="R51" s="60">
        <f>IFERROR(IF(OR(ISBLANK(Q51),O51=0),"",Q51/O51),"")</f>
        <v/>
      </c>
      <c r="S51" s="60">
        <f>IFERROR(IF(ISBLANK(R51),S50,IF(ISNUMBER(S50),S50,0)+R51),"")</f>
        <v/>
      </c>
      <c r="T51" s="61">
        <f>IFERROR(IF(OR(ISBLANK(Q51),ISBLANK(L51)),"",Q51*L51*VLOOKUP(C51,設定!$B$9:$D$23,3,FALSE)),"")</f>
        <v/>
      </c>
      <c r="U51" s="55" t="n"/>
      <c r="V51" s="55" t="n"/>
    </row>
    <row r="52">
      <c r="A52" s="44">
        <f>IF(ISBLANK(B52),"",COUNTA($B$18:B52))</f>
        <v/>
      </c>
      <c r="B52" s="45" t="n"/>
      <c r="C52" s="46" t="n"/>
      <c r="D52" s="46" t="n"/>
      <c r="E52" s="44" t="n"/>
      <c r="F52" s="47" t="n"/>
      <c r="G52" s="47" t="n"/>
      <c r="H52" s="47" t="n"/>
      <c r="I52" s="47" t="n"/>
      <c r="J52" s="47" t="n"/>
      <c r="K52" s="47" t="n"/>
      <c r="L52" s="48" t="n"/>
      <c r="M52" s="47" t="n"/>
      <c r="N52" s="46" t="n"/>
      <c r="O52" s="49">
        <f>IFERROR(IF(OR(ISBLANK(G52),ISBLANK(I52)),"",ABS(G52-I52)/VLOOKUP(C52,設定!$B$9:$D$23,2,FALSE)),"")</f>
        <v/>
      </c>
      <c r="P52" s="48">
        <f>IFERROR(IF(OR(ISBLANK(F52),ISBLANK(H52),ISBLANK(J52)),"",ABS(J52-F52)/ABS(F52-H52)),"")</f>
        <v/>
      </c>
      <c r="Q52" s="50">
        <f>IFERROR(IF(OR(ISBLANK(M52),ISBLANK(D52),ISBLANK(G52)),"",IF(D52="Long",(M52-G52),(G52-M52))/VLOOKUP(C52,設定!$B$9:$D$23,2,FALSE)),"")</f>
        <v/>
      </c>
      <c r="R52" s="51">
        <f>IFERROR(IF(OR(ISBLANK(Q52),O52=0),"",Q52/O52),"")</f>
        <v/>
      </c>
      <c r="S52" s="51">
        <f>IFERROR(IF(ISBLANK(R52),S51,IF(ISNUMBER(S51),S51,0)+R52),"")</f>
        <v/>
      </c>
      <c r="T52" s="52">
        <f>IFERROR(IF(OR(ISBLANK(Q52),ISBLANK(L52)),"",Q52*L52*VLOOKUP(C52,設定!$B$9:$D$23,3,FALSE)),"")</f>
        <v/>
      </c>
      <c r="U52" s="46" t="n"/>
      <c r="V52" s="46" t="n"/>
    </row>
    <row r="53">
      <c r="A53" s="53">
        <f>IF(ISBLANK(B53),"",COUNTA($B$18:B53))</f>
        <v/>
      </c>
      <c r="B53" s="54" t="n"/>
      <c r="C53" s="55" t="n"/>
      <c r="D53" s="55" t="n"/>
      <c r="E53" s="53" t="n"/>
      <c r="F53" s="56" t="n"/>
      <c r="G53" s="56" t="n"/>
      <c r="H53" s="56" t="n"/>
      <c r="I53" s="56" t="n"/>
      <c r="J53" s="56" t="n"/>
      <c r="K53" s="56" t="n"/>
      <c r="L53" s="57" t="n"/>
      <c r="M53" s="56" t="n"/>
      <c r="N53" s="55" t="n"/>
      <c r="O53" s="58">
        <f>IFERROR(IF(OR(ISBLANK(G53),ISBLANK(I53)),"",ABS(G53-I53)/VLOOKUP(C53,設定!$B$9:$D$23,2,FALSE)),"")</f>
        <v/>
      </c>
      <c r="P53" s="57">
        <f>IFERROR(IF(OR(ISBLANK(F53),ISBLANK(H53),ISBLANK(J53)),"",ABS(J53-F53)/ABS(F53-H53)),"")</f>
        <v/>
      </c>
      <c r="Q53" s="59">
        <f>IFERROR(IF(OR(ISBLANK(M53),ISBLANK(D53),ISBLANK(G53)),"",IF(D53="Long",(M53-G53),(G53-M53))/VLOOKUP(C53,設定!$B$9:$D$23,2,FALSE)),"")</f>
        <v/>
      </c>
      <c r="R53" s="60">
        <f>IFERROR(IF(OR(ISBLANK(Q53),O53=0),"",Q53/O53),"")</f>
        <v/>
      </c>
      <c r="S53" s="60">
        <f>IFERROR(IF(ISBLANK(R53),S52,IF(ISNUMBER(S52),S52,0)+R53),"")</f>
        <v/>
      </c>
      <c r="T53" s="61">
        <f>IFERROR(IF(OR(ISBLANK(Q53),ISBLANK(L53)),"",Q53*L53*VLOOKUP(C53,設定!$B$9:$D$23,3,FALSE)),"")</f>
        <v/>
      </c>
      <c r="U53" s="55" t="n"/>
      <c r="V53" s="55" t="n"/>
    </row>
    <row r="54">
      <c r="A54" s="44">
        <f>IF(ISBLANK(B54),"",COUNTA($B$18:B54))</f>
        <v/>
      </c>
      <c r="B54" s="45" t="n"/>
      <c r="C54" s="46" t="n"/>
      <c r="D54" s="46" t="n"/>
      <c r="E54" s="44" t="n"/>
      <c r="F54" s="47" t="n"/>
      <c r="G54" s="47" t="n"/>
      <c r="H54" s="47" t="n"/>
      <c r="I54" s="47" t="n"/>
      <c r="J54" s="47" t="n"/>
      <c r="K54" s="47" t="n"/>
      <c r="L54" s="48" t="n"/>
      <c r="M54" s="47" t="n"/>
      <c r="N54" s="46" t="n"/>
      <c r="O54" s="49">
        <f>IFERROR(IF(OR(ISBLANK(G54),ISBLANK(I54)),"",ABS(G54-I54)/VLOOKUP(C54,設定!$B$9:$D$23,2,FALSE)),"")</f>
        <v/>
      </c>
      <c r="P54" s="48">
        <f>IFERROR(IF(OR(ISBLANK(F54),ISBLANK(H54),ISBLANK(J54)),"",ABS(J54-F54)/ABS(F54-H54)),"")</f>
        <v/>
      </c>
      <c r="Q54" s="50">
        <f>IFERROR(IF(OR(ISBLANK(M54),ISBLANK(D54),ISBLANK(G54)),"",IF(D54="Long",(M54-G54),(G54-M54))/VLOOKUP(C54,設定!$B$9:$D$23,2,FALSE)),"")</f>
        <v/>
      </c>
      <c r="R54" s="51">
        <f>IFERROR(IF(OR(ISBLANK(Q54),O54=0),"",Q54/O54),"")</f>
        <v/>
      </c>
      <c r="S54" s="51">
        <f>IFERROR(IF(ISBLANK(R54),S53,IF(ISNUMBER(S53),S53,0)+R54),"")</f>
        <v/>
      </c>
      <c r="T54" s="52">
        <f>IFERROR(IF(OR(ISBLANK(Q54),ISBLANK(L54)),"",Q54*L54*VLOOKUP(C54,設定!$B$9:$D$23,3,FALSE)),"")</f>
        <v/>
      </c>
      <c r="U54" s="46" t="n"/>
      <c r="V54" s="46" t="n"/>
    </row>
    <row r="55">
      <c r="A55" s="53">
        <f>IF(ISBLANK(B55),"",COUNTA($B$18:B55))</f>
        <v/>
      </c>
      <c r="B55" s="54" t="n"/>
      <c r="C55" s="55" t="n"/>
      <c r="D55" s="55" t="n"/>
      <c r="E55" s="53" t="n"/>
      <c r="F55" s="56" t="n"/>
      <c r="G55" s="56" t="n"/>
      <c r="H55" s="56" t="n"/>
      <c r="I55" s="56" t="n"/>
      <c r="J55" s="56" t="n"/>
      <c r="K55" s="56" t="n"/>
      <c r="L55" s="57" t="n"/>
      <c r="M55" s="56" t="n"/>
      <c r="N55" s="55" t="n"/>
      <c r="O55" s="58">
        <f>IFERROR(IF(OR(ISBLANK(G55),ISBLANK(I55)),"",ABS(G55-I55)/VLOOKUP(C55,設定!$B$9:$D$23,2,FALSE)),"")</f>
        <v/>
      </c>
      <c r="P55" s="57">
        <f>IFERROR(IF(OR(ISBLANK(F55),ISBLANK(H55),ISBLANK(J55)),"",ABS(J55-F55)/ABS(F55-H55)),"")</f>
        <v/>
      </c>
      <c r="Q55" s="59">
        <f>IFERROR(IF(OR(ISBLANK(M55),ISBLANK(D55),ISBLANK(G55)),"",IF(D55="Long",(M55-G55),(G55-M55))/VLOOKUP(C55,設定!$B$9:$D$23,2,FALSE)),"")</f>
        <v/>
      </c>
      <c r="R55" s="60">
        <f>IFERROR(IF(OR(ISBLANK(Q55),O55=0),"",Q55/O55),"")</f>
        <v/>
      </c>
      <c r="S55" s="60">
        <f>IFERROR(IF(ISBLANK(R55),S54,IF(ISNUMBER(S54),S54,0)+R55),"")</f>
        <v/>
      </c>
      <c r="T55" s="61">
        <f>IFERROR(IF(OR(ISBLANK(Q55),ISBLANK(L55)),"",Q55*L55*VLOOKUP(C55,設定!$B$9:$D$23,3,FALSE)),"")</f>
        <v/>
      </c>
      <c r="U55" s="55" t="n"/>
      <c r="V55" s="55" t="n"/>
    </row>
    <row r="56">
      <c r="A56" s="44">
        <f>IF(ISBLANK(B56),"",COUNTA($B$18:B56))</f>
        <v/>
      </c>
      <c r="B56" s="45" t="n"/>
      <c r="C56" s="46" t="n"/>
      <c r="D56" s="46" t="n"/>
      <c r="E56" s="44" t="n"/>
      <c r="F56" s="47" t="n"/>
      <c r="G56" s="47" t="n"/>
      <c r="H56" s="47" t="n"/>
      <c r="I56" s="47" t="n"/>
      <c r="J56" s="47" t="n"/>
      <c r="K56" s="47" t="n"/>
      <c r="L56" s="48" t="n"/>
      <c r="M56" s="47" t="n"/>
      <c r="N56" s="46" t="n"/>
      <c r="O56" s="49">
        <f>IFERROR(IF(OR(ISBLANK(G56),ISBLANK(I56)),"",ABS(G56-I56)/VLOOKUP(C56,設定!$B$9:$D$23,2,FALSE)),"")</f>
        <v/>
      </c>
      <c r="P56" s="48">
        <f>IFERROR(IF(OR(ISBLANK(F56),ISBLANK(H56),ISBLANK(J56)),"",ABS(J56-F56)/ABS(F56-H56)),"")</f>
        <v/>
      </c>
      <c r="Q56" s="50">
        <f>IFERROR(IF(OR(ISBLANK(M56),ISBLANK(D56),ISBLANK(G56)),"",IF(D56="Long",(M56-G56),(G56-M56))/VLOOKUP(C56,設定!$B$9:$D$23,2,FALSE)),"")</f>
        <v/>
      </c>
      <c r="R56" s="51">
        <f>IFERROR(IF(OR(ISBLANK(Q56),O56=0),"",Q56/O56),"")</f>
        <v/>
      </c>
      <c r="S56" s="51">
        <f>IFERROR(IF(ISBLANK(R56),S55,IF(ISNUMBER(S55),S55,0)+R56),"")</f>
        <v/>
      </c>
      <c r="T56" s="52">
        <f>IFERROR(IF(OR(ISBLANK(Q56),ISBLANK(L56)),"",Q56*L56*VLOOKUP(C56,設定!$B$9:$D$23,3,FALSE)),"")</f>
        <v/>
      </c>
      <c r="U56" s="46" t="n"/>
      <c r="V56" s="46" t="n"/>
    </row>
    <row r="57">
      <c r="A57" s="53">
        <f>IF(ISBLANK(B57),"",COUNTA($B$18:B57))</f>
        <v/>
      </c>
      <c r="B57" s="54" t="n"/>
      <c r="C57" s="55" t="n"/>
      <c r="D57" s="55" t="n"/>
      <c r="E57" s="53" t="n"/>
      <c r="F57" s="56" t="n"/>
      <c r="G57" s="56" t="n"/>
      <c r="H57" s="56" t="n"/>
      <c r="I57" s="56" t="n"/>
      <c r="J57" s="56" t="n"/>
      <c r="K57" s="56" t="n"/>
      <c r="L57" s="57" t="n"/>
      <c r="M57" s="56" t="n"/>
      <c r="N57" s="55" t="n"/>
      <c r="O57" s="58">
        <f>IFERROR(IF(OR(ISBLANK(G57),ISBLANK(I57)),"",ABS(G57-I57)/VLOOKUP(C57,設定!$B$9:$D$23,2,FALSE)),"")</f>
        <v/>
      </c>
      <c r="P57" s="57">
        <f>IFERROR(IF(OR(ISBLANK(F57),ISBLANK(H57),ISBLANK(J57)),"",ABS(J57-F57)/ABS(F57-H57)),"")</f>
        <v/>
      </c>
      <c r="Q57" s="59">
        <f>IFERROR(IF(OR(ISBLANK(M57),ISBLANK(D57),ISBLANK(G57)),"",IF(D57="Long",(M57-G57),(G57-M57))/VLOOKUP(C57,設定!$B$9:$D$23,2,FALSE)),"")</f>
        <v/>
      </c>
      <c r="R57" s="60">
        <f>IFERROR(IF(OR(ISBLANK(Q57),O57=0),"",Q57/O57),"")</f>
        <v/>
      </c>
      <c r="S57" s="60">
        <f>IFERROR(IF(ISBLANK(R57),S56,IF(ISNUMBER(S56),S56,0)+R57),"")</f>
        <v/>
      </c>
      <c r="T57" s="61">
        <f>IFERROR(IF(OR(ISBLANK(Q57),ISBLANK(L57)),"",Q57*L57*VLOOKUP(C57,設定!$B$9:$D$23,3,FALSE)),"")</f>
        <v/>
      </c>
      <c r="U57" s="55" t="n"/>
      <c r="V57" s="55" t="n"/>
    </row>
    <row r="58">
      <c r="A58" s="44">
        <f>IF(ISBLANK(B58),"",COUNTA($B$18:B58))</f>
        <v/>
      </c>
      <c r="B58" s="45" t="n"/>
      <c r="C58" s="46" t="n"/>
      <c r="D58" s="46" t="n"/>
      <c r="E58" s="44" t="n"/>
      <c r="F58" s="47" t="n"/>
      <c r="G58" s="47" t="n"/>
      <c r="H58" s="47" t="n"/>
      <c r="I58" s="47" t="n"/>
      <c r="J58" s="47" t="n"/>
      <c r="K58" s="47" t="n"/>
      <c r="L58" s="48" t="n"/>
      <c r="M58" s="47" t="n"/>
      <c r="N58" s="46" t="n"/>
      <c r="O58" s="49">
        <f>IFERROR(IF(OR(ISBLANK(G58),ISBLANK(I58)),"",ABS(G58-I58)/VLOOKUP(C58,設定!$B$9:$D$23,2,FALSE)),"")</f>
        <v/>
      </c>
      <c r="P58" s="48">
        <f>IFERROR(IF(OR(ISBLANK(F58),ISBLANK(H58),ISBLANK(J58)),"",ABS(J58-F58)/ABS(F58-H58)),"")</f>
        <v/>
      </c>
      <c r="Q58" s="50">
        <f>IFERROR(IF(OR(ISBLANK(M58),ISBLANK(D58),ISBLANK(G58)),"",IF(D58="Long",(M58-G58),(G58-M58))/VLOOKUP(C58,設定!$B$9:$D$23,2,FALSE)),"")</f>
        <v/>
      </c>
      <c r="R58" s="51">
        <f>IFERROR(IF(OR(ISBLANK(Q58),O58=0),"",Q58/O58),"")</f>
        <v/>
      </c>
      <c r="S58" s="51">
        <f>IFERROR(IF(ISBLANK(R58),S57,IF(ISNUMBER(S57),S57,0)+R58),"")</f>
        <v/>
      </c>
      <c r="T58" s="52">
        <f>IFERROR(IF(OR(ISBLANK(Q58),ISBLANK(L58)),"",Q58*L58*VLOOKUP(C58,設定!$B$9:$D$23,3,FALSE)),"")</f>
        <v/>
      </c>
      <c r="U58" s="46" t="n"/>
      <c r="V58" s="46" t="n"/>
    </row>
    <row r="59">
      <c r="A59" s="53">
        <f>IF(ISBLANK(B59),"",COUNTA($B$18:B59))</f>
        <v/>
      </c>
      <c r="B59" s="54" t="n"/>
      <c r="C59" s="55" t="n"/>
      <c r="D59" s="55" t="n"/>
      <c r="E59" s="53" t="n"/>
      <c r="F59" s="56" t="n"/>
      <c r="G59" s="56" t="n"/>
      <c r="H59" s="56" t="n"/>
      <c r="I59" s="56" t="n"/>
      <c r="J59" s="56" t="n"/>
      <c r="K59" s="56" t="n"/>
      <c r="L59" s="57" t="n"/>
      <c r="M59" s="56" t="n"/>
      <c r="N59" s="55" t="n"/>
      <c r="O59" s="58">
        <f>IFERROR(IF(OR(ISBLANK(G59),ISBLANK(I59)),"",ABS(G59-I59)/VLOOKUP(C59,設定!$B$9:$D$23,2,FALSE)),"")</f>
        <v/>
      </c>
      <c r="P59" s="57">
        <f>IFERROR(IF(OR(ISBLANK(F59),ISBLANK(H59),ISBLANK(J59)),"",ABS(J59-F59)/ABS(F59-H59)),"")</f>
        <v/>
      </c>
      <c r="Q59" s="59">
        <f>IFERROR(IF(OR(ISBLANK(M59),ISBLANK(D59),ISBLANK(G59)),"",IF(D59="Long",(M59-G59),(G59-M59))/VLOOKUP(C59,設定!$B$9:$D$23,2,FALSE)),"")</f>
        <v/>
      </c>
      <c r="R59" s="60">
        <f>IFERROR(IF(OR(ISBLANK(Q59),O59=0),"",Q59/O59),"")</f>
        <v/>
      </c>
      <c r="S59" s="60">
        <f>IFERROR(IF(ISBLANK(R59),S58,IF(ISNUMBER(S58),S58,0)+R59),"")</f>
        <v/>
      </c>
      <c r="T59" s="61">
        <f>IFERROR(IF(OR(ISBLANK(Q59),ISBLANK(L59)),"",Q59*L59*VLOOKUP(C59,設定!$B$9:$D$23,3,FALSE)),"")</f>
        <v/>
      </c>
      <c r="U59" s="55" t="n"/>
      <c r="V59" s="55" t="n"/>
    </row>
    <row r="60">
      <c r="A60" s="44">
        <f>IF(ISBLANK(B60),"",COUNTA($B$18:B60))</f>
        <v/>
      </c>
      <c r="B60" s="45" t="n"/>
      <c r="C60" s="46" t="n"/>
      <c r="D60" s="46" t="n"/>
      <c r="E60" s="44" t="n"/>
      <c r="F60" s="47" t="n"/>
      <c r="G60" s="47" t="n"/>
      <c r="H60" s="47" t="n"/>
      <c r="I60" s="47" t="n"/>
      <c r="J60" s="47" t="n"/>
      <c r="K60" s="47" t="n"/>
      <c r="L60" s="48" t="n"/>
      <c r="M60" s="47" t="n"/>
      <c r="N60" s="46" t="n"/>
      <c r="O60" s="49">
        <f>IFERROR(IF(OR(ISBLANK(G60),ISBLANK(I60)),"",ABS(G60-I60)/VLOOKUP(C60,設定!$B$9:$D$23,2,FALSE)),"")</f>
        <v/>
      </c>
      <c r="P60" s="48">
        <f>IFERROR(IF(OR(ISBLANK(F60),ISBLANK(H60),ISBLANK(J60)),"",ABS(J60-F60)/ABS(F60-H60)),"")</f>
        <v/>
      </c>
      <c r="Q60" s="50">
        <f>IFERROR(IF(OR(ISBLANK(M60),ISBLANK(D60),ISBLANK(G60)),"",IF(D60="Long",(M60-G60),(G60-M60))/VLOOKUP(C60,設定!$B$9:$D$23,2,FALSE)),"")</f>
        <v/>
      </c>
      <c r="R60" s="51">
        <f>IFERROR(IF(OR(ISBLANK(Q60),O60=0),"",Q60/O60),"")</f>
        <v/>
      </c>
      <c r="S60" s="51">
        <f>IFERROR(IF(ISBLANK(R60),S59,IF(ISNUMBER(S59),S59,0)+R60),"")</f>
        <v/>
      </c>
      <c r="T60" s="52">
        <f>IFERROR(IF(OR(ISBLANK(Q60),ISBLANK(L60)),"",Q60*L60*VLOOKUP(C60,設定!$B$9:$D$23,3,FALSE)),"")</f>
        <v/>
      </c>
      <c r="U60" s="46" t="n"/>
      <c r="V60" s="46" t="n"/>
    </row>
    <row r="61">
      <c r="A61" s="53">
        <f>IF(ISBLANK(B61),"",COUNTA($B$18:B61))</f>
        <v/>
      </c>
      <c r="B61" s="54" t="n"/>
      <c r="C61" s="55" t="n"/>
      <c r="D61" s="55" t="n"/>
      <c r="E61" s="53" t="n"/>
      <c r="F61" s="56" t="n"/>
      <c r="G61" s="56" t="n"/>
      <c r="H61" s="56" t="n"/>
      <c r="I61" s="56" t="n"/>
      <c r="J61" s="56" t="n"/>
      <c r="K61" s="56" t="n"/>
      <c r="L61" s="57" t="n"/>
      <c r="M61" s="56" t="n"/>
      <c r="N61" s="55" t="n"/>
      <c r="O61" s="58">
        <f>IFERROR(IF(OR(ISBLANK(G61),ISBLANK(I61)),"",ABS(G61-I61)/VLOOKUP(C61,設定!$B$9:$D$23,2,FALSE)),"")</f>
        <v/>
      </c>
      <c r="P61" s="57">
        <f>IFERROR(IF(OR(ISBLANK(F61),ISBLANK(H61),ISBLANK(J61)),"",ABS(J61-F61)/ABS(F61-H61)),"")</f>
        <v/>
      </c>
      <c r="Q61" s="59">
        <f>IFERROR(IF(OR(ISBLANK(M61),ISBLANK(D61),ISBLANK(G61)),"",IF(D61="Long",(M61-G61),(G61-M61))/VLOOKUP(C61,設定!$B$9:$D$23,2,FALSE)),"")</f>
        <v/>
      </c>
      <c r="R61" s="60">
        <f>IFERROR(IF(OR(ISBLANK(Q61),O61=0),"",Q61/O61),"")</f>
        <v/>
      </c>
      <c r="S61" s="60">
        <f>IFERROR(IF(ISBLANK(R61),S60,IF(ISNUMBER(S60),S60,0)+R61),"")</f>
        <v/>
      </c>
      <c r="T61" s="61">
        <f>IFERROR(IF(OR(ISBLANK(Q61),ISBLANK(L61)),"",Q61*L61*VLOOKUP(C61,設定!$B$9:$D$23,3,FALSE)),"")</f>
        <v/>
      </c>
      <c r="U61" s="55" t="n"/>
      <c r="V61" s="55" t="n"/>
    </row>
    <row r="62">
      <c r="A62" s="44">
        <f>IF(ISBLANK(B62),"",COUNTA($B$18:B62))</f>
        <v/>
      </c>
      <c r="B62" s="45" t="n"/>
      <c r="C62" s="46" t="n"/>
      <c r="D62" s="46" t="n"/>
      <c r="E62" s="44" t="n"/>
      <c r="F62" s="47" t="n"/>
      <c r="G62" s="47" t="n"/>
      <c r="H62" s="47" t="n"/>
      <c r="I62" s="47" t="n"/>
      <c r="J62" s="47" t="n"/>
      <c r="K62" s="47" t="n"/>
      <c r="L62" s="48" t="n"/>
      <c r="M62" s="47" t="n"/>
      <c r="N62" s="46" t="n"/>
      <c r="O62" s="49">
        <f>IFERROR(IF(OR(ISBLANK(G62),ISBLANK(I62)),"",ABS(G62-I62)/VLOOKUP(C62,設定!$B$9:$D$23,2,FALSE)),"")</f>
        <v/>
      </c>
      <c r="P62" s="48">
        <f>IFERROR(IF(OR(ISBLANK(F62),ISBLANK(H62),ISBLANK(J62)),"",ABS(J62-F62)/ABS(F62-H62)),"")</f>
        <v/>
      </c>
      <c r="Q62" s="50">
        <f>IFERROR(IF(OR(ISBLANK(M62),ISBLANK(D62),ISBLANK(G62)),"",IF(D62="Long",(M62-G62),(G62-M62))/VLOOKUP(C62,設定!$B$9:$D$23,2,FALSE)),"")</f>
        <v/>
      </c>
      <c r="R62" s="51">
        <f>IFERROR(IF(OR(ISBLANK(Q62),O62=0),"",Q62/O62),"")</f>
        <v/>
      </c>
      <c r="S62" s="51">
        <f>IFERROR(IF(ISBLANK(R62),S61,IF(ISNUMBER(S61),S61,0)+R62),"")</f>
        <v/>
      </c>
      <c r="T62" s="52">
        <f>IFERROR(IF(OR(ISBLANK(Q62),ISBLANK(L62)),"",Q62*L62*VLOOKUP(C62,設定!$B$9:$D$23,3,FALSE)),"")</f>
        <v/>
      </c>
      <c r="U62" s="46" t="n"/>
      <c r="V62" s="46" t="n"/>
    </row>
    <row r="63">
      <c r="A63" s="53">
        <f>IF(ISBLANK(B63),"",COUNTA($B$18:B63))</f>
        <v/>
      </c>
      <c r="B63" s="54" t="n"/>
      <c r="C63" s="55" t="n"/>
      <c r="D63" s="55" t="n"/>
      <c r="E63" s="53" t="n"/>
      <c r="F63" s="56" t="n"/>
      <c r="G63" s="56" t="n"/>
      <c r="H63" s="56" t="n"/>
      <c r="I63" s="56" t="n"/>
      <c r="J63" s="56" t="n"/>
      <c r="K63" s="56" t="n"/>
      <c r="L63" s="57" t="n"/>
      <c r="M63" s="56" t="n"/>
      <c r="N63" s="55" t="n"/>
      <c r="O63" s="58">
        <f>IFERROR(IF(OR(ISBLANK(G63),ISBLANK(I63)),"",ABS(G63-I63)/VLOOKUP(C63,設定!$B$9:$D$23,2,FALSE)),"")</f>
        <v/>
      </c>
      <c r="P63" s="57">
        <f>IFERROR(IF(OR(ISBLANK(F63),ISBLANK(H63),ISBLANK(J63)),"",ABS(J63-F63)/ABS(F63-H63)),"")</f>
        <v/>
      </c>
      <c r="Q63" s="59">
        <f>IFERROR(IF(OR(ISBLANK(M63),ISBLANK(D63),ISBLANK(G63)),"",IF(D63="Long",(M63-G63),(G63-M63))/VLOOKUP(C63,設定!$B$9:$D$23,2,FALSE)),"")</f>
        <v/>
      </c>
      <c r="R63" s="60">
        <f>IFERROR(IF(OR(ISBLANK(Q63),O63=0),"",Q63/O63),"")</f>
        <v/>
      </c>
      <c r="S63" s="60">
        <f>IFERROR(IF(ISBLANK(R63),S62,IF(ISNUMBER(S62),S62,0)+R63),"")</f>
        <v/>
      </c>
      <c r="T63" s="61">
        <f>IFERROR(IF(OR(ISBLANK(Q63),ISBLANK(L63)),"",Q63*L63*VLOOKUP(C63,設定!$B$9:$D$23,3,FALSE)),"")</f>
        <v/>
      </c>
      <c r="U63" s="55" t="n"/>
      <c r="V63" s="55" t="n"/>
    </row>
    <row r="64">
      <c r="A64" s="44">
        <f>IF(ISBLANK(B64),"",COUNTA($B$18:B64))</f>
        <v/>
      </c>
      <c r="B64" s="45" t="n"/>
      <c r="C64" s="46" t="n"/>
      <c r="D64" s="46" t="n"/>
      <c r="E64" s="44" t="n"/>
      <c r="F64" s="47" t="n"/>
      <c r="G64" s="47" t="n"/>
      <c r="H64" s="47" t="n"/>
      <c r="I64" s="47" t="n"/>
      <c r="J64" s="47" t="n"/>
      <c r="K64" s="47" t="n"/>
      <c r="L64" s="48" t="n"/>
      <c r="M64" s="47" t="n"/>
      <c r="N64" s="46" t="n"/>
      <c r="O64" s="49">
        <f>IFERROR(IF(OR(ISBLANK(G64),ISBLANK(I64)),"",ABS(G64-I64)/VLOOKUP(C64,設定!$B$9:$D$23,2,FALSE)),"")</f>
        <v/>
      </c>
      <c r="P64" s="48">
        <f>IFERROR(IF(OR(ISBLANK(F64),ISBLANK(H64),ISBLANK(J64)),"",ABS(J64-F64)/ABS(F64-H64)),"")</f>
        <v/>
      </c>
      <c r="Q64" s="50">
        <f>IFERROR(IF(OR(ISBLANK(M64),ISBLANK(D64),ISBLANK(G64)),"",IF(D64="Long",(M64-G64),(G64-M64))/VLOOKUP(C64,設定!$B$9:$D$23,2,FALSE)),"")</f>
        <v/>
      </c>
      <c r="R64" s="51">
        <f>IFERROR(IF(OR(ISBLANK(Q64),O64=0),"",Q64/O64),"")</f>
        <v/>
      </c>
      <c r="S64" s="51">
        <f>IFERROR(IF(ISBLANK(R64),S63,IF(ISNUMBER(S63),S63,0)+R64),"")</f>
        <v/>
      </c>
      <c r="T64" s="52">
        <f>IFERROR(IF(OR(ISBLANK(Q64),ISBLANK(L64)),"",Q64*L64*VLOOKUP(C64,設定!$B$9:$D$23,3,FALSE)),"")</f>
        <v/>
      </c>
      <c r="U64" s="46" t="n"/>
      <c r="V64" s="46" t="n"/>
    </row>
    <row r="65">
      <c r="A65" s="53">
        <f>IF(ISBLANK(B65),"",COUNTA($B$18:B65))</f>
        <v/>
      </c>
      <c r="B65" s="54" t="n"/>
      <c r="C65" s="55" t="n"/>
      <c r="D65" s="55" t="n"/>
      <c r="E65" s="53" t="n"/>
      <c r="F65" s="56" t="n"/>
      <c r="G65" s="56" t="n"/>
      <c r="H65" s="56" t="n"/>
      <c r="I65" s="56" t="n"/>
      <c r="J65" s="56" t="n"/>
      <c r="K65" s="56" t="n"/>
      <c r="L65" s="57" t="n"/>
      <c r="M65" s="56" t="n"/>
      <c r="N65" s="55" t="n"/>
      <c r="O65" s="58">
        <f>IFERROR(IF(OR(ISBLANK(G65),ISBLANK(I65)),"",ABS(G65-I65)/VLOOKUP(C65,設定!$B$9:$D$23,2,FALSE)),"")</f>
        <v/>
      </c>
      <c r="P65" s="57">
        <f>IFERROR(IF(OR(ISBLANK(F65),ISBLANK(H65),ISBLANK(J65)),"",ABS(J65-F65)/ABS(F65-H65)),"")</f>
        <v/>
      </c>
      <c r="Q65" s="59">
        <f>IFERROR(IF(OR(ISBLANK(M65),ISBLANK(D65),ISBLANK(G65)),"",IF(D65="Long",(M65-G65),(G65-M65))/VLOOKUP(C65,設定!$B$9:$D$23,2,FALSE)),"")</f>
        <v/>
      </c>
      <c r="R65" s="60">
        <f>IFERROR(IF(OR(ISBLANK(Q65),O65=0),"",Q65/O65),"")</f>
        <v/>
      </c>
      <c r="S65" s="60">
        <f>IFERROR(IF(ISBLANK(R65),S64,IF(ISNUMBER(S64),S64,0)+R65),"")</f>
        <v/>
      </c>
      <c r="T65" s="61">
        <f>IFERROR(IF(OR(ISBLANK(Q65),ISBLANK(L65)),"",Q65*L65*VLOOKUP(C65,設定!$B$9:$D$23,3,FALSE)),"")</f>
        <v/>
      </c>
      <c r="U65" s="55" t="n"/>
      <c r="V65" s="55" t="n"/>
    </row>
    <row r="66">
      <c r="A66" s="44">
        <f>IF(ISBLANK(B66),"",COUNTA($B$18:B66))</f>
        <v/>
      </c>
      <c r="B66" s="45" t="n"/>
      <c r="C66" s="46" t="n"/>
      <c r="D66" s="46" t="n"/>
      <c r="E66" s="44" t="n"/>
      <c r="F66" s="47" t="n"/>
      <c r="G66" s="47" t="n"/>
      <c r="H66" s="47" t="n"/>
      <c r="I66" s="47" t="n"/>
      <c r="J66" s="47" t="n"/>
      <c r="K66" s="47" t="n"/>
      <c r="L66" s="48" t="n"/>
      <c r="M66" s="47" t="n"/>
      <c r="N66" s="46" t="n"/>
      <c r="O66" s="49">
        <f>IFERROR(IF(OR(ISBLANK(G66),ISBLANK(I66)),"",ABS(G66-I66)/VLOOKUP(C66,設定!$B$9:$D$23,2,FALSE)),"")</f>
        <v/>
      </c>
      <c r="P66" s="48">
        <f>IFERROR(IF(OR(ISBLANK(F66),ISBLANK(H66),ISBLANK(J66)),"",ABS(J66-F66)/ABS(F66-H66)),"")</f>
        <v/>
      </c>
      <c r="Q66" s="50">
        <f>IFERROR(IF(OR(ISBLANK(M66),ISBLANK(D66),ISBLANK(G66)),"",IF(D66="Long",(M66-G66),(G66-M66))/VLOOKUP(C66,設定!$B$9:$D$23,2,FALSE)),"")</f>
        <v/>
      </c>
      <c r="R66" s="51">
        <f>IFERROR(IF(OR(ISBLANK(Q66),O66=0),"",Q66/O66),"")</f>
        <v/>
      </c>
      <c r="S66" s="51">
        <f>IFERROR(IF(ISBLANK(R66),S65,IF(ISNUMBER(S65),S65,0)+R66),"")</f>
        <v/>
      </c>
      <c r="T66" s="52">
        <f>IFERROR(IF(OR(ISBLANK(Q66),ISBLANK(L66)),"",Q66*L66*VLOOKUP(C66,設定!$B$9:$D$23,3,FALSE)),"")</f>
        <v/>
      </c>
      <c r="U66" s="46" t="n"/>
      <c r="V66" s="46" t="n"/>
    </row>
    <row r="67">
      <c r="A67" s="53">
        <f>IF(ISBLANK(B67),"",COUNTA($B$18:B67))</f>
        <v/>
      </c>
      <c r="B67" s="54" t="n"/>
      <c r="C67" s="55" t="n"/>
      <c r="D67" s="55" t="n"/>
      <c r="E67" s="53" t="n"/>
      <c r="F67" s="56" t="n"/>
      <c r="G67" s="56" t="n"/>
      <c r="H67" s="56" t="n"/>
      <c r="I67" s="56" t="n"/>
      <c r="J67" s="56" t="n"/>
      <c r="K67" s="56" t="n"/>
      <c r="L67" s="57" t="n"/>
      <c r="M67" s="56" t="n"/>
      <c r="N67" s="55" t="n"/>
      <c r="O67" s="58">
        <f>IFERROR(IF(OR(ISBLANK(G67),ISBLANK(I67)),"",ABS(G67-I67)/VLOOKUP(C67,設定!$B$9:$D$23,2,FALSE)),"")</f>
        <v/>
      </c>
      <c r="P67" s="57">
        <f>IFERROR(IF(OR(ISBLANK(F67),ISBLANK(H67),ISBLANK(J67)),"",ABS(J67-F67)/ABS(F67-H67)),"")</f>
        <v/>
      </c>
      <c r="Q67" s="59">
        <f>IFERROR(IF(OR(ISBLANK(M67),ISBLANK(D67),ISBLANK(G67)),"",IF(D67="Long",(M67-G67),(G67-M67))/VLOOKUP(C67,設定!$B$9:$D$23,2,FALSE)),"")</f>
        <v/>
      </c>
      <c r="R67" s="60">
        <f>IFERROR(IF(OR(ISBLANK(Q67),O67=0),"",Q67/O67),"")</f>
        <v/>
      </c>
      <c r="S67" s="60">
        <f>IFERROR(IF(ISBLANK(R67),S66,IF(ISNUMBER(S66),S66,0)+R67),"")</f>
        <v/>
      </c>
      <c r="T67" s="61">
        <f>IFERROR(IF(OR(ISBLANK(Q67),ISBLANK(L67)),"",Q67*L67*VLOOKUP(C67,設定!$B$9:$D$23,3,FALSE)),"")</f>
        <v/>
      </c>
      <c r="U67" s="55" t="n"/>
      <c r="V67" s="55" t="n"/>
    </row>
    <row r="68">
      <c r="A68" s="44">
        <f>IF(ISBLANK(B68),"",COUNTA($B$18:B68))</f>
        <v/>
      </c>
      <c r="B68" s="45" t="n"/>
      <c r="C68" s="46" t="n"/>
      <c r="D68" s="46" t="n"/>
      <c r="E68" s="44" t="n"/>
      <c r="F68" s="47" t="n"/>
      <c r="G68" s="47" t="n"/>
      <c r="H68" s="47" t="n"/>
      <c r="I68" s="47" t="n"/>
      <c r="J68" s="47" t="n"/>
      <c r="K68" s="47" t="n"/>
      <c r="L68" s="48" t="n"/>
      <c r="M68" s="47" t="n"/>
      <c r="N68" s="46" t="n"/>
      <c r="O68" s="49">
        <f>IFERROR(IF(OR(ISBLANK(G68),ISBLANK(I68)),"",ABS(G68-I68)/VLOOKUP(C68,設定!$B$9:$D$23,2,FALSE)),"")</f>
        <v/>
      </c>
      <c r="P68" s="48">
        <f>IFERROR(IF(OR(ISBLANK(F68),ISBLANK(H68),ISBLANK(J68)),"",ABS(J68-F68)/ABS(F68-H68)),"")</f>
        <v/>
      </c>
      <c r="Q68" s="50">
        <f>IFERROR(IF(OR(ISBLANK(M68),ISBLANK(D68),ISBLANK(G68)),"",IF(D68="Long",(M68-G68),(G68-M68))/VLOOKUP(C68,設定!$B$9:$D$23,2,FALSE)),"")</f>
        <v/>
      </c>
      <c r="R68" s="51">
        <f>IFERROR(IF(OR(ISBLANK(Q68),O68=0),"",Q68/O68),"")</f>
        <v/>
      </c>
      <c r="S68" s="51">
        <f>IFERROR(IF(ISBLANK(R68),S67,IF(ISNUMBER(S67),S67,0)+R68),"")</f>
        <v/>
      </c>
      <c r="T68" s="52">
        <f>IFERROR(IF(OR(ISBLANK(Q68),ISBLANK(L68)),"",Q68*L68*VLOOKUP(C68,設定!$B$9:$D$23,3,FALSE)),"")</f>
        <v/>
      </c>
      <c r="U68" s="46" t="n"/>
      <c r="V68" s="46" t="n"/>
    </row>
    <row r="69">
      <c r="A69" s="53">
        <f>IF(ISBLANK(B69),"",COUNTA($B$18:B69))</f>
        <v/>
      </c>
      <c r="B69" s="54" t="n"/>
      <c r="C69" s="55" t="n"/>
      <c r="D69" s="55" t="n"/>
      <c r="E69" s="53" t="n"/>
      <c r="F69" s="56" t="n"/>
      <c r="G69" s="56" t="n"/>
      <c r="H69" s="56" t="n"/>
      <c r="I69" s="56" t="n"/>
      <c r="J69" s="56" t="n"/>
      <c r="K69" s="56" t="n"/>
      <c r="L69" s="57" t="n"/>
      <c r="M69" s="56" t="n"/>
      <c r="N69" s="55" t="n"/>
      <c r="O69" s="58">
        <f>IFERROR(IF(OR(ISBLANK(G69),ISBLANK(I69)),"",ABS(G69-I69)/VLOOKUP(C69,設定!$B$9:$D$23,2,FALSE)),"")</f>
        <v/>
      </c>
      <c r="P69" s="57">
        <f>IFERROR(IF(OR(ISBLANK(F69),ISBLANK(H69),ISBLANK(J69)),"",ABS(J69-F69)/ABS(F69-H69)),"")</f>
        <v/>
      </c>
      <c r="Q69" s="59">
        <f>IFERROR(IF(OR(ISBLANK(M69),ISBLANK(D69),ISBLANK(G69)),"",IF(D69="Long",(M69-G69),(G69-M69))/VLOOKUP(C69,設定!$B$9:$D$23,2,FALSE)),"")</f>
        <v/>
      </c>
      <c r="R69" s="60">
        <f>IFERROR(IF(OR(ISBLANK(Q69),O69=0),"",Q69/O69),"")</f>
        <v/>
      </c>
      <c r="S69" s="60">
        <f>IFERROR(IF(ISBLANK(R69),S68,IF(ISNUMBER(S68),S68,0)+R69),"")</f>
        <v/>
      </c>
      <c r="T69" s="61">
        <f>IFERROR(IF(OR(ISBLANK(Q69),ISBLANK(L69)),"",Q69*L69*VLOOKUP(C69,設定!$B$9:$D$23,3,FALSE)),"")</f>
        <v/>
      </c>
      <c r="U69" s="55" t="n"/>
      <c r="V69" s="55" t="n"/>
    </row>
    <row r="70">
      <c r="A70" s="44">
        <f>IF(ISBLANK(B70),"",COUNTA($B$18:B70))</f>
        <v/>
      </c>
      <c r="B70" s="45" t="n"/>
      <c r="C70" s="46" t="n"/>
      <c r="D70" s="46" t="n"/>
      <c r="E70" s="44" t="n"/>
      <c r="F70" s="47" t="n"/>
      <c r="G70" s="47" t="n"/>
      <c r="H70" s="47" t="n"/>
      <c r="I70" s="47" t="n"/>
      <c r="J70" s="47" t="n"/>
      <c r="K70" s="47" t="n"/>
      <c r="L70" s="48" t="n"/>
      <c r="M70" s="47" t="n"/>
      <c r="N70" s="46" t="n"/>
      <c r="O70" s="49">
        <f>IFERROR(IF(OR(ISBLANK(G70),ISBLANK(I70)),"",ABS(G70-I70)/VLOOKUP(C70,設定!$B$9:$D$23,2,FALSE)),"")</f>
        <v/>
      </c>
      <c r="P70" s="48">
        <f>IFERROR(IF(OR(ISBLANK(F70),ISBLANK(H70),ISBLANK(J70)),"",ABS(J70-F70)/ABS(F70-H70)),"")</f>
        <v/>
      </c>
      <c r="Q70" s="50">
        <f>IFERROR(IF(OR(ISBLANK(M70),ISBLANK(D70),ISBLANK(G70)),"",IF(D70="Long",(M70-G70),(G70-M70))/VLOOKUP(C70,設定!$B$9:$D$23,2,FALSE)),"")</f>
        <v/>
      </c>
      <c r="R70" s="51">
        <f>IFERROR(IF(OR(ISBLANK(Q70),O70=0),"",Q70/O70),"")</f>
        <v/>
      </c>
      <c r="S70" s="51">
        <f>IFERROR(IF(ISBLANK(R70),S69,IF(ISNUMBER(S69),S69,0)+R70),"")</f>
        <v/>
      </c>
      <c r="T70" s="52">
        <f>IFERROR(IF(OR(ISBLANK(Q70),ISBLANK(L70)),"",Q70*L70*VLOOKUP(C70,設定!$B$9:$D$23,3,FALSE)),"")</f>
        <v/>
      </c>
      <c r="U70" s="46" t="n"/>
      <c r="V70" s="46" t="n"/>
    </row>
    <row r="71">
      <c r="A71" s="53">
        <f>IF(ISBLANK(B71),"",COUNTA($B$18:B71))</f>
        <v/>
      </c>
      <c r="B71" s="54" t="n"/>
      <c r="C71" s="55" t="n"/>
      <c r="D71" s="55" t="n"/>
      <c r="E71" s="53" t="n"/>
      <c r="F71" s="56" t="n"/>
      <c r="G71" s="56" t="n"/>
      <c r="H71" s="56" t="n"/>
      <c r="I71" s="56" t="n"/>
      <c r="J71" s="56" t="n"/>
      <c r="K71" s="56" t="n"/>
      <c r="L71" s="57" t="n"/>
      <c r="M71" s="56" t="n"/>
      <c r="N71" s="55" t="n"/>
      <c r="O71" s="58">
        <f>IFERROR(IF(OR(ISBLANK(G71),ISBLANK(I71)),"",ABS(G71-I71)/VLOOKUP(C71,設定!$B$9:$D$23,2,FALSE)),"")</f>
        <v/>
      </c>
      <c r="P71" s="57">
        <f>IFERROR(IF(OR(ISBLANK(F71),ISBLANK(H71),ISBLANK(J71)),"",ABS(J71-F71)/ABS(F71-H71)),"")</f>
        <v/>
      </c>
      <c r="Q71" s="59">
        <f>IFERROR(IF(OR(ISBLANK(M71),ISBLANK(D71),ISBLANK(G71)),"",IF(D71="Long",(M71-G71),(G71-M71))/VLOOKUP(C71,設定!$B$9:$D$23,2,FALSE)),"")</f>
        <v/>
      </c>
      <c r="R71" s="60">
        <f>IFERROR(IF(OR(ISBLANK(Q71),O71=0),"",Q71/O71),"")</f>
        <v/>
      </c>
      <c r="S71" s="60">
        <f>IFERROR(IF(ISBLANK(R71),S70,IF(ISNUMBER(S70),S70,0)+R71),"")</f>
        <v/>
      </c>
      <c r="T71" s="61">
        <f>IFERROR(IF(OR(ISBLANK(Q71),ISBLANK(L71)),"",Q71*L71*VLOOKUP(C71,設定!$B$9:$D$23,3,FALSE)),"")</f>
        <v/>
      </c>
      <c r="U71" s="55" t="n"/>
      <c r="V71" s="55" t="n"/>
    </row>
    <row r="72">
      <c r="A72" s="44">
        <f>IF(ISBLANK(B72),"",COUNTA($B$18:B72))</f>
        <v/>
      </c>
      <c r="B72" s="45" t="n"/>
      <c r="C72" s="46" t="n"/>
      <c r="D72" s="46" t="n"/>
      <c r="E72" s="44" t="n"/>
      <c r="F72" s="47" t="n"/>
      <c r="G72" s="47" t="n"/>
      <c r="H72" s="47" t="n"/>
      <c r="I72" s="47" t="n"/>
      <c r="J72" s="47" t="n"/>
      <c r="K72" s="47" t="n"/>
      <c r="L72" s="48" t="n"/>
      <c r="M72" s="47" t="n"/>
      <c r="N72" s="46" t="n"/>
      <c r="O72" s="49">
        <f>IFERROR(IF(OR(ISBLANK(G72),ISBLANK(I72)),"",ABS(G72-I72)/VLOOKUP(C72,設定!$B$9:$D$23,2,FALSE)),"")</f>
        <v/>
      </c>
      <c r="P72" s="48">
        <f>IFERROR(IF(OR(ISBLANK(F72),ISBLANK(H72),ISBLANK(J72)),"",ABS(J72-F72)/ABS(F72-H72)),"")</f>
        <v/>
      </c>
      <c r="Q72" s="50">
        <f>IFERROR(IF(OR(ISBLANK(M72),ISBLANK(D72),ISBLANK(G72)),"",IF(D72="Long",(M72-G72),(G72-M72))/VLOOKUP(C72,設定!$B$9:$D$23,2,FALSE)),"")</f>
        <v/>
      </c>
      <c r="R72" s="51">
        <f>IFERROR(IF(OR(ISBLANK(Q72),O72=0),"",Q72/O72),"")</f>
        <v/>
      </c>
      <c r="S72" s="51">
        <f>IFERROR(IF(ISBLANK(R72),S71,IF(ISNUMBER(S71),S71,0)+R72),"")</f>
        <v/>
      </c>
      <c r="T72" s="52">
        <f>IFERROR(IF(OR(ISBLANK(Q72),ISBLANK(L72)),"",Q72*L72*VLOOKUP(C72,設定!$B$9:$D$23,3,FALSE)),"")</f>
        <v/>
      </c>
      <c r="U72" s="46" t="n"/>
      <c r="V72" s="46" t="n"/>
    </row>
    <row r="73">
      <c r="A73" s="53">
        <f>IF(ISBLANK(B73),"",COUNTA($B$18:B73))</f>
        <v/>
      </c>
      <c r="B73" s="54" t="n"/>
      <c r="C73" s="55" t="n"/>
      <c r="D73" s="55" t="n"/>
      <c r="E73" s="53" t="n"/>
      <c r="F73" s="56" t="n"/>
      <c r="G73" s="56" t="n"/>
      <c r="H73" s="56" t="n"/>
      <c r="I73" s="56" t="n"/>
      <c r="J73" s="56" t="n"/>
      <c r="K73" s="56" t="n"/>
      <c r="L73" s="57" t="n"/>
      <c r="M73" s="56" t="n"/>
      <c r="N73" s="55" t="n"/>
      <c r="O73" s="58">
        <f>IFERROR(IF(OR(ISBLANK(G73),ISBLANK(I73)),"",ABS(G73-I73)/VLOOKUP(C73,設定!$B$9:$D$23,2,FALSE)),"")</f>
        <v/>
      </c>
      <c r="P73" s="57">
        <f>IFERROR(IF(OR(ISBLANK(F73),ISBLANK(H73),ISBLANK(J73)),"",ABS(J73-F73)/ABS(F73-H73)),"")</f>
        <v/>
      </c>
      <c r="Q73" s="59">
        <f>IFERROR(IF(OR(ISBLANK(M73),ISBLANK(D73),ISBLANK(G73)),"",IF(D73="Long",(M73-G73),(G73-M73))/VLOOKUP(C73,設定!$B$9:$D$23,2,FALSE)),"")</f>
        <v/>
      </c>
      <c r="R73" s="60">
        <f>IFERROR(IF(OR(ISBLANK(Q73),O73=0),"",Q73/O73),"")</f>
        <v/>
      </c>
      <c r="S73" s="60">
        <f>IFERROR(IF(ISBLANK(R73),S72,IF(ISNUMBER(S72),S72,0)+R73),"")</f>
        <v/>
      </c>
      <c r="T73" s="61">
        <f>IFERROR(IF(OR(ISBLANK(Q73),ISBLANK(L73)),"",Q73*L73*VLOOKUP(C73,設定!$B$9:$D$23,3,FALSE)),"")</f>
        <v/>
      </c>
      <c r="U73" s="55" t="n"/>
      <c r="V73" s="55" t="n"/>
    </row>
    <row r="74">
      <c r="A74" s="44">
        <f>IF(ISBLANK(B74),"",COUNTA($B$18:B74))</f>
        <v/>
      </c>
      <c r="B74" s="45" t="n"/>
      <c r="C74" s="46" t="n"/>
      <c r="D74" s="46" t="n"/>
      <c r="E74" s="44" t="n"/>
      <c r="F74" s="47" t="n"/>
      <c r="G74" s="47" t="n"/>
      <c r="H74" s="47" t="n"/>
      <c r="I74" s="47" t="n"/>
      <c r="J74" s="47" t="n"/>
      <c r="K74" s="47" t="n"/>
      <c r="L74" s="48" t="n"/>
      <c r="M74" s="47" t="n"/>
      <c r="N74" s="46" t="n"/>
      <c r="O74" s="49">
        <f>IFERROR(IF(OR(ISBLANK(G74),ISBLANK(I74)),"",ABS(G74-I74)/VLOOKUP(C74,設定!$B$9:$D$23,2,FALSE)),"")</f>
        <v/>
      </c>
      <c r="P74" s="48">
        <f>IFERROR(IF(OR(ISBLANK(F74),ISBLANK(H74),ISBLANK(J74)),"",ABS(J74-F74)/ABS(F74-H74)),"")</f>
        <v/>
      </c>
      <c r="Q74" s="50">
        <f>IFERROR(IF(OR(ISBLANK(M74),ISBLANK(D74),ISBLANK(G74)),"",IF(D74="Long",(M74-G74),(G74-M74))/VLOOKUP(C74,設定!$B$9:$D$23,2,FALSE)),"")</f>
        <v/>
      </c>
      <c r="R74" s="51">
        <f>IFERROR(IF(OR(ISBLANK(Q74),O74=0),"",Q74/O74),"")</f>
        <v/>
      </c>
      <c r="S74" s="51">
        <f>IFERROR(IF(ISBLANK(R74),S73,IF(ISNUMBER(S73),S73,0)+R74),"")</f>
        <v/>
      </c>
      <c r="T74" s="52">
        <f>IFERROR(IF(OR(ISBLANK(Q74),ISBLANK(L74)),"",Q74*L74*VLOOKUP(C74,設定!$B$9:$D$23,3,FALSE)),"")</f>
        <v/>
      </c>
      <c r="U74" s="46" t="n"/>
      <c r="V74" s="46" t="n"/>
    </row>
    <row r="75">
      <c r="A75" s="53">
        <f>IF(ISBLANK(B75),"",COUNTA($B$18:B75))</f>
        <v/>
      </c>
      <c r="B75" s="54" t="n"/>
      <c r="C75" s="55" t="n"/>
      <c r="D75" s="55" t="n"/>
      <c r="E75" s="53" t="n"/>
      <c r="F75" s="56" t="n"/>
      <c r="G75" s="56" t="n"/>
      <c r="H75" s="56" t="n"/>
      <c r="I75" s="56" t="n"/>
      <c r="J75" s="56" t="n"/>
      <c r="K75" s="56" t="n"/>
      <c r="L75" s="57" t="n"/>
      <c r="M75" s="56" t="n"/>
      <c r="N75" s="55" t="n"/>
      <c r="O75" s="58">
        <f>IFERROR(IF(OR(ISBLANK(G75),ISBLANK(I75)),"",ABS(G75-I75)/VLOOKUP(C75,設定!$B$9:$D$23,2,FALSE)),"")</f>
        <v/>
      </c>
      <c r="P75" s="57">
        <f>IFERROR(IF(OR(ISBLANK(F75),ISBLANK(H75),ISBLANK(J75)),"",ABS(J75-F75)/ABS(F75-H75)),"")</f>
        <v/>
      </c>
      <c r="Q75" s="59">
        <f>IFERROR(IF(OR(ISBLANK(M75),ISBLANK(D75),ISBLANK(G75)),"",IF(D75="Long",(M75-G75),(G75-M75))/VLOOKUP(C75,設定!$B$9:$D$23,2,FALSE)),"")</f>
        <v/>
      </c>
      <c r="R75" s="60">
        <f>IFERROR(IF(OR(ISBLANK(Q75),O75=0),"",Q75/O75),"")</f>
        <v/>
      </c>
      <c r="S75" s="60">
        <f>IFERROR(IF(ISBLANK(R75),S74,IF(ISNUMBER(S74),S74,0)+R75),"")</f>
        <v/>
      </c>
      <c r="T75" s="61">
        <f>IFERROR(IF(OR(ISBLANK(Q75),ISBLANK(L75)),"",Q75*L75*VLOOKUP(C75,設定!$B$9:$D$23,3,FALSE)),"")</f>
        <v/>
      </c>
      <c r="U75" s="55" t="n"/>
      <c r="V75" s="55" t="n"/>
    </row>
    <row r="76">
      <c r="A76" s="44">
        <f>IF(ISBLANK(B76),"",COUNTA($B$18:B76))</f>
        <v/>
      </c>
      <c r="B76" s="45" t="n"/>
      <c r="C76" s="46" t="n"/>
      <c r="D76" s="46" t="n"/>
      <c r="E76" s="44" t="n"/>
      <c r="F76" s="47" t="n"/>
      <c r="G76" s="47" t="n"/>
      <c r="H76" s="47" t="n"/>
      <c r="I76" s="47" t="n"/>
      <c r="J76" s="47" t="n"/>
      <c r="K76" s="47" t="n"/>
      <c r="L76" s="48" t="n"/>
      <c r="M76" s="47" t="n"/>
      <c r="N76" s="46" t="n"/>
      <c r="O76" s="49">
        <f>IFERROR(IF(OR(ISBLANK(G76),ISBLANK(I76)),"",ABS(G76-I76)/VLOOKUP(C76,設定!$B$9:$D$23,2,FALSE)),"")</f>
        <v/>
      </c>
      <c r="P76" s="48">
        <f>IFERROR(IF(OR(ISBLANK(F76),ISBLANK(H76),ISBLANK(J76)),"",ABS(J76-F76)/ABS(F76-H76)),"")</f>
        <v/>
      </c>
      <c r="Q76" s="50">
        <f>IFERROR(IF(OR(ISBLANK(M76),ISBLANK(D76),ISBLANK(G76)),"",IF(D76="Long",(M76-G76),(G76-M76))/VLOOKUP(C76,設定!$B$9:$D$23,2,FALSE)),"")</f>
        <v/>
      </c>
      <c r="R76" s="51">
        <f>IFERROR(IF(OR(ISBLANK(Q76),O76=0),"",Q76/O76),"")</f>
        <v/>
      </c>
      <c r="S76" s="51">
        <f>IFERROR(IF(ISBLANK(R76),S75,IF(ISNUMBER(S75),S75,0)+R76),"")</f>
        <v/>
      </c>
      <c r="T76" s="52">
        <f>IFERROR(IF(OR(ISBLANK(Q76),ISBLANK(L76)),"",Q76*L76*VLOOKUP(C76,設定!$B$9:$D$23,3,FALSE)),"")</f>
        <v/>
      </c>
      <c r="U76" s="46" t="n"/>
      <c r="V76" s="46" t="n"/>
    </row>
    <row r="77">
      <c r="A77" s="53">
        <f>IF(ISBLANK(B77),"",COUNTA($B$18:B77))</f>
        <v/>
      </c>
      <c r="B77" s="54" t="n"/>
      <c r="C77" s="55" t="n"/>
      <c r="D77" s="55" t="n"/>
      <c r="E77" s="53" t="n"/>
      <c r="F77" s="56" t="n"/>
      <c r="G77" s="56" t="n"/>
      <c r="H77" s="56" t="n"/>
      <c r="I77" s="56" t="n"/>
      <c r="J77" s="56" t="n"/>
      <c r="K77" s="56" t="n"/>
      <c r="L77" s="57" t="n"/>
      <c r="M77" s="56" t="n"/>
      <c r="N77" s="55" t="n"/>
      <c r="O77" s="58">
        <f>IFERROR(IF(OR(ISBLANK(G77),ISBLANK(I77)),"",ABS(G77-I77)/VLOOKUP(C77,設定!$B$9:$D$23,2,FALSE)),"")</f>
        <v/>
      </c>
      <c r="P77" s="57">
        <f>IFERROR(IF(OR(ISBLANK(F77),ISBLANK(H77),ISBLANK(J77)),"",ABS(J77-F77)/ABS(F77-H77)),"")</f>
        <v/>
      </c>
      <c r="Q77" s="59">
        <f>IFERROR(IF(OR(ISBLANK(M77),ISBLANK(D77),ISBLANK(G77)),"",IF(D77="Long",(M77-G77),(G77-M77))/VLOOKUP(C77,設定!$B$9:$D$23,2,FALSE)),"")</f>
        <v/>
      </c>
      <c r="R77" s="60">
        <f>IFERROR(IF(OR(ISBLANK(Q77),O77=0),"",Q77/O77),"")</f>
        <v/>
      </c>
      <c r="S77" s="60">
        <f>IFERROR(IF(ISBLANK(R77),S76,IF(ISNUMBER(S76),S76,0)+R77),"")</f>
        <v/>
      </c>
      <c r="T77" s="61">
        <f>IFERROR(IF(OR(ISBLANK(Q77),ISBLANK(L77)),"",Q77*L77*VLOOKUP(C77,設定!$B$9:$D$23,3,FALSE)),"")</f>
        <v/>
      </c>
      <c r="U77" s="55" t="n"/>
      <c r="V77" s="55" t="n"/>
    </row>
    <row r="78">
      <c r="A78" s="44">
        <f>IF(ISBLANK(B78),"",COUNTA($B$18:B78))</f>
        <v/>
      </c>
      <c r="B78" s="45" t="n"/>
      <c r="C78" s="46" t="n"/>
      <c r="D78" s="46" t="n"/>
      <c r="E78" s="44" t="n"/>
      <c r="F78" s="47" t="n"/>
      <c r="G78" s="47" t="n"/>
      <c r="H78" s="47" t="n"/>
      <c r="I78" s="47" t="n"/>
      <c r="J78" s="47" t="n"/>
      <c r="K78" s="47" t="n"/>
      <c r="L78" s="48" t="n"/>
      <c r="M78" s="47" t="n"/>
      <c r="N78" s="46" t="n"/>
      <c r="O78" s="49">
        <f>IFERROR(IF(OR(ISBLANK(G78),ISBLANK(I78)),"",ABS(G78-I78)/VLOOKUP(C78,設定!$B$9:$D$23,2,FALSE)),"")</f>
        <v/>
      </c>
      <c r="P78" s="48">
        <f>IFERROR(IF(OR(ISBLANK(F78),ISBLANK(H78),ISBLANK(J78)),"",ABS(J78-F78)/ABS(F78-H78)),"")</f>
        <v/>
      </c>
      <c r="Q78" s="50">
        <f>IFERROR(IF(OR(ISBLANK(M78),ISBLANK(D78),ISBLANK(G78)),"",IF(D78="Long",(M78-G78),(G78-M78))/VLOOKUP(C78,設定!$B$9:$D$23,2,FALSE)),"")</f>
        <v/>
      </c>
      <c r="R78" s="51">
        <f>IFERROR(IF(OR(ISBLANK(Q78),O78=0),"",Q78/O78),"")</f>
        <v/>
      </c>
      <c r="S78" s="51">
        <f>IFERROR(IF(ISBLANK(R78),S77,IF(ISNUMBER(S77),S77,0)+R78),"")</f>
        <v/>
      </c>
      <c r="T78" s="52">
        <f>IFERROR(IF(OR(ISBLANK(Q78),ISBLANK(L78)),"",Q78*L78*VLOOKUP(C78,設定!$B$9:$D$23,3,FALSE)),"")</f>
        <v/>
      </c>
      <c r="U78" s="46" t="n"/>
      <c r="V78" s="46" t="n"/>
    </row>
    <row r="79">
      <c r="A79" s="53">
        <f>IF(ISBLANK(B79),"",COUNTA($B$18:B79))</f>
        <v/>
      </c>
      <c r="B79" s="54" t="n"/>
      <c r="C79" s="55" t="n"/>
      <c r="D79" s="55" t="n"/>
      <c r="E79" s="53" t="n"/>
      <c r="F79" s="56" t="n"/>
      <c r="G79" s="56" t="n"/>
      <c r="H79" s="56" t="n"/>
      <c r="I79" s="56" t="n"/>
      <c r="J79" s="56" t="n"/>
      <c r="K79" s="56" t="n"/>
      <c r="L79" s="57" t="n"/>
      <c r="M79" s="56" t="n"/>
      <c r="N79" s="55" t="n"/>
      <c r="O79" s="58">
        <f>IFERROR(IF(OR(ISBLANK(G79),ISBLANK(I79)),"",ABS(G79-I79)/VLOOKUP(C79,設定!$B$9:$D$23,2,FALSE)),"")</f>
        <v/>
      </c>
      <c r="P79" s="57">
        <f>IFERROR(IF(OR(ISBLANK(F79),ISBLANK(H79),ISBLANK(J79)),"",ABS(J79-F79)/ABS(F79-H79)),"")</f>
        <v/>
      </c>
      <c r="Q79" s="59">
        <f>IFERROR(IF(OR(ISBLANK(M79),ISBLANK(D79),ISBLANK(G79)),"",IF(D79="Long",(M79-G79),(G79-M79))/VLOOKUP(C79,設定!$B$9:$D$23,2,FALSE)),"")</f>
        <v/>
      </c>
      <c r="R79" s="60">
        <f>IFERROR(IF(OR(ISBLANK(Q79),O79=0),"",Q79/O79),"")</f>
        <v/>
      </c>
      <c r="S79" s="60">
        <f>IFERROR(IF(ISBLANK(R79),S78,IF(ISNUMBER(S78),S78,0)+R79),"")</f>
        <v/>
      </c>
      <c r="T79" s="61">
        <f>IFERROR(IF(OR(ISBLANK(Q79),ISBLANK(L79)),"",Q79*L79*VLOOKUP(C79,設定!$B$9:$D$23,3,FALSE)),"")</f>
        <v/>
      </c>
      <c r="U79" s="55" t="n"/>
      <c r="V79" s="55" t="n"/>
    </row>
    <row r="80">
      <c r="A80" s="44">
        <f>IF(ISBLANK(B80),"",COUNTA($B$18:B80))</f>
        <v/>
      </c>
      <c r="B80" s="45" t="n"/>
      <c r="C80" s="46" t="n"/>
      <c r="D80" s="46" t="n"/>
      <c r="E80" s="44" t="n"/>
      <c r="F80" s="47" t="n"/>
      <c r="G80" s="47" t="n"/>
      <c r="H80" s="47" t="n"/>
      <c r="I80" s="47" t="n"/>
      <c r="J80" s="47" t="n"/>
      <c r="K80" s="47" t="n"/>
      <c r="L80" s="48" t="n"/>
      <c r="M80" s="47" t="n"/>
      <c r="N80" s="46" t="n"/>
      <c r="O80" s="49">
        <f>IFERROR(IF(OR(ISBLANK(G80),ISBLANK(I80)),"",ABS(G80-I80)/VLOOKUP(C80,設定!$B$9:$D$23,2,FALSE)),"")</f>
        <v/>
      </c>
      <c r="P80" s="48">
        <f>IFERROR(IF(OR(ISBLANK(F80),ISBLANK(H80),ISBLANK(J80)),"",ABS(J80-F80)/ABS(F80-H80)),"")</f>
        <v/>
      </c>
      <c r="Q80" s="50">
        <f>IFERROR(IF(OR(ISBLANK(M80),ISBLANK(D80),ISBLANK(G80)),"",IF(D80="Long",(M80-G80),(G80-M80))/VLOOKUP(C80,設定!$B$9:$D$23,2,FALSE)),"")</f>
        <v/>
      </c>
      <c r="R80" s="51">
        <f>IFERROR(IF(OR(ISBLANK(Q80),O80=0),"",Q80/O80),"")</f>
        <v/>
      </c>
      <c r="S80" s="51">
        <f>IFERROR(IF(ISBLANK(R80),S79,IF(ISNUMBER(S79),S79,0)+R80),"")</f>
        <v/>
      </c>
      <c r="T80" s="52">
        <f>IFERROR(IF(OR(ISBLANK(Q80),ISBLANK(L80)),"",Q80*L80*VLOOKUP(C80,設定!$B$9:$D$23,3,FALSE)),"")</f>
        <v/>
      </c>
      <c r="U80" s="46" t="n"/>
      <c r="V80" s="46" t="n"/>
    </row>
    <row r="81">
      <c r="A81" s="53">
        <f>IF(ISBLANK(B81),"",COUNTA($B$18:B81))</f>
        <v/>
      </c>
      <c r="B81" s="54" t="n"/>
      <c r="C81" s="55" t="n"/>
      <c r="D81" s="55" t="n"/>
      <c r="E81" s="53" t="n"/>
      <c r="F81" s="56" t="n"/>
      <c r="G81" s="56" t="n"/>
      <c r="H81" s="56" t="n"/>
      <c r="I81" s="56" t="n"/>
      <c r="J81" s="56" t="n"/>
      <c r="K81" s="56" t="n"/>
      <c r="L81" s="57" t="n"/>
      <c r="M81" s="56" t="n"/>
      <c r="N81" s="55" t="n"/>
      <c r="O81" s="58">
        <f>IFERROR(IF(OR(ISBLANK(G81),ISBLANK(I81)),"",ABS(G81-I81)/VLOOKUP(C81,設定!$B$9:$D$23,2,FALSE)),"")</f>
        <v/>
      </c>
      <c r="P81" s="57">
        <f>IFERROR(IF(OR(ISBLANK(F81),ISBLANK(H81),ISBLANK(J81)),"",ABS(J81-F81)/ABS(F81-H81)),"")</f>
        <v/>
      </c>
      <c r="Q81" s="59">
        <f>IFERROR(IF(OR(ISBLANK(M81),ISBLANK(D81),ISBLANK(G81)),"",IF(D81="Long",(M81-G81),(G81-M81))/VLOOKUP(C81,設定!$B$9:$D$23,2,FALSE)),"")</f>
        <v/>
      </c>
      <c r="R81" s="60">
        <f>IFERROR(IF(OR(ISBLANK(Q81),O81=0),"",Q81/O81),"")</f>
        <v/>
      </c>
      <c r="S81" s="60">
        <f>IFERROR(IF(ISBLANK(R81),S80,IF(ISNUMBER(S80),S80,0)+R81),"")</f>
        <v/>
      </c>
      <c r="T81" s="61">
        <f>IFERROR(IF(OR(ISBLANK(Q81),ISBLANK(L81)),"",Q81*L81*VLOOKUP(C81,設定!$B$9:$D$23,3,FALSE)),"")</f>
        <v/>
      </c>
      <c r="U81" s="55" t="n"/>
      <c r="V81" s="55" t="n"/>
    </row>
    <row r="82">
      <c r="A82" s="44">
        <f>IF(ISBLANK(B82),"",COUNTA($B$18:B82))</f>
        <v/>
      </c>
      <c r="B82" s="45" t="n"/>
      <c r="C82" s="46" t="n"/>
      <c r="D82" s="46" t="n"/>
      <c r="E82" s="44" t="n"/>
      <c r="F82" s="47" t="n"/>
      <c r="G82" s="47" t="n"/>
      <c r="H82" s="47" t="n"/>
      <c r="I82" s="47" t="n"/>
      <c r="J82" s="47" t="n"/>
      <c r="K82" s="47" t="n"/>
      <c r="L82" s="48" t="n"/>
      <c r="M82" s="47" t="n"/>
      <c r="N82" s="46" t="n"/>
      <c r="O82" s="49">
        <f>IFERROR(IF(OR(ISBLANK(G82),ISBLANK(I82)),"",ABS(G82-I82)/VLOOKUP(C82,設定!$B$9:$D$23,2,FALSE)),"")</f>
        <v/>
      </c>
      <c r="P82" s="48">
        <f>IFERROR(IF(OR(ISBLANK(F82),ISBLANK(H82),ISBLANK(J82)),"",ABS(J82-F82)/ABS(F82-H82)),"")</f>
        <v/>
      </c>
      <c r="Q82" s="50">
        <f>IFERROR(IF(OR(ISBLANK(M82),ISBLANK(D82),ISBLANK(G82)),"",IF(D82="Long",(M82-G82),(G82-M82))/VLOOKUP(C82,設定!$B$9:$D$23,2,FALSE)),"")</f>
        <v/>
      </c>
      <c r="R82" s="51">
        <f>IFERROR(IF(OR(ISBLANK(Q82),O82=0),"",Q82/O82),"")</f>
        <v/>
      </c>
      <c r="S82" s="51">
        <f>IFERROR(IF(ISBLANK(R82),S81,IF(ISNUMBER(S81),S81,0)+R82),"")</f>
        <v/>
      </c>
      <c r="T82" s="52">
        <f>IFERROR(IF(OR(ISBLANK(Q82),ISBLANK(L82)),"",Q82*L82*VLOOKUP(C82,設定!$B$9:$D$23,3,FALSE)),"")</f>
        <v/>
      </c>
      <c r="U82" s="46" t="n"/>
      <c r="V82" s="46" t="n"/>
    </row>
    <row r="83">
      <c r="A83" s="53">
        <f>IF(ISBLANK(B83),"",COUNTA($B$18:B83))</f>
        <v/>
      </c>
      <c r="B83" s="54" t="n"/>
      <c r="C83" s="55" t="n"/>
      <c r="D83" s="55" t="n"/>
      <c r="E83" s="53" t="n"/>
      <c r="F83" s="56" t="n"/>
      <c r="G83" s="56" t="n"/>
      <c r="H83" s="56" t="n"/>
      <c r="I83" s="56" t="n"/>
      <c r="J83" s="56" t="n"/>
      <c r="K83" s="56" t="n"/>
      <c r="L83" s="57" t="n"/>
      <c r="M83" s="56" t="n"/>
      <c r="N83" s="55" t="n"/>
      <c r="O83" s="58">
        <f>IFERROR(IF(OR(ISBLANK(G83),ISBLANK(I83)),"",ABS(G83-I83)/VLOOKUP(C83,設定!$B$9:$D$23,2,FALSE)),"")</f>
        <v/>
      </c>
      <c r="P83" s="57">
        <f>IFERROR(IF(OR(ISBLANK(F83),ISBLANK(H83),ISBLANK(J83)),"",ABS(J83-F83)/ABS(F83-H83)),"")</f>
        <v/>
      </c>
      <c r="Q83" s="59">
        <f>IFERROR(IF(OR(ISBLANK(M83),ISBLANK(D83),ISBLANK(G83)),"",IF(D83="Long",(M83-G83),(G83-M83))/VLOOKUP(C83,設定!$B$9:$D$23,2,FALSE)),"")</f>
        <v/>
      </c>
      <c r="R83" s="60">
        <f>IFERROR(IF(OR(ISBLANK(Q83),O83=0),"",Q83/O83),"")</f>
        <v/>
      </c>
      <c r="S83" s="60">
        <f>IFERROR(IF(ISBLANK(R83),S82,IF(ISNUMBER(S82),S82,0)+R83),"")</f>
        <v/>
      </c>
      <c r="T83" s="61">
        <f>IFERROR(IF(OR(ISBLANK(Q83),ISBLANK(L83)),"",Q83*L83*VLOOKUP(C83,設定!$B$9:$D$23,3,FALSE)),"")</f>
        <v/>
      </c>
      <c r="U83" s="55" t="n"/>
      <c r="V83" s="55" t="n"/>
    </row>
    <row r="84">
      <c r="A84" s="44">
        <f>IF(ISBLANK(B84),"",COUNTA($B$18:B84))</f>
        <v/>
      </c>
      <c r="B84" s="45" t="n"/>
      <c r="C84" s="46" t="n"/>
      <c r="D84" s="46" t="n"/>
      <c r="E84" s="44" t="n"/>
      <c r="F84" s="47" t="n"/>
      <c r="G84" s="47" t="n"/>
      <c r="H84" s="47" t="n"/>
      <c r="I84" s="47" t="n"/>
      <c r="J84" s="47" t="n"/>
      <c r="K84" s="47" t="n"/>
      <c r="L84" s="48" t="n"/>
      <c r="M84" s="47" t="n"/>
      <c r="N84" s="46" t="n"/>
      <c r="O84" s="49">
        <f>IFERROR(IF(OR(ISBLANK(G84),ISBLANK(I84)),"",ABS(G84-I84)/VLOOKUP(C84,設定!$B$9:$D$23,2,FALSE)),"")</f>
        <v/>
      </c>
      <c r="P84" s="48">
        <f>IFERROR(IF(OR(ISBLANK(F84),ISBLANK(H84),ISBLANK(J84)),"",ABS(J84-F84)/ABS(F84-H84)),"")</f>
        <v/>
      </c>
      <c r="Q84" s="50">
        <f>IFERROR(IF(OR(ISBLANK(M84),ISBLANK(D84),ISBLANK(G84)),"",IF(D84="Long",(M84-G84),(G84-M84))/VLOOKUP(C84,設定!$B$9:$D$23,2,FALSE)),"")</f>
        <v/>
      </c>
      <c r="R84" s="51">
        <f>IFERROR(IF(OR(ISBLANK(Q84),O84=0),"",Q84/O84),"")</f>
        <v/>
      </c>
      <c r="S84" s="51">
        <f>IFERROR(IF(ISBLANK(R84),S83,IF(ISNUMBER(S83),S83,0)+R84),"")</f>
        <v/>
      </c>
      <c r="T84" s="52">
        <f>IFERROR(IF(OR(ISBLANK(Q84),ISBLANK(L84)),"",Q84*L84*VLOOKUP(C84,設定!$B$9:$D$23,3,FALSE)),"")</f>
        <v/>
      </c>
      <c r="U84" s="46" t="n"/>
      <c r="V84" s="46" t="n"/>
    </row>
    <row r="85">
      <c r="A85" s="53">
        <f>IF(ISBLANK(B85),"",COUNTA($B$18:B85))</f>
        <v/>
      </c>
      <c r="B85" s="54" t="n"/>
      <c r="C85" s="55" t="n"/>
      <c r="D85" s="55" t="n"/>
      <c r="E85" s="53" t="n"/>
      <c r="F85" s="56" t="n"/>
      <c r="G85" s="56" t="n"/>
      <c r="H85" s="56" t="n"/>
      <c r="I85" s="56" t="n"/>
      <c r="J85" s="56" t="n"/>
      <c r="K85" s="56" t="n"/>
      <c r="L85" s="57" t="n"/>
      <c r="M85" s="56" t="n"/>
      <c r="N85" s="55" t="n"/>
      <c r="O85" s="58">
        <f>IFERROR(IF(OR(ISBLANK(G85),ISBLANK(I85)),"",ABS(G85-I85)/VLOOKUP(C85,設定!$B$9:$D$23,2,FALSE)),"")</f>
        <v/>
      </c>
      <c r="P85" s="57">
        <f>IFERROR(IF(OR(ISBLANK(F85),ISBLANK(H85),ISBLANK(J85)),"",ABS(J85-F85)/ABS(F85-H85)),"")</f>
        <v/>
      </c>
      <c r="Q85" s="59">
        <f>IFERROR(IF(OR(ISBLANK(M85),ISBLANK(D85),ISBLANK(G85)),"",IF(D85="Long",(M85-G85),(G85-M85))/VLOOKUP(C85,設定!$B$9:$D$23,2,FALSE)),"")</f>
        <v/>
      </c>
      <c r="R85" s="60">
        <f>IFERROR(IF(OR(ISBLANK(Q85),O85=0),"",Q85/O85),"")</f>
        <v/>
      </c>
      <c r="S85" s="60">
        <f>IFERROR(IF(ISBLANK(R85),S84,IF(ISNUMBER(S84),S84,0)+R85),"")</f>
        <v/>
      </c>
      <c r="T85" s="61">
        <f>IFERROR(IF(OR(ISBLANK(Q85),ISBLANK(L85)),"",Q85*L85*VLOOKUP(C85,設定!$B$9:$D$23,3,FALSE)),"")</f>
        <v/>
      </c>
      <c r="U85" s="55" t="n"/>
      <c r="V85" s="55" t="n"/>
    </row>
    <row r="86">
      <c r="A86" s="44">
        <f>IF(ISBLANK(B86),"",COUNTA($B$18:B86))</f>
        <v/>
      </c>
      <c r="B86" s="45" t="n"/>
      <c r="C86" s="46" t="n"/>
      <c r="D86" s="46" t="n"/>
      <c r="E86" s="44" t="n"/>
      <c r="F86" s="47" t="n"/>
      <c r="G86" s="47" t="n"/>
      <c r="H86" s="47" t="n"/>
      <c r="I86" s="47" t="n"/>
      <c r="J86" s="47" t="n"/>
      <c r="K86" s="47" t="n"/>
      <c r="L86" s="48" t="n"/>
      <c r="M86" s="47" t="n"/>
      <c r="N86" s="46" t="n"/>
      <c r="O86" s="49">
        <f>IFERROR(IF(OR(ISBLANK(G86),ISBLANK(I86)),"",ABS(G86-I86)/VLOOKUP(C86,設定!$B$9:$D$23,2,FALSE)),"")</f>
        <v/>
      </c>
      <c r="P86" s="48">
        <f>IFERROR(IF(OR(ISBLANK(F86),ISBLANK(H86),ISBLANK(J86)),"",ABS(J86-F86)/ABS(F86-H86)),"")</f>
        <v/>
      </c>
      <c r="Q86" s="50">
        <f>IFERROR(IF(OR(ISBLANK(M86),ISBLANK(D86),ISBLANK(G86)),"",IF(D86="Long",(M86-G86),(G86-M86))/VLOOKUP(C86,設定!$B$9:$D$23,2,FALSE)),"")</f>
        <v/>
      </c>
      <c r="R86" s="51">
        <f>IFERROR(IF(OR(ISBLANK(Q86),O86=0),"",Q86/O86),"")</f>
        <v/>
      </c>
      <c r="S86" s="51">
        <f>IFERROR(IF(ISBLANK(R86),S85,IF(ISNUMBER(S85),S85,0)+R86),"")</f>
        <v/>
      </c>
      <c r="T86" s="52">
        <f>IFERROR(IF(OR(ISBLANK(Q86),ISBLANK(L86)),"",Q86*L86*VLOOKUP(C86,設定!$B$9:$D$23,3,FALSE)),"")</f>
        <v/>
      </c>
      <c r="U86" s="46" t="n"/>
      <c r="V86" s="46" t="n"/>
    </row>
    <row r="87">
      <c r="A87" s="53">
        <f>IF(ISBLANK(B87),"",COUNTA($B$18:B87))</f>
        <v/>
      </c>
      <c r="B87" s="54" t="n"/>
      <c r="C87" s="55" t="n"/>
      <c r="D87" s="55" t="n"/>
      <c r="E87" s="53" t="n"/>
      <c r="F87" s="56" t="n"/>
      <c r="G87" s="56" t="n"/>
      <c r="H87" s="56" t="n"/>
      <c r="I87" s="56" t="n"/>
      <c r="J87" s="56" t="n"/>
      <c r="K87" s="56" t="n"/>
      <c r="L87" s="57" t="n"/>
      <c r="M87" s="56" t="n"/>
      <c r="N87" s="55" t="n"/>
      <c r="O87" s="58">
        <f>IFERROR(IF(OR(ISBLANK(G87),ISBLANK(I87)),"",ABS(G87-I87)/VLOOKUP(C87,設定!$B$9:$D$23,2,FALSE)),"")</f>
        <v/>
      </c>
      <c r="P87" s="57">
        <f>IFERROR(IF(OR(ISBLANK(F87),ISBLANK(H87),ISBLANK(J87)),"",ABS(J87-F87)/ABS(F87-H87)),"")</f>
        <v/>
      </c>
      <c r="Q87" s="59">
        <f>IFERROR(IF(OR(ISBLANK(M87),ISBLANK(D87),ISBLANK(G87)),"",IF(D87="Long",(M87-G87),(G87-M87))/VLOOKUP(C87,設定!$B$9:$D$23,2,FALSE)),"")</f>
        <v/>
      </c>
      <c r="R87" s="60">
        <f>IFERROR(IF(OR(ISBLANK(Q87),O87=0),"",Q87/O87),"")</f>
        <v/>
      </c>
      <c r="S87" s="60">
        <f>IFERROR(IF(ISBLANK(R87),S86,IF(ISNUMBER(S86),S86,0)+R87),"")</f>
        <v/>
      </c>
      <c r="T87" s="61">
        <f>IFERROR(IF(OR(ISBLANK(Q87),ISBLANK(L87)),"",Q87*L87*VLOOKUP(C87,設定!$B$9:$D$23,3,FALSE)),"")</f>
        <v/>
      </c>
      <c r="U87" s="55" t="n"/>
      <c r="V87" s="55" t="n"/>
    </row>
    <row r="88">
      <c r="A88" s="44">
        <f>IF(ISBLANK(B88),"",COUNTA($B$18:B88))</f>
        <v/>
      </c>
      <c r="B88" s="45" t="n"/>
      <c r="C88" s="46" t="n"/>
      <c r="D88" s="46" t="n"/>
      <c r="E88" s="44" t="n"/>
      <c r="F88" s="47" t="n"/>
      <c r="G88" s="47" t="n"/>
      <c r="H88" s="47" t="n"/>
      <c r="I88" s="47" t="n"/>
      <c r="J88" s="47" t="n"/>
      <c r="K88" s="47" t="n"/>
      <c r="L88" s="48" t="n"/>
      <c r="M88" s="47" t="n"/>
      <c r="N88" s="46" t="n"/>
      <c r="O88" s="49">
        <f>IFERROR(IF(OR(ISBLANK(G88),ISBLANK(I88)),"",ABS(G88-I88)/VLOOKUP(C88,設定!$B$9:$D$23,2,FALSE)),"")</f>
        <v/>
      </c>
      <c r="P88" s="48">
        <f>IFERROR(IF(OR(ISBLANK(F88),ISBLANK(H88),ISBLANK(J88)),"",ABS(J88-F88)/ABS(F88-H88)),"")</f>
        <v/>
      </c>
      <c r="Q88" s="50">
        <f>IFERROR(IF(OR(ISBLANK(M88),ISBLANK(D88),ISBLANK(G88)),"",IF(D88="Long",(M88-G88),(G88-M88))/VLOOKUP(C88,設定!$B$9:$D$23,2,FALSE)),"")</f>
        <v/>
      </c>
      <c r="R88" s="51">
        <f>IFERROR(IF(OR(ISBLANK(Q88),O88=0),"",Q88/O88),"")</f>
        <v/>
      </c>
      <c r="S88" s="51">
        <f>IFERROR(IF(ISBLANK(R88),S87,IF(ISNUMBER(S87),S87,0)+R88),"")</f>
        <v/>
      </c>
      <c r="T88" s="52">
        <f>IFERROR(IF(OR(ISBLANK(Q88),ISBLANK(L88)),"",Q88*L88*VLOOKUP(C88,設定!$B$9:$D$23,3,FALSE)),"")</f>
        <v/>
      </c>
      <c r="U88" s="46" t="n"/>
      <c r="V88" s="46" t="n"/>
    </row>
    <row r="89">
      <c r="A89" s="53">
        <f>IF(ISBLANK(B89),"",COUNTA($B$18:B89))</f>
        <v/>
      </c>
      <c r="B89" s="54" t="n"/>
      <c r="C89" s="55" t="n"/>
      <c r="D89" s="55" t="n"/>
      <c r="E89" s="53" t="n"/>
      <c r="F89" s="56" t="n"/>
      <c r="G89" s="56" t="n"/>
      <c r="H89" s="56" t="n"/>
      <c r="I89" s="56" t="n"/>
      <c r="J89" s="56" t="n"/>
      <c r="K89" s="56" t="n"/>
      <c r="L89" s="57" t="n"/>
      <c r="M89" s="56" t="n"/>
      <c r="N89" s="55" t="n"/>
      <c r="O89" s="58">
        <f>IFERROR(IF(OR(ISBLANK(G89),ISBLANK(I89)),"",ABS(G89-I89)/VLOOKUP(C89,設定!$B$9:$D$23,2,FALSE)),"")</f>
        <v/>
      </c>
      <c r="P89" s="57">
        <f>IFERROR(IF(OR(ISBLANK(F89),ISBLANK(H89),ISBLANK(J89)),"",ABS(J89-F89)/ABS(F89-H89)),"")</f>
        <v/>
      </c>
      <c r="Q89" s="59">
        <f>IFERROR(IF(OR(ISBLANK(M89),ISBLANK(D89),ISBLANK(G89)),"",IF(D89="Long",(M89-G89),(G89-M89))/VLOOKUP(C89,設定!$B$9:$D$23,2,FALSE)),"")</f>
        <v/>
      </c>
      <c r="R89" s="60">
        <f>IFERROR(IF(OR(ISBLANK(Q89),O89=0),"",Q89/O89),"")</f>
        <v/>
      </c>
      <c r="S89" s="60">
        <f>IFERROR(IF(ISBLANK(R89),S88,IF(ISNUMBER(S88),S88,0)+R89),"")</f>
        <v/>
      </c>
      <c r="T89" s="61">
        <f>IFERROR(IF(OR(ISBLANK(Q89),ISBLANK(L89)),"",Q89*L89*VLOOKUP(C89,設定!$B$9:$D$23,3,FALSE)),"")</f>
        <v/>
      </c>
      <c r="U89" s="55" t="n"/>
      <c r="V89" s="55" t="n"/>
    </row>
    <row r="90">
      <c r="A90" s="44">
        <f>IF(ISBLANK(B90),"",COUNTA($B$18:B90))</f>
        <v/>
      </c>
      <c r="B90" s="45" t="n"/>
      <c r="C90" s="46" t="n"/>
      <c r="D90" s="46" t="n"/>
      <c r="E90" s="44" t="n"/>
      <c r="F90" s="47" t="n"/>
      <c r="G90" s="47" t="n"/>
      <c r="H90" s="47" t="n"/>
      <c r="I90" s="47" t="n"/>
      <c r="J90" s="47" t="n"/>
      <c r="K90" s="47" t="n"/>
      <c r="L90" s="48" t="n"/>
      <c r="M90" s="47" t="n"/>
      <c r="N90" s="46" t="n"/>
      <c r="O90" s="49">
        <f>IFERROR(IF(OR(ISBLANK(G90),ISBLANK(I90)),"",ABS(G90-I90)/VLOOKUP(C90,設定!$B$9:$D$23,2,FALSE)),"")</f>
        <v/>
      </c>
      <c r="P90" s="48">
        <f>IFERROR(IF(OR(ISBLANK(F90),ISBLANK(H90),ISBLANK(J90)),"",ABS(J90-F90)/ABS(F90-H90)),"")</f>
        <v/>
      </c>
      <c r="Q90" s="50">
        <f>IFERROR(IF(OR(ISBLANK(M90),ISBLANK(D90),ISBLANK(G90)),"",IF(D90="Long",(M90-G90),(G90-M90))/VLOOKUP(C90,設定!$B$9:$D$23,2,FALSE)),"")</f>
        <v/>
      </c>
      <c r="R90" s="51">
        <f>IFERROR(IF(OR(ISBLANK(Q90),O90=0),"",Q90/O90),"")</f>
        <v/>
      </c>
      <c r="S90" s="51">
        <f>IFERROR(IF(ISBLANK(R90),S89,IF(ISNUMBER(S89),S89,0)+R90),"")</f>
        <v/>
      </c>
      <c r="T90" s="52">
        <f>IFERROR(IF(OR(ISBLANK(Q90),ISBLANK(L90)),"",Q90*L90*VLOOKUP(C90,設定!$B$9:$D$23,3,FALSE)),"")</f>
        <v/>
      </c>
      <c r="U90" s="46" t="n"/>
      <c r="V90" s="46" t="n"/>
    </row>
    <row r="91">
      <c r="A91" s="53">
        <f>IF(ISBLANK(B91),"",COUNTA($B$18:B91))</f>
        <v/>
      </c>
      <c r="B91" s="54" t="n"/>
      <c r="C91" s="55" t="n"/>
      <c r="D91" s="55" t="n"/>
      <c r="E91" s="53" t="n"/>
      <c r="F91" s="56" t="n"/>
      <c r="G91" s="56" t="n"/>
      <c r="H91" s="56" t="n"/>
      <c r="I91" s="56" t="n"/>
      <c r="J91" s="56" t="n"/>
      <c r="K91" s="56" t="n"/>
      <c r="L91" s="57" t="n"/>
      <c r="M91" s="56" t="n"/>
      <c r="N91" s="55" t="n"/>
      <c r="O91" s="58">
        <f>IFERROR(IF(OR(ISBLANK(G91),ISBLANK(I91)),"",ABS(G91-I91)/VLOOKUP(C91,設定!$B$9:$D$23,2,FALSE)),"")</f>
        <v/>
      </c>
      <c r="P91" s="57">
        <f>IFERROR(IF(OR(ISBLANK(F91),ISBLANK(H91),ISBLANK(J91)),"",ABS(J91-F91)/ABS(F91-H91)),"")</f>
        <v/>
      </c>
      <c r="Q91" s="59">
        <f>IFERROR(IF(OR(ISBLANK(M91),ISBLANK(D91),ISBLANK(G91)),"",IF(D91="Long",(M91-G91),(G91-M91))/VLOOKUP(C91,設定!$B$9:$D$23,2,FALSE)),"")</f>
        <v/>
      </c>
      <c r="R91" s="60">
        <f>IFERROR(IF(OR(ISBLANK(Q91),O91=0),"",Q91/O91),"")</f>
        <v/>
      </c>
      <c r="S91" s="60">
        <f>IFERROR(IF(ISBLANK(R91),S90,IF(ISNUMBER(S90),S90,0)+R91),"")</f>
        <v/>
      </c>
      <c r="T91" s="61">
        <f>IFERROR(IF(OR(ISBLANK(Q91),ISBLANK(L91)),"",Q91*L91*VLOOKUP(C91,設定!$B$9:$D$23,3,FALSE)),"")</f>
        <v/>
      </c>
      <c r="U91" s="55" t="n"/>
      <c r="V91" s="55" t="n"/>
    </row>
    <row r="92">
      <c r="A92" s="44">
        <f>IF(ISBLANK(B92),"",COUNTA($B$18:B92))</f>
        <v/>
      </c>
      <c r="B92" s="45" t="n"/>
      <c r="C92" s="46" t="n"/>
      <c r="D92" s="46" t="n"/>
      <c r="E92" s="44" t="n"/>
      <c r="F92" s="47" t="n"/>
      <c r="G92" s="47" t="n"/>
      <c r="H92" s="47" t="n"/>
      <c r="I92" s="47" t="n"/>
      <c r="J92" s="47" t="n"/>
      <c r="K92" s="47" t="n"/>
      <c r="L92" s="48" t="n"/>
      <c r="M92" s="47" t="n"/>
      <c r="N92" s="46" t="n"/>
      <c r="O92" s="49">
        <f>IFERROR(IF(OR(ISBLANK(G92),ISBLANK(I92)),"",ABS(G92-I92)/VLOOKUP(C92,設定!$B$9:$D$23,2,FALSE)),"")</f>
        <v/>
      </c>
      <c r="P92" s="48">
        <f>IFERROR(IF(OR(ISBLANK(F92),ISBLANK(H92),ISBLANK(J92)),"",ABS(J92-F92)/ABS(F92-H92)),"")</f>
        <v/>
      </c>
      <c r="Q92" s="50">
        <f>IFERROR(IF(OR(ISBLANK(M92),ISBLANK(D92),ISBLANK(G92)),"",IF(D92="Long",(M92-G92),(G92-M92))/VLOOKUP(C92,設定!$B$9:$D$23,2,FALSE)),"")</f>
        <v/>
      </c>
      <c r="R92" s="51">
        <f>IFERROR(IF(OR(ISBLANK(Q92),O92=0),"",Q92/O92),"")</f>
        <v/>
      </c>
      <c r="S92" s="51">
        <f>IFERROR(IF(ISBLANK(R92),S91,IF(ISNUMBER(S91),S91,0)+R92),"")</f>
        <v/>
      </c>
      <c r="T92" s="52">
        <f>IFERROR(IF(OR(ISBLANK(Q92),ISBLANK(L92)),"",Q92*L92*VLOOKUP(C92,設定!$B$9:$D$23,3,FALSE)),"")</f>
        <v/>
      </c>
      <c r="U92" s="46" t="n"/>
      <c r="V92" s="46" t="n"/>
    </row>
    <row r="93">
      <c r="A93" s="53">
        <f>IF(ISBLANK(B93),"",COUNTA($B$18:B93))</f>
        <v/>
      </c>
      <c r="B93" s="54" t="n"/>
      <c r="C93" s="55" t="n"/>
      <c r="D93" s="55" t="n"/>
      <c r="E93" s="53" t="n"/>
      <c r="F93" s="56" t="n"/>
      <c r="G93" s="56" t="n"/>
      <c r="H93" s="56" t="n"/>
      <c r="I93" s="56" t="n"/>
      <c r="J93" s="56" t="n"/>
      <c r="K93" s="56" t="n"/>
      <c r="L93" s="57" t="n"/>
      <c r="M93" s="56" t="n"/>
      <c r="N93" s="55" t="n"/>
      <c r="O93" s="58">
        <f>IFERROR(IF(OR(ISBLANK(G93),ISBLANK(I93)),"",ABS(G93-I93)/VLOOKUP(C93,設定!$B$9:$D$23,2,FALSE)),"")</f>
        <v/>
      </c>
      <c r="P93" s="57">
        <f>IFERROR(IF(OR(ISBLANK(F93),ISBLANK(H93),ISBLANK(J93)),"",ABS(J93-F93)/ABS(F93-H93)),"")</f>
        <v/>
      </c>
      <c r="Q93" s="59">
        <f>IFERROR(IF(OR(ISBLANK(M93),ISBLANK(D93),ISBLANK(G93)),"",IF(D93="Long",(M93-G93),(G93-M93))/VLOOKUP(C93,設定!$B$9:$D$23,2,FALSE)),"")</f>
        <v/>
      </c>
      <c r="R93" s="60">
        <f>IFERROR(IF(OR(ISBLANK(Q93),O93=0),"",Q93/O93),"")</f>
        <v/>
      </c>
      <c r="S93" s="60">
        <f>IFERROR(IF(ISBLANK(R93),S92,IF(ISNUMBER(S92),S92,0)+R93),"")</f>
        <v/>
      </c>
      <c r="T93" s="61">
        <f>IFERROR(IF(OR(ISBLANK(Q93),ISBLANK(L93)),"",Q93*L93*VLOOKUP(C93,設定!$B$9:$D$23,3,FALSE)),"")</f>
        <v/>
      </c>
      <c r="U93" s="55" t="n"/>
      <c r="V93" s="55" t="n"/>
    </row>
    <row r="94">
      <c r="A94" s="44">
        <f>IF(ISBLANK(B94),"",COUNTA($B$18:B94))</f>
        <v/>
      </c>
      <c r="B94" s="45" t="n"/>
      <c r="C94" s="46" t="n"/>
      <c r="D94" s="46" t="n"/>
      <c r="E94" s="44" t="n"/>
      <c r="F94" s="47" t="n"/>
      <c r="G94" s="47" t="n"/>
      <c r="H94" s="47" t="n"/>
      <c r="I94" s="47" t="n"/>
      <c r="J94" s="47" t="n"/>
      <c r="K94" s="47" t="n"/>
      <c r="L94" s="48" t="n"/>
      <c r="M94" s="47" t="n"/>
      <c r="N94" s="46" t="n"/>
      <c r="O94" s="49">
        <f>IFERROR(IF(OR(ISBLANK(G94),ISBLANK(I94)),"",ABS(G94-I94)/VLOOKUP(C94,設定!$B$9:$D$23,2,FALSE)),"")</f>
        <v/>
      </c>
      <c r="P94" s="48">
        <f>IFERROR(IF(OR(ISBLANK(F94),ISBLANK(H94),ISBLANK(J94)),"",ABS(J94-F94)/ABS(F94-H94)),"")</f>
        <v/>
      </c>
      <c r="Q94" s="50">
        <f>IFERROR(IF(OR(ISBLANK(M94),ISBLANK(D94),ISBLANK(G94)),"",IF(D94="Long",(M94-G94),(G94-M94))/VLOOKUP(C94,設定!$B$9:$D$23,2,FALSE)),"")</f>
        <v/>
      </c>
      <c r="R94" s="51">
        <f>IFERROR(IF(OR(ISBLANK(Q94),O94=0),"",Q94/O94),"")</f>
        <v/>
      </c>
      <c r="S94" s="51">
        <f>IFERROR(IF(ISBLANK(R94),S93,IF(ISNUMBER(S93),S93,0)+R94),"")</f>
        <v/>
      </c>
      <c r="T94" s="52">
        <f>IFERROR(IF(OR(ISBLANK(Q94),ISBLANK(L94)),"",Q94*L94*VLOOKUP(C94,設定!$B$9:$D$23,3,FALSE)),"")</f>
        <v/>
      </c>
      <c r="U94" s="46" t="n"/>
      <c r="V94" s="46" t="n"/>
    </row>
    <row r="95">
      <c r="A95" s="53">
        <f>IF(ISBLANK(B95),"",COUNTA($B$18:B95))</f>
        <v/>
      </c>
      <c r="B95" s="54" t="n"/>
      <c r="C95" s="55" t="n"/>
      <c r="D95" s="55" t="n"/>
      <c r="E95" s="53" t="n"/>
      <c r="F95" s="56" t="n"/>
      <c r="G95" s="56" t="n"/>
      <c r="H95" s="56" t="n"/>
      <c r="I95" s="56" t="n"/>
      <c r="J95" s="56" t="n"/>
      <c r="K95" s="56" t="n"/>
      <c r="L95" s="57" t="n"/>
      <c r="M95" s="56" t="n"/>
      <c r="N95" s="55" t="n"/>
      <c r="O95" s="58">
        <f>IFERROR(IF(OR(ISBLANK(G95),ISBLANK(I95)),"",ABS(G95-I95)/VLOOKUP(C95,設定!$B$9:$D$23,2,FALSE)),"")</f>
        <v/>
      </c>
      <c r="P95" s="57">
        <f>IFERROR(IF(OR(ISBLANK(F95),ISBLANK(H95),ISBLANK(J95)),"",ABS(J95-F95)/ABS(F95-H95)),"")</f>
        <v/>
      </c>
      <c r="Q95" s="59">
        <f>IFERROR(IF(OR(ISBLANK(M95),ISBLANK(D95),ISBLANK(G95)),"",IF(D95="Long",(M95-G95),(G95-M95))/VLOOKUP(C95,設定!$B$9:$D$23,2,FALSE)),"")</f>
        <v/>
      </c>
      <c r="R95" s="60">
        <f>IFERROR(IF(OR(ISBLANK(Q95),O95=0),"",Q95/O95),"")</f>
        <v/>
      </c>
      <c r="S95" s="60">
        <f>IFERROR(IF(ISBLANK(R95),S94,IF(ISNUMBER(S94),S94,0)+R95),"")</f>
        <v/>
      </c>
      <c r="T95" s="61">
        <f>IFERROR(IF(OR(ISBLANK(Q95),ISBLANK(L95)),"",Q95*L95*VLOOKUP(C95,設定!$B$9:$D$23,3,FALSE)),"")</f>
        <v/>
      </c>
      <c r="U95" s="55" t="n"/>
      <c r="V95" s="55" t="n"/>
    </row>
    <row r="96">
      <c r="A96" s="44">
        <f>IF(ISBLANK(B96),"",COUNTA($B$18:B96))</f>
        <v/>
      </c>
      <c r="B96" s="45" t="n"/>
      <c r="C96" s="46" t="n"/>
      <c r="D96" s="46" t="n"/>
      <c r="E96" s="44" t="n"/>
      <c r="F96" s="47" t="n"/>
      <c r="G96" s="47" t="n"/>
      <c r="H96" s="47" t="n"/>
      <c r="I96" s="47" t="n"/>
      <c r="J96" s="47" t="n"/>
      <c r="K96" s="47" t="n"/>
      <c r="L96" s="48" t="n"/>
      <c r="M96" s="47" t="n"/>
      <c r="N96" s="46" t="n"/>
      <c r="O96" s="49">
        <f>IFERROR(IF(OR(ISBLANK(G96),ISBLANK(I96)),"",ABS(G96-I96)/VLOOKUP(C96,設定!$B$9:$D$23,2,FALSE)),"")</f>
        <v/>
      </c>
      <c r="P96" s="48">
        <f>IFERROR(IF(OR(ISBLANK(F96),ISBLANK(H96),ISBLANK(J96)),"",ABS(J96-F96)/ABS(F96-H96)),"")</f>
        <v/>
      </c>
      <c r="Q96" s="50">
        <f>IFERROR(IF(OR(ISBLANK(M96),ISBLANK(D96),ISBLANK(G96)),"",IF(D96="Long",(M96-G96),(G96-M96))/VLOOKUP(C96,設定!$B$9:$D$23,2,FALSE)),"")</f>
        <v/>
      </c>
      <c r="R96" s="51">
        <f>IFERROR(IF(OR(ISBLANK(Q96),O96=0),"",Q96/O96),"")</f>
        <v/>
      </c>
      <c r="S96" s="51">
        <f>IFERROR(IF(ISBLANK(R96),S95,IF(ISNUMBER(S95),S95,0)+R96),"")</f>
        <v/>
      </c>
      <c r="T96" s="52">
        <f>IFERROR(IF(OR(ISBLANK(Q96),ISBLANK(L96)),"",Q96*L96*VLOOKUP(C96,設定!$B$9:$D$23,3,FALSE)),"")</f>
        <v/>
      </c>
      <c r="U96" s="46" t="n"/>
      <c r="V96" s="46" t="n"/>
    </row>
    <row r="97">
      <c r="A97" s="53">
        <f>IF(ISBLANK(B97),"",COUNTA($B$18:B97))</f>
        <v/>
      </c>
      <c r="B97" s="54" t="n"/>
      <c r="C97" s="55" t="n"/>
      <c r="D97" s="55" t="n"/>
      <c r="E97" s="53" t="n"/>
      <c r="F97" s="56" t="n"/>
      <c r="G97" s="56" t="n"/>
      <c r="H97" s="56" t="n"/>
      <c r="I97" s="56" t="n"/>
      <c r="J97" s="56" t="n"/>
      <c r="K97" s="56" t="n"/>
      <c r="L97" s="57" t="n"/>
      <c r="M97" s="56" t="n"/>
      <c r="N97" s="55" t="n"/>
      <c r="O97" s="58">
        <f>IFERROR(IF(OR(ISBLANK(G97),ISBLANK(I97)),"",ABS(G97-I97)/VLOOKUP(C97,設定!$B$9:$D$23,2,FALSE)),"")</f>
        <v/>
      </c>
      <c r="P97" s="57">
        <f>IFERROR(IF(OR(ISBLANK(F97),ISBLANK(H97),ISBLANK(J97)),"",ABS(J97-F97)/ABS(F97-H97)),"")</f>
        <v/>
      </c>
      <c r="Q97" s="59">
        <f>IFERROR(IF(OR(ISBLANK(M97),ISBLANK(D97),ISBLANK(G97)),"",IF(D97="Long",(M97-G97),(G97-M97))/VLOOKUP(C97,設定!$B$9:$D$23,2,FALSE)),"")</f>
        <v/>
      </c>
      <c r="R97" s="60">
        <f>IFERROR(IF(OR(ISBLANK(Q97),O97=0),"",Q97/O97),"")</f>
        <v/>
      </c>
      <c r="S97" s="60">
        <f>IFERROR(IF(ISBLANK(R97),S96,IF(ISNUMBER(S96),S96,0)+R97),"")</f>
        <v/>
      </c>
      <c r="T97" s="61">
        <f>IFERROR(IF(OR(ISBLANK(Q97),ISBLANK(L97)),"",Q97*L97*VLOOKUP(C97,設定!$B$9:$D$23,3,FALSE)),"")</f>
        <v/>
      </c>
      <c r="U97" s="55" t="n"/>
      <c r="V97" s="55" t="n"/>
    </row>
    <row r="98">
      <c r="A98" s="44">
        <f>IF(ISBLANK(B98),"",COUNTA($B$18:B98))</f>
        <v/>
      </c>
      <c r="B98" s="45" t="n"/>
      <c r="C98" s="46" t="n"/>
      <c r="D98" s="46" t="n"/>
      <c r="E98" s="44" t="n"/>
      <c r="F98" s="47" t="n"/>
      <c r="G98" s="47" t="n"/>
      <c r="H98" s="47" t="n"/>
      <c r="I98" s="47" t="n"/>
      <c r="J98" s="47" t="n"/>
      <c r="K98" s="47" t="n"/>
      <c r="L98" s="48" t="n"/>
      <c r="M98" s="47" t="n"/>
      <c r="N98" s="46" t="n"/>
      <c r="O98" s="49">
        <f>IFERROR(IF(OR(ISBLANK(G98),ISBLANK(I98)),"",ABS(G98-I98)/VLOOKUP(C98,設定!$B$9:$D$23,2,FALSE)),"")</f>
        <v/>
      </c>
      <c r="P98" s="48">
        <f>IFERROR(IF(OR(ISBLANK(F98),ISBLANK(H98),ISBLANK(J98)),"",ABS(J98-F98)/ABS(F98-H98)),"")</f>
        <v/>
      </c>
      <c r="Q98" s="50">
        <f>IFERROR(IF(OR(ISBLANK(M98),ISBLANK(D98),ISBLANK(G98)),"",IF(D98="Long",(M98-G98),(G98-M98))/VLOOKUP(C98,設定!$B$9:$D$23,2,FALSE)),"")</f>
        <v/>
      </c>
      <c r="R98" s="51">
        <f>IFERROR(IF(OR(ISBLANK(Q98),O98=0),"",Q98/O98),"")</f>
        <v/>
      </c>
      <c r="S98" s="51">
        <f>IFERROR(IF(ISBLANK(R98),S97,IF(ISNUMBER(S97),S97,0)+R98),"")</f>
        <v/>
      </c>
      <c r="T98" s="52">
        <f>IFERROR(IF(OR(ISBLANK(Q98),ISBLANK(L98)),"",Q98*L98*VLOOKUP(C98,設定!$B$9:$D$23,3,FALSE)),"")</f>
        <v/>
      </c>
      <c r="U98" s="46" t="n"/>
      <c r="V98" s="46" t="n"/>
    </row>
    <row r="99">
      <c r="A99" s="53">
        <f>IF(ISBLANK(B99),"",COUNTA($B$18:B99))</f>
        <v/>
      </c>
      <c r="B99" s="54" t="n"/>
      <c r="C99" s="55" t="n"/>
      <c r="D99" s="55" t="n"/>
      <c r="E99" s="53" t="n"/>
      <c r="F99" s="56" t="n"/>
      <c r="G99" s="56" t="n"/>
      <c r="H99" s="56" t="n"/>
      <c r="I99" s="56" t="n"/>
      <c r="J99" s="56" t="n"/>
      <c r="K99" s="56" t="n"/>
      <c r="L99" s="57" t="n"/>
      <c r="M99" s="56" t="n"/>
      <c r="N99" s="55" t="n"/>
      <c r="O99" s="58">
        <f>IFERROR(IF(OR(ISBLANK(G99),ISBLANK(I99)),"",ABS(G99-I99)/VLOOKUP(C99,設定!$B$9:$D$23,2,FALSE)),"")</f>
        <v/>
      </c>
      <c r="P99" s="57">
        <f>IFERROR(IF(OR(ISBLANK(F99),ISBLANK(H99),ISBLANK(J99)),"",ABS(J99-F99)/ABS(F99-H99)),"")</f>
        <v/>
      </c>
      <c r="Q99" s="59">
        <f>IFERROR(IF(OR(ISBLANK(M99),ISBLANK(D99),ISBLANK(G99)),"",IF(D99="Long",(M99-G99),(G99-M99))/VLOOKUP(C99,設定!$B$9:$D$23,2,FALSE)),"")</f>
        <v/>
      </c>
      <c r="R99" s="60">
        <f>IFERROR(IF(OR(ISBLANK(Q99),O99=0),"",Q99/O99),"")</f>
        <v/>
      </c>
      <c r="S99" s="60">
        <f>IFERROR(IF(ISBLANK(R99),S98,IF(ISNUMBER(S98),S98,0)+R99),"")</f>
        <v/>
      </c>
      <c r="T99" s="61">
        <f>IFERROR(IF(OR(ISBLANK(Q99),ISBLANK(L99)),"",Q99*L99*VLOOKUP(C99,設定!$B$9:$D$23,3,FALSE)),"")</f>
        <v/>
      </c>
      <c r="U99" s="55" t="n"/>
      <c r="V99" s="55" t="n"/>
    </row>
    <row r="100">
      <c r="A100" s="44">
        <f>IF(ISBLANK(B100),"",COUNTA($B$18:B100))</f>
        <v/>
      </c>
      <c r="B100" s="45" t="n"/>
      <c r="C100" s="46" t="n"/>
      <c r="D100" s="46" t="n"/>
      <c r="E100" s="44" t="n"/>
      <c r="F100" s="47" t="n"/>
      <c r="G100" s="47" t="n"/>
      <c r="H100" s="47" t="n"/>
      <c r="I100" s="47" t="n"/>
      <c r="J100" s="47" t="n"/>
      <c r="K100" s="47" t="n"/>
      <c r="L100" s="48" t="n"/>
      <c r="M100" s="47" t="n"/>
      <c r="N100" s="46" t="n"/>
      <c r="O100" s="49">
        <f>IFERROR(IF(OR(ISBLANK(G100),ISBLANK(I100)),"",ABS(G100-I100)/VLOOKUP(C100,設定!$B$9:$D$23,2,FALSE)),"")</f>
        <v/>
      </c>
      <c r="P100" s="48">
        <f>IFERROR(IF(OR(ISBLANK(F100),ISBLANK(H100),ISBLANK(J100)),"",ABS(J100-F100)/ABS(F100-H100)),"")</f>
        <v/>
      </c>
      <c r="Q100" s="50">
        <f>IFERROR(IF(OR(ISBLANK(M100),ISBLANK(D100),ISBLANK(G100)),"",IF(D100="Long",(M100-G100),(G100-M100))/VLOOKUP(C100,設定!$B$9:$D$23,2,FALSE)),"")</f>
        <v/>
      </c>
      <c r="R100" s="51">
        <f>IFERROR(IF(OR(ISBLANK(Q100),O100=0),"",Q100/O100),"")</f>
        <v/>
      </c>
      <c r="S100" s="51">
        <f>IFERROR(IF(ISBLANK(R100),S99,IF(ISNUMBER(S99),S99,0)+R100),"")</f>
        <v/>
      </c>
      <c r="T100" s="52">
        <f>IFERROR(IF(OR(ISBLANK(Q100),ISBLANK(L100)),"",Q100*L100*VLOOKUP(C100,設定!$B$9:$D$23,3,FALSE)),"")</f>
        <v/>
      </c>
      <c r="U100" s="46" t="n"/>
      <c r="V100" s="46" t="n"/>
    </row>
    <row r="101">
      <c r="A101" s="53">
        <f>IF(ISBLANK(B101),"",COUNTA($B$18:B101))</f>
        <v/>
      </c>
      <c r="B101" s="54" t="n"/>
      <c r="C101" s="55" t="n"/>
      <c r="D101" s="55" t="n"/>
      <c r="E101" s="53" t="n"/>
      <c r="F101" s="56" t="n"/>
      <c r="G101" s="56" t="n"/>
      <c r="H101" s="56" t="n"/>
      <c r="I101" s="56" t="n"/>
      <c r="J101" s="56" t="n"/>
      <c r="K101" s="56" t="n"/>
      <c r="L101" s="57" t="n"/>
      <c r="M101" s="56" t="n"/>
      <c r="N101" s="55" t="n"/>
      <c r="O101" s="58">
        <f>IFERROR(IF(OR(ISBLANK(G101),ISBLANK(I101)),"",ABS(G101-I101)/VLOOKUP(C101,設定!$B$9:$D$23,2,FALSE)),"")</f>
        <v/>
      </c>
      <c r="P101" s="57">
        <f>IFERROR(IF(OR(ISBLANK(F101),ISBLANK(H101),ISBLANK(J101)),"",ABS(J101-F101)/ABS(F101-H101)),"")</f>
        <v/>
      </c>
      <c r="Q101" s="59">
        <f>IFERROR(IF(OR(ISBLANK(M101),ISBLANK(D101),ISBLANK(G101)),"",IF(D101="Long",(M101-G101),(G101-M101))/VLOOKUP(C101,設定!$B$9:$D$23,2,FALSE)),"")</f>
        <v/>
      </c>
      <c r="R101" s="60">
        <f>IFERROR(IF(OR(ISBLANK(Q101),O101=0),"",Q101/O101),"")</f>
        <v/>
      </c>
      <c r="S101" s="60">
        <f>IFERROR(IF(ISBLANK(R101),S100,IF(ISNUMBER(S100),S100,0)+R101),"")</f>
        <v/>
      </c>
      <c r="T101" s="61">
        <f>IFERROR(IF(OR(ISBLANK(Q101),ISBLANK(L101)),"",Q101*L101*VLOOKUP(C101,設定!$B$9:$D$23,3,FALSE)),"")</f>
        <v/>
      </c>
      <c r="U101" s="55" t="n"/>
      <c r="V101" s="55" t="n"/>
    </row>
    <row r="102">
      <c r="A102" s="44">
        <f>IF(ISBLANK(B102),"",COUNTA($B$18:B102))</f>
        <v/>
      </c>
      <c r="B102" s="45" t="n"/>
      <c r="C102" s="46" t="n"/>
      <c r="D102" s="46" t="n"/>
      <c r="E102" s="44" t="n"/>
      <c r="F102" s="47" t="n"/>
      <c r="G102" s="47" t="n"/>
      <c r="H102" s="47" t="n"/>
      <c r="I102" s="47" t="n"/>
      <c r="J102" s="47" t="n"/>
      <c r="K102" s="47" t="n"/>
      <c r="L102" s="48" t="n"/>
      <c r="M102" s="47" t="n"/>
      <c r="N102" s="46" t="n"/>
      <c r="O102" s="49">
        <f>IFERROR(IF(OR(ISBLANK(G102),ISBLANK(I102)),"",ABS(G102-I102)/VLOOKUP(C102,設定!$B$9:$D$23,2,FALSE)),"")</f>
        <v/>
      </c>
      <c r="P102" s="48">
        <f>IFERROR(IF(OR(ISBLANK(F102),ISBLANK(H102),ISBLANK(J102)),"",ABS(J102-F102)/ABS(F102-H102)),"")</f>
        <v/>
      </c>
      <c r="Q102" s="50">
        <f>IFERROR(IF(OR(ISBLANK(M102),ISBLANK(D102),ISBLANK(G102)),"",IF(D102="Long",(M102-G102),(G102-M102))/VLOOKUP(C102,設定!$B$9:$D$23,2,FALSE)),"")</f>
        <v/>
      </c>
      <c r="R102" s="51">
        <f>IFERROR(IF(OR(ISBLANK(Q102),O102=0),"",Q102/O102),"")</f>
        <v/>
      </c>
      <c r="S102" s="51">
        <f>IFERROR(IF(ISBLANK(R102),S101,IF(ISNUMBER(S101),S101,0)+R102),"")</f>
        <v/>
      </c>
      <c r="T102" s="52">
        <f>IFERROR(IF(OR(ISBLANK(Q102),ISBLANK(L102)),"",Q102*L102*VLOOKUP(C102,設定!$B$9:$D$23,3,FALSE)),"")</f>
        <v/>
      </c>
      <c r="U102" s="46" t="n"/>
      <c r="V102" s="46" t="n"/>
    </row>
    <row r="103">
      <c r="A103" s="53">
        <f>IF(ISBLANK(B103),"",COUNTA($B$18:B103))</f>
        <v/>
      </c>
      <c r="B103" s="54" t="n"/>
      <c r="C103" s="55" t="n"/>
      <c r="D103" s="55" t="n"/>
      <c r="E103" s="53" t="n"/>
      <c r="F103" s="56" t="n"/>
      <c r="G103" s="56" t="n"/>
      <c r="H103" s="56" t="n"/>
      <c r="I103" s="56" t="n"/>
      <c r="J103" s="56" t="n"/>
      <c r="K103" s="56" t="n"/>
      <c r="L103" s="57" t="n"/>
      <c r="M103" s="56" t="n"/>
      <c r="N103" s="55" t="n"/>
      <c r="O103" s="58">
        <f>IFERROR(IF(OR(ISBLANK(G103),ISBLANK(I103)),"",ABS(G103-I103)/VLOOKUP(C103,設定!$B$9:$D$23,2,FALSE)),"")</f>
        <v/>
      </c>
      <c r="P103" s="57">
        <f>IFERROR(IF(OR(ISBLANK(F103),ISBLANK(H103),ISBLANK(J103)),"",ABS(J103-F103)/ABS(F103-H103)),"")</f>
        <v/>
      </c>
      <c r="Q103" s="59">
        <f>IFERROR(IF(OR(ISBLANK(M103),ISBLANK(D103),ISBLANK(G103)),"",IF(D103="Long",(M103-G103),(G103-M103))/VLOOKUP(C103,設定!$B$9:$D$23,2,FALSE)),"")</f>
        <v/>
      </c>
      <c r="R103" s="60">
        <f>IFERROR(IF(OR(ISBLANK(Q103),O103=0),"",Q103/O103),"")</f>
        <v/>
      </c>
      <c r="S103" s="60">
        <f>IFERROR(IF(ISBLANK(R103),S102,IF(ISNUMBER(S102),S102,0)+R103),"")</f>
        <v/>
      </c>
      <c r="T103" s="61">
        <f>IFERROR(IF(OR(ISBLANK(Q103),ISBLANK(L103)),"",Q103*L103*VLOOKUP(C103,設定!$B$9:$D$23,3,FALSE)),"")</f>
        <v/>
      </c>
      <c r="U103" s="55" t="n"/>
      <c r="V103" s="55" t="n"/>
    </row>
    <row r="104">
      <c r="A104" s="44">
        <f>IF(ISBLANK(B104),"",COUNTA($B$18:B104))</f>
        <v/>
      </c>
      <c r="B104" s="45" t="n"/>
      <c r="C104" s="46" t="n"/>
      <c r="D104" s="46" t="n"/>
      <c r="E104" s="44" t="n"/>
      <c r="F104" s="47" t="n"/>
      <c r="G104" s="47" t="n"/>
      <c r="H104" s="47" t="n"/>
      <c r="I104" s="47" t="n"/>
      <c r="J104" s="47" t="n"/>
      <c r="K104" s="47" t="n"/>
      <c r="L104" s="48" t="n"/>
      <c r="M104" s="47" t="n"/>
      <c r="N104" s="46" t="n"/>
      <c r="O104" s="49">
        <f>IFERROR(IF(OR(ISBLANK(G104),ISBLANK(I104)),"",ABS(G104-I104)/VLOOKUP(C104,設定!$B$9:$D$23,2,FALSE)),"")</f>
        <v/>
      </c>
      <c r="P104" s="48">
        <f>IFERROR(IF(OR(ISBLANK(F104),ISBLANK(H104),ISBLANK(J104)),"",ABS(J104-F104)/ABS(F104-H104)),"")</f>
        <v/>
      </c>
      <c r="Q104" s="50">
        <f>IFERROR(IF(OR(ISBLANK(M104),ISBLANK(D104),ISBLANK(G104)),"",IF(D104="Long",(M104-G104),(G104-M104))/VLOOKUP(C104,設定!$B$9:$D$23,2,FALSE)),"")</f>
        <v/>
      </c>
      <c r="R104" s="51">
        <f>IFERROR(IF(OR(ISBLANK(Q104),O104=0),"",Q104/O104),"")</f>
        <v/>
      </c>
      <c r="S104" s="51">
        <f>IFERROR(IF(ISBLANK(R104),S103,IF(ISNUMBER(S103),S103,0)+R104),"")</f>
        <v/>
      </c>
      <c r="T104" s="52">
        <f>IFERROR(IF(OR(ISBLANK(Q104),ISBLANK(L104)),"",Q104*L104*VLOOKUP(C104,設定!$B$9:$D$23,3,FALSE)),"")</f>
        <v/>
      </c>
      <c r="U104" s="46" t="n"/>
      <c r="V104" s="46" t="n"/>
    </row>
    <row r="105">
      <c r="A105" s="53">
        <f>IF(ISBLANK(B105),"",COUNTA($B$18:B105))</f>
        <v/>
      </c>
      <c r="B105" s="54" t="n"/>
      <c r="C105" s="55" t="n"/>
      <c r="D105" s="55" t="n"/>
      <c r="E105" s="53" t="n"/>
      <c r="F105" s="56" t="n"/>
      <c r="G105" s="56" t="n"/>
      <c r="H105" s="56" t="n"/>
      <c r="I105" s="56" t="n"/>
      <c r="J105" s="56" t="n"/>
      <c r="K105" s="56" t="n"/>
      <c r="L105" s="57" t="n"/>
      <c r="M105" s="56" t="n"/>
      <c r="N105" s="55" t="n"/>
      <c r="O105" s="58">
        <f>IFERROR(IF(OR(ISBLANK(G105),ISBLANK(I105)),"",ABS(G105-I105)/VLOOKUP(C105,設定!$B$9:$D$23,2,FALSE)),"")</f>
        <v/>
      </c>
      <c r="P105" s="57">
        <f>IFERROR(IF(OR(ISBLANK(F105),ISBLANK(H105),ISBLANK(J105)),"",ABS(J105-F105)/ABS(F105-H105)),"")</f>
        <v/>
      </c>
      <c r="Q105" s="59">
        <f>IFERROR(IF(OR(ISBLANK(M105),ISBLANK(D105),ISBLANK(G105)),"",IF(D105="Long",(M105-G105),(G105-M105))/VLOOKUP(C105,設定!$B$9:$D$23,2,FALSE)),"")</f>
        <v/>
      </c>
      <c r="R105" s="60">
        <f>IFERROR(IF(OR(ISBLANK(Q105),O105=0),"",Q105/O105),"")</f>
        <v/>
      </c>
      <c r="S105" s="60">
        <f>IFERROR(IF(ISBLANK(R105),S104,IF(ISNUMBER(S104),S104,0)+R105),"")</f>
        <v/>
      </c>
      <c r="T105" s="61">
        <f>IFERROR(IF(OR(ISBLANK(Q105),ISBLANK(L105)),"",Q105*L105*VLOOKUP(C105,設定!$B$9:$D$23,3,FALSE)),"")</f>
        <v/>
      </c>
      <c r="U105" s="55" t="n"/>
      <c r="V105" s="55" t="n"/>
    </row>
    <row r="106">
      <c r="A106" s="44">
        <f>IF(ISBLANK(B106),"",COUNTA($B$18:B106))</f>
        <v/>
      </c>
      <c r="B106" s="45" t="n"/>
      <c r="C106" s="46" t="n"/>
      <c r="D106" s="46" t="n"/>
      <c r="E106" s="44" t="n"/>
      <c r="F106" s="47" t="n"/>
      <c r="G106" s="47" t="n"/>
      <c r="H106" s="47" t="n"/>
      <c r="I106" s="47" t="n"/>
      <c r="J106" s="47" t="n"/>
      <c r="K106" s="47" t="n"/>
      <c r="L106" s="48" t="n"/>
      <c r="M106" s="47" t="n"/>
      <c r="N106" s="46" t="n"/>
      <c r="O106" s="49">
        <f>IFERROR(IF(OR(ISBLANK(G106),ISBLANK(I106)),"",ABS(G106-I106)/VLOOKUP(C106,設定!$B$9:$D$23,2,FALSE)),"")</f>
        <v/>
      </c>
      <c r="P106" s="48">
        <f>IFERROR(IF(OR(ISBLANK(F106),ISBLANK(H106),ISBLANK(J106)),"",ABS(J106-F106)/ABS(F106-H106)),"")</f>
        <v/>
      </c>
      <c r="Q106" s="50">
        <f>IFERROR(IF(OR(ISBLANK(M106),ISBLANK(D106),ISBLANK(G106)),"",IF(D106="Long",(M106-G106),(G106-M106))/VLOOKUP(C106,設定!$B$9:$D$23,2,FALSE)),"")</f>
        <v/>
      </c>
      <c r="R106" s="51">
        <f>IFERROR(IF(OR(ISBLANK(Q106),O106=0),"",Q106/O106),"")</f>
        <v/>
      </c>
      <c r="S106" s="51">
        <f>IFERROR(IF(ISBLANK(R106),S105,IF(ISNUMBER(S105),S105,0)+R106),"")</f>
        <v/>
      </c>
      <c r="T106" s="52">
        <f>IFERROR(IF(OR(ISBLANK(Q106),ISBLANK(L106)),"",Q106*L106*VLOOKUP(C106,設定!$B$9:$D$23,3,FALSE)),"")</f>
        <v/>
      </c>
      <c r="U106" s="46" t="n"/>
      <c r="V106" s="46" t="n"/>
    </row>
    <row r="107">
      <c r="A107" s="53">
        <f>IF(ISBLANK(B107),"",COUNTA($B$18:B107))</f>
        <v/>
      </c>
      <c r="B107" s="54" t="n"/>
      <c r="C107" s="55" t="n"/>
      <c r="D107" s="55" t="n"/>
      <c r="E107" s="53" t="n"/>
      <c r="F107" s="56" t="n"/>
      <c r="G107" s="56" t="n"/>
      <c r="H107" s="56" t="n"/>
      <c r="I107" s="56" t="n"/>
      <c r="J107" s="56" t="n"/>
      <c r="K107" s="56" t="n"/>
      <c r="L107" s="57" t="n"/>
      <c r="M107" s="56" t="n"/>
      <c r="N107" s="55" t="n"/>
      <c r="O107" s="58">
        <f>IFERROR(IF(OR(ISBLANK(G107),ISBLANK(I107)),"",ABS(G107-I107)/VLOOKUP(C107,設定!$B$9:$D$23,2,FALSE)),"")</f>
        <v/>
      </c>
      <c r="P107" s="57">
        <f>IFERROR(IF(OR(ISBLANK(F107),ISBLANK(H107),ISBLANK(J107)),"",ABS(J107-F107)/ABS(F107-H107)),"")</f>
        <v/>
      </c>
      <c r="Q107" s="59">
        <f>IFERROR(IF(OR(ISBLANK(M107),ISBLANK(D107),ISBLANK(G107)),"",IF(D107="Long",(M107-G107),(G107-M107))/VLOOKUP(C107,設定!$B$9:$D$23,2,FALSE)),"")</f>
        <v/>
      </c>
      <c r="R107" s="60">
        <f>IFERROR(IF(OR(ISBLANK(Q107),O107=0),"",Q107/O107),"")</f>
        <v/>
      </c>
      <c r="S107" s="60">
        <f>IFERROR(IF(ISBLANK(R107),S106,IF(ISNUMBER(S106),S106,0)+R107),"")</f>
        <v/>
      </c>
      <c r="T107" s="61">
        <f>IFERROR(IF(OR(ISBLANK(Q107),ISBLANK(L107)),"",Q107*L107*VLOOKUP(C107,設定!$B$9:$D$23,3,FALSE)),"")</f>
        <v/>
      </c>
      <c r="U107" s="55" t="n"/>
      <c r="V107" s="55" t="n"/>
    </row>
    <row r="108">
      <c r="A108" s="44">
        <f>IF(ISBLANK(B108),"",COUNTA($B$18:B108))</f>
        <v/>
      </c>
      <c r="B108" s="45" t="n"/>
      <c r="C108" s="46" t="n"/>
      <c r="D108" s="46" t="n"/>
      <c r="E108" s="44" t="n"/>
      <c r="F108" s="47" t="n"/>
      <c r="G108" s="47" t="n"/>
      <c r="H108" s="47" t="n"/>
      <c r="I108" s="47" t="n"/>
      <c r="J108" s="47" t="n"/>
      <c r="K108" s="47" t="n"/>
      <c r="L108" s="48" t="n"/>
      <c r="M108" s="47" t="n"/>
      <c r="N108" s="46" t="n"/>
      <c r="O108" s="49">
        <f>IFERROR(IF(OR(ISBLANK(G108),ISBLANK(I108)),"",ABS(G108-I108)/VLOOKUP(C108,設定!$B$9:$D$23,2,FALSE)),"")</f>
        <v/>
      </c>
      <c r="P108" s="48">
        <f>IFERROR(IF(OR(ISBLANK(F108),ISBLANK(H108),ISBLANK(J108)),"",ABS(J108-F108)/ABS(F108-H108)),"")</f>
        <v/>
      </c>
      <c r="Q108" s="50">
        <f>IFERROR(IF(OR(ISBLANK(M108),ISBLANK(D108),ISBLANK(G108)),"",IF(D108="Long",(M108-G108),(G108-M108))/VLOOKUP(C108,設定!$B$9:$D$23,2,FALSE)),"")</f>
        <v/>
      </c>
      <c r="R108" s="51">
        <f>IFERROR(IF(OR(ISBLANK(Q108),O108=0),"",Q108/O108),"")</f>
        <v/>
      </c>
      <c r="S108" s="51">
        <f>IFERROR(IF(ISBLANK(R108),S107,IF(ISNUMBER(S107),S107,0)+R108),"")</f>
        <v/>
      </c>
      <c r="T108" s="52">
        <f>IFERROR(IF(OR(ISBLANK(Q108),ISBLANK(L108)),"",Q108*L108*VLOOKUP(C108,設定!$B$9:$D$23,3,FALSE)),"")</f>
        <v/>
      </c>
      <c r="U108" s="46" t="n"/>
      <c r="V108" s="46" t="n"/>
    </row>
    <row r="109">
      <c r="A109" s="53">
        <f>IF(ISBLANK(B109),"",COUNTA($B$18:B109))</f>
        <v/>
      </c>
      <c r="B109" s="54" t="n"/>
      <c r="C109" s="55" t="n"/>
      <c r="D109" s="55" t="n"/>
      <c r="E109" s="53" t="n"/>
      <c r="F109" s="56" t="n"/>
      <c r="G109" s="56" t="n"/>
      <c r="H109" s="56" t="n"/>
      <c r="I109" s="56" t="n"/>
      <c r="J109" s="56" t="n"/>
      <c r="K109" s="56" t="n"/>
      <c r="L109" s="57" t="n"/>
      <c r="M109" s="56" t="n"/>
      <c r="N109" s="55" t="n"/>
      <c r="O109" s="58">
        <f>IFERROR(IF(OR(ISBLANK(G109),ISBLANK(I109)),"",ABS(G109-I109)/VLOOKUP(C109,設定!$B$9:$D$23,2,FALSE)),"")</f>
        <v/>
      </c>
      <c r="P109" s="57">
        <f>IFERROR(IF(OR(ISBLANK(F109),ISBLANK(H109),ISBLANK(J109)),"",ABS(J109-F109)/ABS(F109-H109)),"")</f>
        <v/>
      </c>
      <c r="Q109" s="59">
        <f>IFERROR(IF(OR(ISBLANK(M109),ISBLANK(D109),ISBLANK(G109)),"",IF(D109="Long",(M109-G109),(G109-M109))/VLOOKUP(C109,設定!$B$9:$D$23,2,FALSE)),"")</f>
        <v/>
      </c>
      <c r="R109" s="60">
        <f>IFERROR(IF(OR(ISBLANK(Q109),O109=0),"",Q109/O109),"")</f>
        <v/>
      </c>
      <c r="S109" s="60">
        <f>IFERROR(IF(ISBLANK(R109),S108,IF(ISNUMBER(S108),S108,0)+R109),"")</f>
        <v/>
      </c>
      <c r="T109" s="61">
        <f>IFERROR(IF(OR(ISBLANK(Q109),ISBLANK(L109)),"",Q109*L109*VLOOKUP(C109,設定!$B$9:$D$23,3,FALSE)),"")</f>
        <v/>
      </c>
      <c r="U109" s="55" t="n"/>
      <c r="V109" s="55" t="n"/>
    </row>
    <row r="110">
      <c r="A110" s="44">
        <f>IF(ISBLANK(B110),"",COUNTA($B$18:B110))</f>
        <v/>
      </c>
      <c r="B110" s="45" t="n"/>
      <c r="C110" s="46" t="n"/>
      <c r="D110" s="46" t="n"/>
      <c r="E110" s="44" t="n"/>
      <c r="F110" s="47" t="n"/>
      <c r="G110" s="47" t="n"/>
      <c r="H110" s="47" t="n"/>
      <c r="I110" s="47" t="n"/>
      <c r="J110" s="47" t="n"/>
      <c r="K110" s="47" t="n"/>
      <c r="L110" s="48" t="n"/>
      <c r="M110" s="47" t="n"/>
      <c r="N110" s="46" t="n"/>
      <c r="O110" s="49">
        <f>IFERROR(IF(OR(ISBLANK(G110),ISBLANK(I110)),"",ABS(G110-I110)/VLOOKUP(C110,設定!$B$9:$D$23,2,FALSE)),"")</f>
        <v/>
      </c>
      <c r="P110" s="48">
        <f>IFERROR(IF(OR(ISBLANK(F110),ISBLANK(H110),ISBLANK(J110)),"",ABS(J110-F110)/ABS(F110-H110)),"")</f>
        <v/>
      </c>
      <c r="Q110" s="50">
        <f>IFERROR(IF(OR(ISBLANK(M110),ISBLANK(D110),ISBLANK(G110)),"",IF(D110="Long",(M110-G110),(G110-M110))/VLOOKUP(C110,設定!$B$9:$D$23,2,FALSE)),"")</f>
        <v/>
      </c>
      <c r="R110" s="51">
        <f>IFERROR(IF(OR(ISBLANK(Q110),O110=0),"",Q110/O110),"")</f>
        <v/>
      </c>
      <c r="S110" s="51">
        <f>IFERROR(IF(ISBLANK(R110),S109,IF(ISNUMBER(S109),S109,0)+R110),"")</f>
        <v/>
      </c>
      <c r="T110" s="52">
        <f>IFERROR(IF(OR(ISBLANK(Q110),ISBLANK(L110)),"",Q110*L110*VLOOKUP(C110,設定!$B$9:$D$23,3,FALSE)),"")</f>
        <v/>
      </c>
      <c r="U110" s="46" t="n"/>
      <c r="V110" s="46" t="n"/>
    </row>
    <row r="111">
      <c r="A111" s="53">
        <f>IF(ISBLANK(B111),"",COUNTA($B$18:B111))</f>
        <v/>
      </c>
      <c r="B111" s="54" t="n"/>
      <c r="C111" s="55" t="n"/>
      <c r="D111" s="55" t="n"/>
      <c r="E111" s="53" t="n"/>
      <c r="F111" s="56" t="n"/>
      <c r="G111" s="56" t="n"/>
      <c r="H111" s="56" t="n"/>
      <c r="I111" s="56" t="n"/>
      <c r="J111" s="56" t="n"/>
      <c r="K111" s="56" t="n"/>
      <c r="L111" s="57" t="n"/>
      <c r="M111" s="56" t="n"/>
      <c r="N111" s="55" t="n"/>
      <c r="O111" s="58">
        <f>IFERROR(IF(OR(ISBLANK(G111),ISBLANK(I111)),"",ABS(G111-I111)/VLOOKUP(C111,設定!$B$9:$D$23,2,FALSE)),"")</f>
        <v/>
      </c>
      <c r="P111" s="57">
        <f>IFERROR(IF(OR(ISBLANK(F111),ISBLANK(H111),ISBLANK(J111)),"",ABS(J111-F111)/ABS(F111-H111)),"")</f>
        <v/>
      </c>
      <c r="Q111" s="59">
        <f>IFERROR(IF(OR(ISBLANK(M111),ISBLANK(D111),ISBLANK(G111)),"",IF(D111="Long",(M111-G111),(G111-M111))/VLOOKUP(C111,設定!$B$9:$D$23,2,FALSE)),"")</f>
        <v/>
      </c>
      <c r="R111" s="60">
        <f>IFERROR(IF(OR(ISBLANK(Q111),O111=0),"",Q111/O111),"")</f>
        <v/>
      </c>
      <c r="S111" s="60">
        <f>IFERROR(IF(ISBLANK(R111),S110,IF(ISNUMBER(S110),S110,0)+R111),"")</f>
        <v/>
      </c>
      <c r="T111" s="61">
        <f>IFERROR(IF(OR(ISBLANK(Q111),ISBLANK(L111)),"",Q111*L111*VLOOKUP(C111,設定!$B$9:$D$23,3,FALSE)),"")</f>
        <v/>
      </c>
      <c r="U111" s="55" t="n"/>
      <c r="V111" s="55" t="n"/>
    </row>
    <row r="112">
      <c r="A112" s="44">
        <f>IF(ISBLANK(B112),"",COUNTA($B$18:B112))</f>
        <v/>
      </c>
      <c r="B112" s="45" t="n"/>
      <c r="C112" s="46" t="n"/>
      <c r="D112" s="46" t="n"/>
      <c r="E112" s="44" t="n"/>
      <c r="F112" s="47" t="n"/>
      <c r="G112" s="47" t="n"/>
      <c r="H112" s="47" t="n"/>
      <c r="I112" s="47" t="n"/>
      <c r="J112" s="47" t="n"/>
      <c r="K112" s="47" t="n"/>
      <c r="L112" s="48" t="n"/>
      <c r="M112" s="47" t="n"/>
      <c r="N112" s="46" t="n"/>
      <c r="O112" s="49">
        <f>IFERROR(IF(OR(ISBLANK(G112),ISBLANK(I112)),"",ABS(G112-I112)/VLOOKUP(C112,設定!$B$9:$D$23,2,FALSE)),"")</f>
        <v/>
      </c>
      <c r="P112" s="48">
        <f>IFERROR(IF(OR(ISBLANK(F112),ISBLANK(H112),ISBLANK(J112)),"",ABS(J112-F112)/ABS(F112-H112)),"")</f>
        <v/>
      </c>
      <c r="Q112" s="50">
        <f>IFERROR(IF(OR(ISBLANK(M112),ISBLANK(D112),ISBLANK(G112)),"",IF(D112="Long",(M112-G112),(G112-M112))/VLOOKUP(C112,設定!$B$9:$D$23,2,FALSE)),"")</f>
        <v/>
      </c>
      <c r="R112" s="51">
        <f>IFERROR(IF(OR(ISBLANK(Q112),O112=0),"",Q112/O112),"")</f>
        <v/>
      </c>
      <c r="S112" s="51">
        <f>IFERROR(IF(ISBLANK(R112),S111,IF(ISNUMBER(S111),S111,0)+R112),"")</f>
        <v/>
      </c>
      <c r="T112" s="52">
        <f>IFERROR(IF(OR(ISBLANK(Q112),ISBLANK(L112)),"",Q112*L112*VLOOKUP(C112,設定!$B$9:$D$23,3,FALSE)),"")</f>
        <v/>
      </c>
      <c r="U112" s="46" t="n"/>
      <c r="V112" s="46" t="n"/>
    </row>
    <row r="113">
      <c r="A113" s="53">
        <f>IF(ISBLANK(B113),"",COUNTA($B$18:B113))</f>
        <v/>
      </c>
      <c r="B113" s="54" t="n"/>
      <c r="C113" s="55" t="n"/>
      <c r="D113" s="55" t="n"/>
      <c r="E113" s="53" t="n"/>
      <c r="F113" s="56" t="n"/>
      <c r="G113" s="56" t="n"/>
      <c r="H113" s="56" t="n"/>
      <c r="I113" s="56" t="n"/>
      <c r="J113" s="56" t="n"/>
      <c r="K113" s="56" t="n"/>
      <c r="L113" s="57" t="n"/>
      <c r="M113" s="56" t="n"/>
      <c r="N113" s="55" t="n"/>
      <c r="O113" s="58">
        <f>IFERROR(IF(OR(ISBLANK(G113),ISBLANK(I113)),"",ABS(G113-I113)/VLOOKUP(C113,設定!$B$9:$D$23,2,FALSE)),"")</f>
        <v/>
      </c>
      <c r="P113" s="57">
        <f>IFERROR(IF(OR(ISBLANK(F113),ISBLANK(H113),ISBLANK(J113)),"",ABS(J113-F113)/ABS(F113-H113)),"")</f>
        <v/>
      </c>
      <c r="Q113" s="59">
        <f>IFERROR(IF(OR(ISBLANK(M113),ISBLANK(D113),ISBLANK(G113)),"",IF(D113="Long",(M113-G113),(G113-M113))/VLOOKUP(C113,設定!$B$9:$D$23,2,FALSE)),"")</f>
        <v/>
      </c>
      <c r="R113" s="60">
        <f>IFERROR(IF(OR(ISBLANK(Q113),O113=0),"",Q113/O113),"")</f>
        <v/>
      </c>
      <c r="S113" s="60">
        <f>IFERROR(IF(ISBLANK(R113),S112,IF(ISNUMBER(S112),S112,0)+R113),"")</f>
        <v/>
      </c>
      <c r="T113" s="61">
        <f>IFERROR(IF(OR(ISBLANK(Q113),ISBLANK(L113)),"",Q113*L113*VLOOKUP(C113,設定!$B$9:$D$23,3,FALSE)),"")</f>
        <v/>
      </c>
      <c r="U113" s="55" t="n"/>
      <c r="V113" s="55" t="n"/>
    </row>
    <row r="114">
      <c r="A114" s="44">
        <f>IF(ISBLANK(B114),"",COUNTA($B$18:B114))</f>
        <v/>
      </c>
      <c r="B114" s="45" t="n"/>
      <c r="C114" s="46" t="n"/>
      <c r="D114" s="46" t="n"/>
      <c r="E114" s="44" t="n"/>
      <c r="F114" s="47" t="n"/>
      <c r="G114" s="47" t="n"/>
      <c r="H114" s="47" t="n"/>
      <c r="I114" s="47" t="n"/>
      <c r="J114" s="47" t="n"/>
      <c r="K114" s="47" t="n"/>
      <c r="L114" s="48" t="n"/>
      <c r="M114" s="47" t="n"/>
      <c r="N114" s="46" t="n"/>
      <c r="O114" s="49">
        <f>IFERROR(IF(OR(ISBLANK(G114),ISBLANK(I114)),"",ABS(G114-I114)/VLOOKUP(C114,設定!$B$9:$D$23,2,FALSE)),"")</f>
        <v/>
      </c>
      <c r="P114" s="48">
        <f>IFERROR(IF(OR(ISBLANK(F114),ISBLANK(H114),ISBLANK(J114)),"",ABS(J114-F114)/ABS(F114-H114)),"")</f>
        <v/>
      </c>
      <c r="Q114" s="50">
        <f>IFERROR(IF(OR(ISBLANK(M114),ISBLANK(D114),ISBLANK(G114)),"",IF(D114="Long",(M114-G114),(G114-M114))/VLOOKUP(C114,設定!$B$9:$D$23,2,FALSE)),"")</f>
        <v/>
      </c>
      <c r="R114" s="51">
        <f>IFERROR(IF(OR(ISBLANK(Q114),O114=0),"",Q114/O114),"")</f>
        <v/>
      </c>
      <c r="S114" s="51">
        <f>IFERROR(IF(ISBLANK(R114),S113,IF(ISNUMBER(S113),S113,0)+R114),"")</f>
        <v/>
      </c>
      <c r="T114" s="52">
        <f>IFERROR(IF(OR(ISBLANK(Q114),ISBLANK(L114)),"",Q114*L114*VLOOKUP(C114,設定!$B$9:$D$23,3,FALSE)),"")</f>
        <v/>
      </c>
      <c r="U114" s="46" t="n"/>
      <c r="V114" s="46" t="n"/>
    </row>
    <row r="115">
      <c r="A115" s="53">
        <f>IF(ISBLANK(B115),"",COUNTA($B$18:B115))</f>
        <v/>
      </c>
      <c r="B115" s="54" t="n"/>
      <c r="C115" s="55" t="n"/>
      <c r="D115" s="55" t="n"/>
      <c r="E115" s="53" t="n"/>
      <c r="F115" s="56" t="n"/>
      <c r="G115" s="56" t="n"/>
      <c r="H115" s="56" t="n"/>
      <c r="I115" s="56" t="n"/>
      <c r="J115" s="56" t="n"/>
      <c r="K115" s="56" t="n"/>
      <c r="L115" s="57" t="n"/>
      <c r="M115" s="56" t="n"/>
      <c r="N115" s="55" t="n"/>
      <c r="O115" s="58">
        <f>IFERROR(IF(OR(ISBLANK(G115),ISBLANK(I115)),"",ABS(G115-I115)/VLOOKUP(C115,設定!$B$9:$D$23,2,FALSE)),"")</f>
        <v/>
      </c>
      <c r="P115" s="57">
        <f>IFERROR(IF(OR(ISBLANK(F115),ISBLANK(H115),ISBLANK(J115)),"",ABS(J115-F115)/ABS(F115-H115)),"")</f>
        <v/>
      </c>
      <c r="Q115" s="59">
        <f>IFERROR(IF(OR(ISBLANK(M115),ISBLANK(D115),ISBLANK(G115)),"",IF(D115="Long",(M115-G115),(G115-M115))/VLOOKUP(C115,設定!$B$9:$D$23,2,FALSE)),"")</f>
        <v/>
      </c>
      <c r="R115" s="60">
        <f>IFERROR(IF(OR(ISBLANK(Q115),O115=0),"",Q115/O115),"")</f>
        <v/>
      </c>
      <c r="S115" s="60">
        <f>IFERROR(IF(ISBLANK(R115),S114,IF(ISNUMBER(S114),S114,0)+R115),"")</f>
        <v/>
      </c>
      <c r="T115" s="61">
        <f>IFERROR(IF(OR(ISBLANK(Q115),ISBLANK(L115)),"",Q115*L115*VLOOKUP(C115,設定!$B$9:$D$23,3,FALSE)),"")</f>
        <v/>
      </c>
      <c r="U115" s="55" t="n"/>
      <c r="V115" s="55" t="n"/>
    </row>
    <row r="116">
      <c r="A116" s="44">
        <f>IF(ISBLANK(B116),"",COUNTA($B$18:B116))</f>
        <v/>
      </c>
      <c r="B116" s="45" t="n"/>
      <c r="C116" s="46" t="n"/>
      <c r="D116" s="46" t="n"/>
      <c r="E116" s="44" t="n"/>
      <c r="F116" s="47" t="n"/>
      <c r="G116" s="47" t="n"/>
      <c r="H116" s="47" t="n"/>
      <c r="I116" s="47" t="n"/>
      <c r="J116" s="47" t="n"/>
      <c r="K116" s="47" t="n"/>
      <c r="L116" s="48" t="n"/>
      <c r="M116" s="47" t="n"/>
      <c r="N116" s="46" t="n"/>
      <c r="O116" s="49">
        <f>IFERROR(IF(OR(ISBLANK(G116),ISBLANK(I116)),"",ABS(G116-I116)/VLOOKUP(C116,設定!$B$9:$D$23,2,FALSE)),"")</f>
        <v/>
      </c>
      <c r="P116" s="48">
        <f>IFERROR(IF(OR(ISBLANK(F116),ISBLANK(H116),ISBLANK(J116)),"",ABS(J116-F116)/ABS(F116-H116)),"")</f>
        <v/>
      </c>
      <c r="Q116" s="50">
        <f>IFERROR(IF(OR(ISBLANK(M116),ISBLANK(D116),ISBLANK(G116)),"",IF(D116="Long",(M116-G116),(G116-M116))/VLOOKUP(C116,設定!$B$9:$D$23,2,FALSE)),"")</f>
        <v/>
      </c>
      <c r="R116" s="51">
        <f>IFERROR(IF(OR(ISBLANK(Q116),O116=0),"",Q116/O116),"")</f>
        <v/>
      </c>
      <c r="S116" s="51">
        <f>IFERROR(IF(ISBLANK(R116),S115,IF(ISNUMBER(S115),S115,0)+R116),"")</f>
        <v/>
      </c>
      <c r="T116" s="52">
        <f>IFERROR(IF(OR(ISBLANK(Q116),ISBLANK(L116)),"",Q116*L116*VLOOKUP(C116,設定!$B$9:$D$23,3,FALSE)),"")</f>
        <v/>
      </c>
      <c r="U116" s="46" t="n"/>
      <c r="V116" s="46" t="n"/>
    </row>
    <row r="117">
      <c r="A117" s="53">
        <f>IF(ISBLANK(B117),"",COUNTA($B$18:B117))</f>
        <v/>
      </c>
      <c r="B117" s="54" t="n"/>
      <c r="C117" s="55" t="n"/>
      <c r="D117" s="55" t="n"/>
      <c r="E117" s="53" t="n"/>
      <c r="F117" s="56" t="n"/>
      <c r="G117" s="56" t="n"/>
      <c r="H117" s="56" t="n"/>
      <c r="I117" s="56" t="n"/>
      <c r="J117" s="56" t="n"/>
      <c r="K117" s="56" t="n"/>
      <c r="L117" s="57" t="n"/>
      <c r="M117" s="56" t="n"/>
      <c r="N117" s="55" t="n"/>
      <c r="O117" s="58">
        <f>IFERROR(IF(OR(ISBLANK(G117),ISBLANK(I117)),"",ABS(G117-I117)/VLOOKUP(C117,設定!$B$9:$D$23,2,FALSE)),"")</f>
        <v/>
      </c>
      <c r="P117" s="57">
        <f>IFERROR(IF(OR(ISBLANK(F117),ISBLANK(H117),ISBLANK(J117)),"",ABS(J117-F117)/ABS(F117-H117)),"")</f>
        <v/>
      </c>
      <c r="Q117" s="59">
        <f>IFERROR(IF(OR(ISBLANK(M117),ISBLANK(D117),ISBLANK(G117)),"",IF(D117="Long",(M117-G117),(G117-M117))/VLOOKUP(C117,設定!$B$9:$D$23,2,FALSE)),"")</f>
        <v/>
      </c>
      <c r="R117" s="60">
        <f>IFERROR(IF(OR(ISBLANK(Q117),O117=0),"",Q117/O117),"")</f>
        <v/>
      </c>
      <c r="S117" s="60">
        <f>IFERROR(IF(ISBLANK(R117),S116,IF(ISNUMBER(S116),S116,0)+R117),"")</f>
        <v/>
      </c>
      <c r="T117" s="61">
        <f>IFERROR(IF(OR(ISBLANK(Q117),ISBLANK(L117)),"",Q117*L117*VLOOKUP(C117,設定!$B$9:$D$23,3,FALSE)),"")</f>
        <v/>
      </c>
      <c r="U117" s="55" t="n"/>
      <c r="V117" s="55" t="n"/>
    </row>
    <row r="118">
      <c r="A118" s="44">
        <f>IF(ISBLANK(B118),"",COUNTA($B$18:B118))</f>
        <v/>
      </c>
      <c r="B118" s="45" t="n"/>
      <c r="C118" s="46" t="n"/>
      <c r="D118" s="46" t="n"/>
      <c r="E118" s="44" t="n"/>
      <c r="F118" s="47" t="n"/>
      <c r="G118" s="47" t="n"/>
      <c r="H118" s="47" t="n"/>
      <c r="I118" s="47" t="n"/>
      <c r="J118" s="47" t="n"/>
      <c r="K118" s="47" t="n"/>
      <c r="L118" s="48" t="n"/>
      <c r="M118" s="47" t="n"/>
      <c r="N118" s="46" t="n"/>
      <c r="O118" s="49">
        <f>IFERROR(IF(OR(ISBLANK(G118),ISBLANK(I118)),"",ABS(G118-I118)/VLOOKUP(C118,設定!$B$9:$D$23,2,FALSE)),"")</f>
        <v/>
      </c>
      <c r="P118" s="48">
        <f>IFERROR(IF(OR(ISBLANK(F118),ISBLANK(H118),ISBLANK(J118)),"",ABS(J118-F118)/ABS(F118-H118)),"")</f>
        <v/>
      </c>
      <c r="Q118" s="50">
        <f>IFERROR(IF(OR(ISBLANK(M118),ISBLANK(D118),ISBLANK(G118)),"",IF(D118="Long",(M118-G118),(G118-M118))/VLOOKUP(C118,設定!$B$9:$D$23,2,FALSE)),"")</f>
        <v/>
      </c>
      <c r="R118" s="51">
        <f>IFERROR(IF(OR(ISBLANK(Q118),O118=0),"",Q118/O118),"")</f>
        <v/>
      </c>
      <c r="S118" s="51">
        <f>IFERROR(IF(ISBLANK(R118),S117,IF(ISNUMBER(S117),S117,0)+R118),"")</f>
        <v/>
      </c>
      <c r="T118" s="52">
        <f>IFERROR(IF(OR(ISBLANK(Q118),ISBLANK(L118)),"",Q118*L118*VLOOKUP(C118,設定!$B$9:$D$23,3,FALSE)),"")</f>
        <v/>
      </c>
      <c r="U118" s="46" t="n"/>
      <c r="V118" s="46" t="n"/>
    </row>
    <row r="119">
      <c r="A119" s="53">
        <f>IF(ISBLANK(B119),"",COUNTA($B$18:B119))</f>
        <v/>
      </c>
      <c r="B119" s="54" t="n"/>
      <c r="C119" s="55" t="n"/>
      <c r="D119" s="55" t="n"/>
      <c r="E119" s="53" t="n"/>
      <c r="F119" s="56" t="n"/>
      <c r="G119" s="56" t="n"/>
      <c r="H119" s="56" t="n"/>
      <c r="I119" s="56" t="n"/>
      <c r="J119" s="56" t="n"/>
      <c r="K119" s="56" t="n"/>
      <c r="L119" s="57" t="n"/>
      <c r="M119" s="56" t="n"/>
      <c r="N119" s="55" t="n"/>
      <c r="O119" s="58">
        <f>IFERROR(IF(OR(ISBLANK(G119),ISBLANK(I119)),"",ABS(G119-I119)/VLOOKUP(C119,設定!$B$9:$D$23,2,FALSE)),"")</f>
        <v/>
      </c>
      <c r="P119" s="57">
        <f>IFERROR(IF(OR(ISBLANK(F119),ISBLANK(H119),ISBLANK(J119)),"",ABS(J119-F119)/ABS(F119-H119)),"")</f>
        <v/>
      </c>
      <c r="Q119" s="59">
        <f>IFERROR(IF(OR(ISBLANK(M119),ISBLANK(D119),ISBLANK(G119)),"",IF(D119="Long",(M119-G119),(G119-M119))/VLOOKUP(C119,設定!$B$9:$D$23,2,FALSE)),"")</f>
        <v/>
      </c>
      <c r="R119" s="60">
        <f>IFERROR(IF(OR(ISBLANK(Q119),O119=0),"",Q119/O119),"")</f>
        <v/>
      </c>
      <c r="S119" s="60">
        <f>IFERROR(IF(ISBLANK(R119),S118,IF(ISNUMBER(S118),S118,0)+R119),"")</f>
        <v/>
      </c>
      <c r="T119" s="61">
        <f>IFERROR(IF(OR(ISBLANK(Q119),ISBLANK(L119)),"",Q119*L119*VLOOKUP(C119,設定!$B$9:$D$23,3,FALSE)),"")</f>
        <v/>
      </c>
      <c r="U119" s="55" t="n"/>
      <c r="V119" s="55" t="n"/>
    </row>
    <row r="120">
      <c r="A120" s="44">
        <f>IF(ISBLANK(B120),"",COUNTA($B$18:B120))</f>
        <v/>
      </c>
      <c r="B120" s="45" t="n"/>
      <c r="C120" s="46" t="n"/>
      <c r="D120" s="46" t="n"/>
      <c r="E120" s="44" t="n"/>
      <c r="F120" s="47" t="n"/>
      <c r="G120" s="47" t="n"/>
      <c r="H120" s="47" t="n"/>
      <c r="I120" s="47" t="n"/>
      <c r="J120" s="47" t="n"/>
      <c r="K120" s="47" t="n"/>
      <c r="L120" s="48" t="n"/>
      <c r="M120" s="47" t="n"/>
      <c r="N120" s="46" t="n"/>
      <c r="O120" s="49">
        <f>IFERROR(IF(OR(ISBLANK(G120),ISBLANK(I120)),"",ABS(G120-I120)/VLOOKUP(C120,設定!$B$9:$D$23,2,FALSE)),"")</f>
        <v/>
      </c>
      <c r="P120" s="48">
        <f>IFERROR(IF(OR(ISBLANK(F120),ISBLANK(H120),ISBLANK(J120)),"",ABS(J120-F120)/ABS(F120-H120)),"")</f>
        <v/>
      </c>
      <c r="Q120" s="50">
        <f>IFERROR(IF(OR(ISBLANK(M120),ISBLANK(D120),ISBLANK(G120)),"",IF(D120="Long",(M120-G120),(G120-M120))/VLOOKUP(C120,設定!$B$9:$D$23,2,FALSE)),"")</f>
        <v/>
      </c>
      <c r="R120" s="51">
        <f>IFERROR(IF(OR(ISBLANK(Q120),O120=0),"",Q120/O120),"")</f>
        <v/>
      </c>
      <c r="S120" s="51">
        <f>IFERROR(IF(ISBLANK(R120),S119,IF(ISNUMBER(S119),S119,0)+R120),"")</f>
        <v/>
      </c>
      <c r="T120" s="52">
        <f>IFERROR(IF(OR(ISBLANK(Q120),ISBLANK(L120)),"",Q120*L120*VLOOKUP(C120,設定!$B$9:$D$23,3,FALSE)),"")</f>
        <v/>
      </c>
      <c r="U120" s="46" t="n"/>
      <c r="V120" s="46" t="n"/>
    </row>
    <row r="121">
      <c r="A121" s="53">
        <f>IF(ISBLANK(B121),"",COUNTA($B$18:B121))</f>
        <v/>
      </c>
      <c r="B121" s="54" t="n"/>
      <c r="C121" s="55" t="n"/>
      <c r="D121" s="55" t="n"/>
      <c r="E121" s="53" t="n"/>
      <c r="F121" s="56" t="n"/>
      <c r="G121" s="56" t="n"/>
      <c r="H121" s="56" t="n"/>
      <c r="I121" s="56" t="n"/>
      <c r="J121" s="56" t="n"/>
      <c r="K121" s="56" t="n"/>
      <c r="L121" s="57" t="n"/>
      <c r="M121" s="56" t="n"/>
      <c r="N121" s="55" t="n"/>
      <c r="O121" s="58">
        <f>IFERROR(IF(OR(ISBLANK(G121),ISBLANK(I121)),"",ABS(G121-I121)/VLOOKUP(C121,設定!$B$9:$D$23,2,FALSE)),"")</f>
        <v/>
      </c>
      <c r="P121" s="57">
        <f>IFERROR(IF(OR(ISBLANK(F121),ISBLANK(H121),ISBLANK(J121)),"",ABS(J121-F121)/ABS(F121-H121)),"")</f>
        <v/>
      </c>
      <c r="Q121" s="59">
        <f>IFERROR(IF(OR(ISBLANK(M121),ISBLANK(D121),ISBLANK(G121)),"",IF(D121="Long",(M121-G121),(G121-M121))/VLOOKUP(C121,設定!$B$9:$D$23,2,FALSE)),"")</f>
        <v/>
      </c>
      <c r="R121" s="60">
        <f>IFERROR(IF(OR(ISBLANK(Q121),O121=0),"",Q121/O121),"")</f>
        <v/>
      </c>
      <c r="S121" s="60">
        <f>IFERROR(IF(ISBLANK(R121),S120,IF(ISNUMBER(S120),S120,0)+R121),"")</f>
        <v/>
      </c>
      <c r="T121" s="61">
        <f>IFERROR(IF(OR(ISBLANK(Q121),ISBLANK(L121)),"",Q121*L121*VLOOKUP(C121,設定!$B$9:$D$23,3,FALSE)),"")</f>
        <v/>
      </c>
      <c r="U121" s="55" t="n"/>
      <c r="V121" s="55" t="n"/>
    </row>
    <row r="122">
      <c r="A122" s="44">
        <f>IF(ISBLANK(B122),"",COUNTA($B$18:B122))</f>
        <v/>
      </c>
      <c r="B122" s="45" t="n"/>
      <c r="C122" s="46" t="n"/>
      <c r="D122" s="46" t="n"/>
      <c r="E122" s="44" t="n"/>
      <c r="F122" s="47" t="n"/>
      <c r="G122" s="47" t="n"/>
      <c r="H122" s="47" t="n"/>
      <c r="I122" s="47" t="n"/>
      <c r="J122" s="47" t="n"/>
      <c r="K122" s="47" t="n"/>
      <c r="L122" s="48" t="n"/>
      <c r="M122" s="47" t="n"/>
      <c r="N122" s="46" t="n"/>
      <c r="O122" s="49">
        <f>IFERROR(IF(OR(ISBLANK(G122),ISBLANK(I122)),"",ABS(G122-I122)/VLOOKUP(C122,設定!$B$9:$D$23,2,FALSE)),"")</f>
        <v/>
      </c>
      <c r="P122" s="48">
        <f>IFERROR(IF(OR(ISBLANK(F122),ISBLANK(H122),ISBLANK(J122)),"",ABS(J122-F122)/ABS(F122-H122)),"")</f>
        <v/>
      </c>
      <c r="Q122" s="50">
        <f>IFERROR(IF(OR(ISBLANK(M122),ISBLANK(D122),ISBLANK(G122)),"",IF(D122="Long",(M122-G122),(G122-M122))/VLOOKUP(C122,設定!$B$9:$D$23,2,FALSE)),"")</f>
        <v/>
      </c>
      <c r="R122" s="51">
        <f>IFERROR(IF(OR(ISBLANK(Q122),O122=0),"",Q122/O122),"")</f>
        <v/>
      </c>
      <c r="S122" s="51">
        <f>IFERROR(IF(ISBLANK(R122),S121,IF(ISNUMBER(S121),S121,0)+R122),"")</f>
        <v/>
      </c>
      <c r="T122" s="52">
        <f>IFERROR(IF(OR(ISBLANK(Q122),ISBLANK(L122)),"",Q122*L122*VLOOKUP(C122,設定!$B$9:$D$23,3,FALSE)),"")</f>
        <v/>
      </c>
      <c r="U122" s="46" t="n"/>
      <c r="V122" s="46" t="n"/>
    </row>
    <row r="123">
      <c r="A123" s="53">
        <f>IF(ISBLANK(B123),"",COUNTA($B$18:B123))</f>
        <v/>
      </c>
      <c r="B123" s="54" t="n"/>
      <c r="C123" s="55" t="n"/>
      <c r="D123" s="55" t="n"/>
      <c r="E123" s="53" t="n"/>
      <c r="F123" s="56" t="n"/>
      <c r="G123" s="56" t="n"/>
      <c r="H123" s="56" t="n"/>
      <c r="I123" s="56" t="n"/>
      <c r="J123" s="56" t="n"/>
      <c r="K123" s="56" t="n"/>
      <c r="L123" s="57" t="n"/>
      <c r="M123" s="56" t="n"/>
      <c r="N123" s="55" t="n"/>
      <c r="O123" s="58">
        <f>IFERROR(IF(OR(ISBLANK(G123),ISBLANK(I123)),"",ABS(G123-I123)/VLOOKUP(C123,設定!$B$9:$D$23,2,FALSE)),"")</f>
        <v/>
      </c>
      <c r="P123" s="57">
        <f>IFERROR(IF(OR(ISBLANK(F123),ISBLANK(H123),ISBLANK(J123)),"",ABS(J123-F123)/ABS(F123-H123)),"")</f>
        <v/>
      </c>
      <c r="Q123" s="59">
        <f>IFERROR(IF(OR(ISBLANK(M123),ISBLANK(D123),ISBLANK(G123)),"",IF(D123="Long",(M123-G123),(G123-M123))/VLOOKUP(C123,設定!$B$9:$D$23,2,FALSE)),"")</f>
        <v/>
      </c>
      <c r="R123" s="60">
        <f>IFERROR(IF(OR(ISBLANK(Q123),O123=0),"",Q123/O123),"")</f>
        <v/>
      </c>
      <c r="S123" s="60">
        <f>IFERROR(IF(ISBLANK(R123),S122,IF(ISNUMBER(S122),S122,0)+R123),"")</f>
        <v/>
      </c>
      <c r="T123" s="61">
        <f>IFERROR(IF(OR(ISBLANK(Q123),ISBLANK(L123)),"",Q123*L123*VLOOKUP(C123,設定!$B$9:$D$23,3,FALSE)),"")</f>
        <v/>
      </c>
      <c r="U123" s="55" t="n"/>
      <c r="V123" s="55" t="n"/>
    </row>
    <row r="124">
      <c r="A124" s="44">
        <f>IF(ISBLANK(B124),"",COUNTA($B$18:B124))</f>
        <v/>
      </c>
      <c r="B124" s="45" t="n"/>
      <c r="C124" s="46" t="n"/>
      <c r="D124" s="46" t="n"/>
      <c r="E124" s="44" t="n"/>
      <c r="F124" s="47" t="n"/>
      <c r="G124" s="47" t="n"/>
      <c r="H124" s="47" t="n"/>
      <c r="I124" s="47" t="n"/>
      <c r="J124" s="47" t="n"/>
      <c r="K124" s="47" t="n"/>
      <c r="L124" s="48" t="n"/>
      <c r="M124" s="47" t="n"/>
      <c r="N124" s="46" t="n"/>
      <c r="O124" s="49">
        <f>IFERROR(IF(OR(ISBLANK(G124),ISBLANK(I124)),"",ABS(G124-I124)/VLOOKUP(C124,設定!$B$9:$D$23,2,FALSE)),"")</f>
        <v/>
      </c>
      <c r="P124" s="48">
        <f>IFERROR(IF(OR(ISBLANK(F124),ISBLANK(H124),ISBLANK(J124)),"",ABS(J124-F124)/ABS(F124-H124)),"")</f>
        <v/>
      </c>
      <c r="Q124" s="50">
        <f>IFERROR(IF(OR(ISBLANK(M124),ISBLANK(D124),ISBLANK(G124)),"",IF(D124="Long",(M124-G124),(G124-M124))/VLOOKUP(C124,設定!$B$9:$D$23,2,FALSE)),"")</f>
        <v/>
      </c>
      <c r="R124" s="51">
        <f>IFERROR(IF(OR(ISBLANK(Q124),O124=0),"",Q124/O124),"")</f>
        <v/>
      </c>
      <c r="S124" s="51">
        <f>IFERROR(IF(ISBLANK(R124),S123,IF(ISNUMBER(S123),S123,0)+R124),"")</f>
        <v/>
      </c>
      <c r="T124" s="52">
        <f>IFERROR(IF(OR(ISBLANK(Q124),ISBLANK(L124)),"",Q124*L124*VLOOKUP(C124,設定!$B$9:$D$23,3,FALSE)),"")</f>
        <v/>
      </c>
      <c r="U124" s="46" t="n"/>
      <c r="V124" s="46" t="n"/>
    </row>
    <row r="125">
      <c r="A125" s="53">
        <f>IF(ISBLANK(B125),"",COUNTA($B$18:B125))</f>
        <v/>
      </c>
      <c r="B125" s="54" t="n"/>
      <c r="C125" s="55" t="n"/>
      <c r="D125" s="55" t="n"/>
      <c r="E125" s="53" t="n"/>
      <c r="F125" s="56" t="n"/>
      <c r="G125" s="56" t="n"/>
      <c r="H125" s="56" t="n"/>
      <c r="I125" s="56" t="n"/>
      <c r="J125" s="56" t="n"/>
      <c r="K125" s="56" t="n"/>
      <c r="L125" s="57" t="n"/>
      <c r="M125" s="56" t="n"/>
      <c r="N125" s="55" t="n"/>
      <c r="O125" s="58">
        <f>IFERROR(IF(OR(ISBLANK(G125),ISBLANK(I125)),"",ABS(G125-I125)/VLOOKUP(C125,設定!$B$9:$D$23,2,FALSE)),"")</f>
        <v/>
      </c>
      <c r="P125" s="57">
        <f>IFERROR(IF(OR(ISBLANK(F125),ISBLANK(H125),ISBLANK(J125)),"",ABS(J125-F125)/ABS(F125-H125)),"")</f>
        <v/>
      </c>
      <c r="Q125" s="59">
        <f>IFERROR(IF(OR(ISBLANK(M125),ISBLANK(D125),ISBLANK(G125)),"",IF(D125="Long",(M125-G125),(G125-M125))/VLOOKUP(C125,設定!$B$9:$D$23,2,FALSE)),"")</f>
        <v/>
      </c>
      <c r="R125" s="60">
        <f>IFERROR(IF(OR(ISBLANK(Q125),O125=0),"",Q125/O125),"")</f>
        <v/>
      </c>
      <c r="S125" s="60">
        <f>IFERROR(IF(ISBLANK(R125),S124,IF(ISNUMBER(S124),S124,0)+R125),"")</f>
        <v/>
      </c>
      <c r="T125" s="61">
        <f>IFERROR(IF(OR(ISBLANK(Q125),ISBLANK(L125)),"",Q125*L125*VLOOKUP(C125,設定!$B$9:$D$23,3,FALSE)),"")</f>
        <v/>
      </c>
      <c r="U125" s="55" t="n"/>
      <c r="V125" s="55" t="n"/>
    </row>
    <row r="126">
      <c r="A126" s="44">
        <f>IF(ISBLANK(B126),"",COUNTA($B$18:B126))</f>
        <v/>
      </c>
      <c r="B126" s="45" t="n"/>
      <c r="C126" s="46" t="n"/>
      <c r="D126" s="46" t="n"/>
      <c r="E126" s="44" t="n"/>
      <c r="F126" s="47" t="n"/>
      <c r="G126" s="47" t="n"/>
      <c r="H126" s="47" t="n"/>
      <c r="I126" s="47" t="n"/>
      <c r="J126" s="47" t="n"/>
      <c r="K126" s="47" t="n"/>
      <c r="L126" s="48" t="n"/>
      <c r="M126" s="47" t="n"/>
      <c r="N126" s="46" t="n"/>
      <c r="O126" s="49">
        <f>IFERROR(IF(OR(ISBLANK(G126),ISBLANK(I126)),"",ABS(G126-I126)/VLOOKUP(C126,設定!$B$9:$D$23,2,FALSE)),"")</f>
        <v/>
      </c>
      <c r="P126" s="48">
        <f>IFERROR(IF(OR(ISBLANK(F126),ISBLANK(H126),ISBLANK(J126)),"",ABS(J126-F126)/ABS(F126-H126)),"")</f>
        <v/>
      </c>
      <c r="Q126" s="50">
        <f>IFERROR(IF(OR(ISBLANK(M126),ISBLANK(D126),ISBLANK(G126)),"",IF(D126="Long",(M126-G126),(G126-M126))/VLOOKUP(C126,設定!$B$9:$D$23,2,FALSE)),"")</f>
        <v/>
      </c>
      <c r="R126" s="51">
        <f>IFERROR(IF(OR(ISBLANK(Q126),O126=0),"",Q126/O126),"")</f>
        <v/>
      </c>
      <c r="S126" s="51">
        <f>IFERROR(IF(ISBLANK(R126),S125,IF(ISNUMBER(S125),S125,0)+R126),"")</f>
        <v/>
      </c>
      <c r="T126" s="52">
        <f>IFERROR(IF(OR(ISBLANK(Q126),ISBLANK(L126)),"",Q126*L126*VLOOKUP(C126,設定!$B$9:$D$23,3,FALSE)),"")</f>
        <v/>
      </c>
      <c r="U126" s="46" t="n"/>
      <c r="V126" s="46" t="n"/>
    </row>
    <row r="127">
      <c r="A127" s="53">
        <f>IF(ISBLANK(B127),"",COUNTA($B$18:B127))</f>
        <v/>
      </c>
      <c r="B127" s="54" t="n"/>
      <c r="C127" s="55" t="n"/>
      <c r="D127" s="55" t="n"/>
      <c r="E127" s="53" t="n"/>
      <c r="F127" s="56" t="n"/>
      <c r="G127" s="56" t="n"/>
      <c r="H127" s="56" t="n"/>
      <c r="I127" s="56" t="n"/>
      <c r="J127" s="56" t="n"/>
      <c r="K127" s="56" t="n"/>
      <c r="L127" s="57" t="n"/>
      <c r="M127" s="56" t="n"/>
      <c r="N127" s="55" t="n"/>
      <c r="O127" s="58">
        <f>IFERROR(IF(OR(ISBLANK(G127),ISBLANK(I127)),"",ABS(G127-I127)/VLOOKUP(C127,設定!$B$9:$D$23,2,FALSE)),"")</f>
        <v/>
      </c>
      <c r="P127" s="57">
        <f>IFERROR(IF(OR(ISBLANK(F127),ISBLANK(H127),ISBLANK(J127)),"",ABS(J127-F127)/ABS(F127-H127)),"")</f>
        <v/>
      </c>
      <c r="Q127" s="59">
        <f>IFERROR(IF(OR(ISBLANK(M127),ISBLANK(D127),ISBLANK(G127)),"",IF(D127="Long",(M127-G127),(G127-M127))/VLOOKUP(C127,設定!$B$9:$D$23,2,FALSE)),"")</f>
        <v/>
      </c>
      <c r="R127" s="60">
        <f>IFERROR(IF(OR(ISBLANK(Q127),O127=0),"",Q127/O127),"")</f>
        <v/>
      </c>
      <c r="S127" s="60">
        <f>IFERROR(IF(ISBLANK(R127),S126,IF(ISNUMBER(S126),S126,0)+R127),"")</f>
        <v/>
      </c>
      <c r="T127" s="61">
        <f>IFERROR(IF(OR(ISBLANK(Q127),ISBLANK(L127)),"",Q127*L127*VLOOKUP(C127,設定!$B$9:$D$23,3,FALSE)),"")</f>
        <v/>
      </c>
      <c r="U127" s="55" t="n"/>
      <c r="V127" s="55" t="n"/>
    </row>
    <row r="128">
      <c r="A128" s="44">
        <f>IF(ISBLANK(B128),"",COUNTA($B$18:B128))</f>
        <v/>
      </c>
      <c r="B128" s="45" t="n"/>
      <c r="C128" s="46" t="n"/>
      <c r="D128" s="46" t="n"/>
      <c r="E128" s="44" t="n"/>
      <c r="F128" s="47" t="n"/>
      <c r="G128" s="47" t="n"/>
      <c r="H128" s="47" t="n"/>
      <c r="I128" s="47" t="n"/>
      <c r="J128" s="47" t="n"/>
      <c r="K128" s="47" t="n"/>
      <c r="L128" s="48" t="n"/>
      <c r="M128" s="47" t="n"/>
      <c r="N128" s="46" t="n"/>
      <c r="O128" s="49">
        <f>IFERROR(IF(OR(ISBLANK(G128),ISBLANK(I128)),"",ABS(G128-I128)/VLOOKUP(C128,設定!$B$9:$D$23,2,FALSE)),"")</f>
        <v/>
      </c>
      <c r="P128" s="48">
        <f>IFERROR(IF(OR(ISBLANK(F128),ISBLANK(H128),ISBLANK(J128)),"",ABS(J128-F128)/ABS(F128-H128)),"")</f>
        <v/>
      </c>
      <c r="Q128" s="50">
        <f>IFERROR(IF(OR(ISBLANK(M128),ISBLANK(D128),ISBLANK(G128)),"",IF(D128="Long",(M128-G128),(G128-M128))/VLOOKUP(C128,設定!$B$9:$D$23,2,FALSE)),"")</f>
        <v/>
      </c>
      <c r="R128" s="51">
        <f>IFERROR(IF(OR(ISBLANK(Q128),O128=0),"",Q128/O128),"")</f>
        <v/>
      </c>
      <c r="S128" s="51">
        <f>IFERROR(IF(ISBLANK(R128),S127,IF(ISNUMBER(S127),S127,0)+R128),"")</f>
        <v/>
      </c>
      <c r="T128" s="52">
        <f>IFERROR(IF(OR(ISBLANK(Q128),ISBLANK(L128)),"",Q128*L128*VLOOKUP(C128,設定!$B$9:$D$23,3,FALSE)),"")</f>
        <v/>
      </c>
      <c r="U128" s="46" t="n"/>
      <c r="V128" s="46" t="n"/>
    </row>
    <row r="129">
      <c r="A129" s="53">
        <f>IF(ISBLANK(B129),"",COUNTA($B$18:B129))</f>
        <v/>
      </c>
      <c r="B129" s="54" t="n"/>
      <c r="C129" s="55" t="n"/>
      <c r="D129" s="55" t="n"/>
      <c r="E129" s="53" t="n"/>
      <c r="F129" s="56" t="n"/>
      <c r="G129" s="56" t="n"/>
      <c r="H129" s="56" t="n"/>
      <c r="I129" s="56" t="n"/>
      <c r="J129" s="56" t="n"/>
      <c r="K129" s="56" t="n"/>
      <c r="L129" s="57" t="n"/>
      <c r="M129" s="56" t="n"/>
      <c r="N129" s="55" t="n"/>
      <c r="O129" s="58">
        <f>IFERROR(IF(OR(ISBLANK(G129),ISBLANK(I129)),"",ABS(G129-I129)/VLOOKUP(C129,設定!$B$9:$D$23,2,FALSE)),"")</f>
        <v/>
      </c>
      <c r="P129" s="57">
        <f>IFERROR(IF(OR(ISBLANK(F129),ISBLANK(H129),ISBLANK(J129)),"",ABS(J129-F129)/ABS(F129-H129)),"")</f>
        <v/>
      </c>
      <c r="Q129" s="59">
        <f>IFERROR(IF(OR(ISBLANK(M129),ISBLANK(D129),ISBLANK(G129)),"",IF(D129="Long",(M129-G129),(G129-M129))/VLOOKUP(C129,設定!$B$9:$D$23,2,FALSE)),"")</f>
        <v/>
      </c>
      <c r="R129" s="60">
        <f>IFERROR(IF(OR(ISBLANK(Q129),O129=0),"",Q129/O129),"")</f>
        <v/>
      </c>
      <c r="S129" s="60">
        <f>IFERROR(IF(ISBLANK(R129),S128,IF(ISNUMBER(S128),S128,0)+R129),"")</f>
        <v/>
      </c>
      <c r="T129" s="61">
        <f>IFERROR(IF(OR(ISBLANK(Q129),ISBLANK(L129)),"",Q129*L129*VLOOKUP(C129,設定!$B$9:$D$23,3,FALSE)),"")</f>
        <v/>
      </c>
      <c r="U129" s="55" t="n"/>
      <c r="V129" s="55" t="n"/>
    </row>
    <row r="130">
      <c r="A130" s="44">
        <f>IF(ISBLANK(B130),"",COUNTA($B$18:B130))</f>
        <v/>
      </c>
      <c r="B130" s="45" t="n"/>
      <c r="C130" s="46" t="n"/>
      <c r="D130" s="46" t="n"/>
      <c r="E130" s="44" t="n"/>
      <c r="F130" s="47" t="n"/>
      <c r="G130" s="47" t="n"/>
      <c r="H130" s="47" t="n"/>
      <c r="I130" s="47" t="n"/>
      <c r="J130" s="47" t="n"/>
      <c r="K130" s="47" t="n"/>
      <c r="L130" s="48" t="n"/>
      <c r="M130" s="47" t="n"/>
      <c r="N130" s="46" t="n"/>
      <c r="O130" s="49">
        <f>IFERROR(IF(OR(ISBLANK(G130),ISBLANK(I130)),"",ABS(G130-I130)/VLOOKUP(C130,設定!$B$9:$D$23,2,FALSE)),"")</f>
        <v/>
      </c>
      <c r="P130" s="48">
        <f>IFERROR(IF(OR(ISBLANK(F130),ISBLANK(H130),ISBLANK(J130)),"",ABS(J130-F130)/ABS(F130-H130)),"")</f>
        <v/>
      </c>
      <c r="Q130" s="50">
        <f>IFERROR(IF(OR(ISBLANK(M130),ISBLANK(D130),ISBLANK(G130)),"",IF(D130="Long",(M130-G130),(G130-M130))/VLOOKUP(C130,設定!$B$9:$D$23,2,FALSE)),"")</f>
        <v/>
      </c>
      <c r="R130" s="51">
        <f>IFERROR(IF(OR(ISBLANK(Q130),O130=0),"",Q130/O130),"")</f>
        <v/>
      </c>
      <c r="S130" s="51">
        <f>IFERROR(IF(ISBLANK(R130),S129,IF(ISNUMBER(S129),S129,0)+R130),"")</f>
        <v/>
      </c>
      <c r="T130" s="52">
        <f>IFERROR(IF(OR(ISBLANK(Q130),ISBLANK(L130)),"",Q130*L130*VLOOKUP(C130,設定!$B$9:$D$23,3,FALSE)),"")</f>
        <v/>
      </c>
      <c r="U130" s="46" t="n"/>
      <c r="V130" s="46" t="n"/>
    </row>
    <row r="131">
      <c r="A131" s="53">
        <f>IF(ISBLANK(B131),"",COUNTA($B$18:B131))</f>
        <v/>
      </c>
      <c r="B131" s="54" t="n"/>
      <c r="C131" s="55" t="n"/>
      <c r="D131" s="55" t="n"/>
      <c r="E131" s="53" t="n"/>
      <c r="F131" s="56" t="n"/>
      <c r="G131" s="56" t="n"/>
      <c r="H131" s="56" t="n"/>
      <c r="I131" s="56" t="n"/>
      <c r="J131" s="56" t="n"/>
      <c r="K131" s="56" t="n"/>
      <c r="L131" s="57" t="n"/>
      <c r="M131" s="56" t="n"/>
      <c r="N131" s="55" t="n"/>
      <c r="O131" s="58">
        <f>IFERROR(IF(OR(ISBLANK(G131),ISBLANK(I131)),"",ABS(G131-I131)/VLOOKUP(C131,設定!$B$9:$D$23,2,FALSE)),"")</f>
        <v/>
      </c>
      <c r="P131" s="57">
        <f>IFERROR(IF(OR(ISBLANK(F131),ISBLANK(H131),ISBLANK(J131)),"",ABS(J131-F131)/ABS(F131-H131)),"")</f>
        <v/>
      </c>
      <c r="Q131" s="59">
        <f>IFERROR(IF(OR(ISBLANK(M131),ISBLANK(D131),ISBLANK(G131)),"",IF(D131="Long",(M131-G131),(G131-M131))/VLOOKUP(C131,設定!$B$9:$D$23,2,FALSE)),"")</f>
        <v/>
      </c>
      <c r="R131" s="60">
        <f>IFERROR(IF(OR(ISBLANK(Q131),O131=0),"",Q131/O131),"")</f>
        <v/>
      </c>
      <c r="S131" s="60">
        <f>IFERROR(IF(ISBLANK(R131),S130,IF(ISNUMBER(S130),S130,0)+R131),"")</f>
        <v/>
      </c>
      <c r="T131" s="61">
        <f>IFERROR(IF(OR(ISBLANK(Q131),ISBLANK(L131)),"",Q131*L131*VLOOKUP(C131,設定!$B$9:$D$23,3,FALSE)),"")</f>
        <v/>
      </c>
      <c r="U131" s="55" t="n"/>
      <c r="V131" s="55" t="n"/>
    </row>
    <row r="132">
      <c r="A132" s="44">
        <f>IF(ISBLANK(B132),"",COUNTA($B$18:B132))</f>
        <v/>
      </c>
      <c r="B132" s="45" t="n"/>
      <c r="C132" s="46" t="n"/>
      <c r="D132" s="46" t="n"/>
      <c r="E132" s="44" t="n"/>
      <c r="F132" s="47" t="n"/>
      <c r="G132" s="47" t="n"/>
      <c r="H132" s="47" t="n"/>
      <c r="I132" s="47" t="n"/>
      <c r="J132" s="47" t="n"/>
      <c r="K132" s="47" t="n"/>
      <c r="L132" s="48" t="n"/>
      <c r="M132" s="47" t="n"/>
      <c r="N132" s="46" t="n"/>
      <c r="O132" s="49">
        <f>IFERROR(IF(OR(ISBLANK(G132),ISBLANK(I132)),"",ABS(G132-I132)/VLOOKUP(C132,設定!$B$9:$D$23,2,FALSE)),"")</f>
        <v/>
      </c>
      <c r="P132" s="48">
        <f>IFERROR(IF(OR(ISBLANK(F132),ISBLANK(H132),ISBLANK(J132)),"",ABS(J132-F132)/ABS(F132-H132)),"")</f>
        <v/>
      </c>
      <c r="Q132" s="50">
        <f>IFERROR(IF(OR(ISBLANK(M132),ISBLANK(D132),ISBLANK(G132)),"",IF(D132="Long",(M132-G132),(G132-M132))/VLOOKUP(C132,設定!$B$9:$D$23,2,FALSE)),"")</f>
        <v/>
      </c>
      <c r="R132" s="51">
        <f>IFERROR(IF(OR(ISBLANK(Q132),O132=0),"",Q132/O132),"")</f>
        <v/>
      </c>
      <c r="S132" s="51">
        <f>IFERROR(IF(ISBLANK(R132),S131,IF(ISNUMBER(S131),S131,0)+R132),"")</f>
        <v/>
      </c>
      <c r="T132" s="52">
        <f>IFERROR(IF(OR(ISBLANK(Q132),ISBLANK(L132)),"",Q132*L132*VLOOKUP(C132,設定!$B$9:$D$23,3,FALSE)),"")</f>
        <v/>
      </c>
      <c r="U132" s="46" t="n"/>
      <c r="V132" s="46" t="n"/>
    </row>
    <row r="133">
      <c r="A133" s="53">
        <f>IF(ISBLANK(B133),"",COUNTA($B$18:B133))</f>
        <v/>
      </c>
      <c r="B133" s="54" t="n"/>
      <c r="C133" s="55" t="n"/>
      <c r="D133" s="55" t="n"/>
      <c r="E133" s="53" t="n"/>
      <c r="F133" s="56" t="n"/>
      <c r="G133" s="56" t="n"/>
      <c r="H133" s="56" t="n"/>
      <c r="I133" s="56" t="n"/>
      <c r="J133" s="56" t="n"/>
      <c r="K133" s="56" t="n"/>
      <c r="L133" s="57" t="n"/>
      <c r="M133" s="56" t="n"/>
      <c r="N133" s="55" t="n"/>
      <c r="O133" s="58">
        <f>IFERROR(IF(OR(ISBLANK(G133),ISBLANK(I133)),"",ABS(G133-I133)/VLOOKUP(C133,設定!$B$9:$D$23,2,FALSE)),"")</f>
        <v/>
      </c>
      <c r="P133" s="57">
        <f>IFERROR(IF(OR(ISBLANK(F133),ISBLANK(H133),ISBLANK(J133)),"",ABS(J133-F133)/ABS(F133-H133)),"")</f>
        <v/>
      </c>
      <c r="Q133" s="59">
        <f>IFERROR(IF(OR(ISBLANK(M133),ISBLANK(D133),ISBLANK(G133)),"",IF(D133="Long",(M133-G133),(G133-M133))/VLOOKUP(C133,設定!$B$9:$D$23,2,FALSE)),"")</f>
        <v/>
      </c>
      <c r="R133" s="60">
        <f>IFERROR(IF(OR(ISBLANK(Q133),O133=0),"",Q133/O133),"")</f>
        <v/>
      </c>
      <c r="S133" s="60">
        <f>IFERROR(IF(ISBLANK(R133),S132,IF(ISNUMBER(S132),S132,0)+R133),"")</f>
        <v/>
      </c>
      <c r="T133" s="61">
        <f>IFERROR(IF(OR(ISBLANK(Q133),ISBLANK(L133)),"",Q133*L133*VLOOKUP(C133,設定!$B$9:$D$23,3,FALSE)),"")</f>
        <v/>
      </c>
      <c r="U133" s="55" t="n"/>
      <c r="V133" s="55" t="n"/>
    </row>
    <row r="134">
      <c r="A134" s="44">
        <f>IF(ISBLANK(B134),"",COUNTA($B$18:B134))</f>
        <v/>
      </c>
      <c r="B134" s="45" t="n"/>
      <c r="C134" s="46" t="n"/>
      <c r="D134" s="46" t="n"/>
      <c r="E134" s="44" t="n"/>
      <c r="F134" s="47" t="n"/>
      <c r="G134" s="47" t="n"/>
      <c r="H134" s="47" t="n"/>
      <c r="I134" s="47" t="n"/>
      <c r="J134" s="47" t="n"/>
      <c r="K134" s="47" t="n"/>
      <c r="L134" s="48" t="n"/>
      <c r="M134" s="47" t="n"/>
      <c r="N134" s="46" t="n"/>
      <c r="O134" s="49">
        <f>IFERROR(IF(OR(ISBLANK(G134),ISBLANK(I134)),"",ABS(G134-I134)/VLOOKUP(C134,設定!$B$9:$D$23,2,FALSE)),"")</f>
        <v/>
      </c>
      <c r="P134" s="48">
        <f>IFERROR(IF(OR(ISBLANK(F134),ISBLANK(H134),ISBLANK(J134)),"",ABS(J134-F134)/ABS(F134-H134)),"")</f>
        <v/>
      </c>
      <c r="Q134" s="50">
        <f>IFERROR(IF(OR(ISBLANK(M134),ISBLANK(D134),ISBLANK(G134)),"",IF(D134="Long",(M134-G134),(G134-M134))/VLOOKUP(C134,設定!$B$9:$D$23,2,FALSE)),"")</f>
        <v/>
      </c>
      <c r="R134" s="51">
        <f>IFERROR(IF(OR(ISBLANK(Q134),O134=0),"",Q134/O134),"")</f>
        <v/>
      </c>
      <c r="S134" s="51">
        <f>IFERROR(IF(ISBLANK(R134),S133,IF(ISNUMBER(S133),S133,0)+R134),"")</f>
        <v/>
      </c>
      <c r="T134" s="52">
        <f>IFERROR(IF(OR(ISBLANK(Q134),ISBLANK(L134)),"",Q134*L134*VLOOKUP(C134,設定!$B$9:$D$23,3,FALSE)),"")</f>
        <v/>
      </c>
      <c r="U134" s="46" t="n"/>
      <c r="V134" s="46" t="n"/>
    </row>
    <row r="135">
      <c r="A135" s="53">
        <f>IF(ISBLANK(B135),"",COUNTA($B$18:B135))</f>
        <v/>
      </c>
      <c r="B135" s="54" t="n"/>
      <c r="C135" s="55" t="n"/>
      <c r="D135" s="55" t="n"/>
      <c r="E135" s="53" t="n"/>
      <c r="F135" s="56" t="n"/>
      <c r="G135" s="56" t="n"/>
      <c r="H135" s="56" t="n"/>
      <c r="I135" s="56" t="n"/>
      <c r="J135" s="56" t="n"/>
      <c r="K135" s="56" t="n"/>
      <c r="L135" s="57" t="n"/>
      <c r="M135" s="56" t="n"/>
      <c r="N135" s="55" t="n"/>
      <c r="O135" s="58">
        <f>IFERROR(IF(OR(ISBLANK(G135),ISBLANK(I135)),"",ABS(G135-I135)/VLOOKUP(C135,設定!$B$9:$D$23,2,FALSE)),"")</f>
        <v/>
      </c>
      <c r="P135" s="57">
        <f>IFERROR(IF(OR(ISBLANK(F135),ISBLANK(H135),ISBLANK(J135)),"",ABS(J135-F135)/ABS(F135-H135)),"")</f>
        <v/>
      </c>
      <c r="Q135" s="59">
        <f>IFERROR(IF(OR(ISBLANK(M135),ISBLANK(D135),ISBLANK(G135)),"",IF(D135="Long",(M135-G135),(G135-M135))/VLOOKUP(C135,設定!$B$9:$D$23,2,FALSE)),"")</f>
        <v/>
      </c>
      <c r="R135" s="60">
        <f>IFERROR(IF(OR(ISBLANK(Q135),O135=0),"",Q135/O135),"")</f>
        <v/>
      </c>
      <c r="S135" s="60">
        <f>IFERROR(IF(ISBLANK(R135),S134,IF(ISNUMBER(S134),S134,0)+R135),"")</f>
        <v/>
      </c>
      <c r="T135" s="61">
        <f>IFERROR(IF(OR(ISBLANK(Q135),ISBLANK(L135)),"",Q135*L135*VLOOKUP(C135,設定!$B$9:$D$23,3,FALSE)),"")</f>
        <v/>
      </c>
      <c r="U135" s="55" t="n"/>
      <c r="V135" s="55" t="n"/>
    </row>
    <row r="136">
      <c r="A136" s="44">
        <f>IF(ISBLANK(B136),"",COUNTA($B$18:B136))</f>
        <v/>
      </c>
      <c r="B136" s="45" t="n"/>
      <c r="C136" s="46" t="n"/>
      <c r="D136" s="46" t="n"/>
      <c r="E136" s="44" t="n"/>
      <c r="F136" s="47" t="n"/>
      <c r="G136" s="47" t="n"/>
      <c r="H136" s="47" t="n"/>
      <c r="I136" s="47" t="n"/>
      <c r="J136" s="47" t="n"/>
      <c r="K136" s="47" t="n"/>
      <c r="L136" s="48" t="n"/>
      <c r="M136" s="47" t="n"/>
      <c r="N136" s="46" t="n"/>
      <c r="O136" s="49">
        <f>IFERROR(IF(OR(ISBLANK(G136),ISBLANK(I136)),"",ABS(G136-I136)/VLOOKUP(C136,設定!$B$9:$D$23,2,FALSE)),"")</f>
        <v/>
      </c>
      <c r="P136" s="48">
        <f>IFERROR(IF(OR(ISBLANK(F136),ISBLANK(H136),ISBLANK(J136)),"",ABS(J136-F136)/ABS(F136-H136)),"")</f>
        <v/>
      </c>
      <c r="Q136" s="50">
        <f>IFERROR(IF(OR(ISBLANK(M136),ISBLANK(D136),ISBLANK(G136)),"",IF(D136="Long",(M136-G136),(G136-M136))/VLOOKUP(C136,設定!$B$9:$D$23,2,FALSE)),"")</f>
        <v/>
      </c>
      <c r="R136" s="51">
        <f>IFERROR(IF(OR(ISBLANK(Q136),O136=0),"",Q136/O136),"")</f>
        <v/>
      </c>
      <c r="S136" s="51">
        <f>IFERROR(IF(ISBLANK(R136),S135,IF(ISNUMBER(S135),S135,0)+R136),"")</f>
        <v/>
      </c>
      <c r="T136" s="52">
        <f>IFERROR(IF(OR(ISBLANK(Q136),ISBLANK(L136)),"",Q136*L136*VLOOKUP(C136,設定!$B$9:$D$23,3,FALSE)),"")</f>
        <v/>
      </c>
      <c r="U136" s="46" t="n"/>
      <c r="V136" s="46" t="n"/>
    </row>
    <row r="137">
      <c r="A137" s="53">
        <f>IF(ISBLANK(B137),"",COUNTA($B$18:B137))</f>
        <v/>
      </c>
      <c r="B137" s="54" t="n"/>
      <c r="C137" s="55" t="n"/>
      <c r="D137" s="55" t="n"/>
      <c r="E137" s="53" t="n"/>
      <c r="F137" s="56" t="n"/>
      <c r="G137" s="56" t="n"/>
      <c r="H137" s="56" t="n"/>
      <c r="I137" s="56" t="n"/>
      <c r="J137" s="56" t="n"/>
      <c r="K137" s="56" t="n"/>
      <c r="L137" s="57" t="n"/>
      <c r="M137" s="56" t="n"/>
      <c r="N137" s="55" t="n"/>
      <c r="O137" s="58">
        <f>IFERROR(IF(OR(ISBLANK(G137),ISBLANK(I137)),"",ABS(G137-I137)/VLOOKUP(C137,設定!$B$9:$D$23,2,FALSE)),"")</f>
        <v/>
      </c>
      <c r="P137" s="57">
        <f>IFERROR(IF(OR(ISBLANK(F137),ISBLANK(H137),ISBLANK(J137)),"",ABS(J137-F137)/ABS(F137-H137)),"")</f>
        <v/>
      </c>
      <c r="Q137" s="59">
        <f>IFERROR(IF(OR(ISBLANK(M137),ISBLANK(D137),ISBLANK(G137)),"",IF(D137="Long",(M137-G137),(G137-M137))/VLOOKUP(C137,設定!$B$9:$D$23,2,FALSE)),"")</f>
        <v/>
      </c>
      <c r="R137" s="60">
        <f>IFERROR(IF(OR(ISBLANK(Q137),O137=0),"",Q137/O137),"")</f>
        <v/>
      </c>
      <c r="S137" s="60">
        <f>IFERROR(IF(ISBLANK(R137),S136,IF(ISNUMBER(S136),S136,0)+R137),"")</f>
        <v/>
      </c>
      <c r="T137" s="61">
        <f>IFERROR(IF(OR(ISBLANK(Q137),ISBLANK(L137)),"",Q137*L137*VLOOKUP(C137,設定!$B$9:$D$23,3,FALSE)),"")</f>
        <v/>
      </c>
      <c r="U137" s="55" t="n"/>
      <c r="V137" s="55" t="n"/>
    </row>
    <row r="138">
      <c r="A138" s="44">
        <f>IF(ISBLANK(B138),"",COUNTA($B$18:B138))</f>
        <v/>
      </c>
      <c r="B138" s="45" t="n"/>
      <c r="C138" s="46" t="n"/>
      <c r="D138" s="46" t="n"/>
      <c r="E138" s="44" t="n"/>
      <c r="F138" s="47" t="n"/>
      <c r="G138" s="47" t="n"/>
      <c r="H138" s="47" t="n"/>
      <c r="I138" s="47" t="n"/>
      <c r="J138" s="47" t="n"/>
      <c r="K138" s="47" t="n"/>
      <c r="L138" s="48" t="n"/>
      <c r="M138" s="47" t="n"/>
      <c r="N138" s="46" t="n"/>
      <c r="O138" s="49">
        <f>IFERROR(IF(OR(ISBLANK(G138),ISBLANK(I138)),"",ABS(G138-I138)/VLOOKUP(C138,設定!$B$9:$D$23,2,FALSE)),"")</f>
        <v/>
      </c>
      <c r="P138" s="48">
        <f>IFERROR(IF(OR(ISBLANK(F138),ISBLANK(H138),ISBLANK(J138)),"",ABS(J138-F138)/ABS(F138-H138)),"")</f>
        <v/>
      </c>
      <c r="Q138" s="50">
        <f>IFERROR(IF(OR(ISBLANK(M138),ISBLANK(D138),ISBLANK(G138)),"",IF(D138="Long",(M138-G138),(G138-M138))/VLOOKUP(C138,設定!$B$9:$D$23,2,FALSE)),"")</f>
        <v/>
      </c>
      <c r="R138" s="51">
        <f>IFERROR(IF(OR(ISBLANK(Q138),O138=0),"",Q138/O138),"")</f>
        <v/>
      </c>
      <c r="S138" s="51">
        <f>IFERROR(IF(ISBLANK(R138),S137,IF(ISNUMBER(S137),S137,0)+R138),"")</f>
        <v/>
      </c>
      <c r="T138" s="52">
        <f>IFERROR(IF(OR(ISBLANK(Q138),ISBLANK(L138)),"",Q138*L138*VLOOKUP(C138,設定!$B$9:$D$23,3,FALSE)),"")</f>
        <v/>
      </c>
      <c r="U138" s="46" t="n"/>
      <c r="V138" s="46" t="n"/>
    </row>
    <row r="139">
      <c r="A139" s="53">
        <f>IF(ISBLANK(B139),"",COUNTA($B$18:B139))</f>
        <v/>
      </c>
      <c r="B139" s="54" t="n"/>
      <c r="C139" s="55" t="n"/>
      <c r="D139" s="55" t="n"/>
      <c r="E139" s="53" t="n"/>
      <c r="F139" s="56" t="n"/>
      <c r="G139" s="56" t="n"/>
      <c r="H139" s="56" t="n"/>
      <c r="I139" s="56" t="n"/>
      <c r="J139" s="56" t="n"/>
      <c r="K139" s="56" t="n"/>
      <c r="L139" s="57" t="n"/>
      <c r="M139" s="56" t="n"/>
      <c r="N139" s="55" t="n"/>
      <c r="O139" s="58">
        <f>IFERROR(IF(OR(ISBLANK(G139),ISBLANK(I139)),"",ABS(G139-I139)/VLOOKUP(C139,設定!$B$9:$D$23,2,FALSE)),"")</f>
        <v/>
      </c>
      <c r="P139" s="57">
        <f>IFERROR(IF(OR(ISBLANK(F139),ISBLANK(H139),ISBLANK(J139)),"",ABS(J139-F139)/ABS(F139-H139)),"")</f>
        <v/>
      </c>
      <c r="Q139" s="59">
        <f>IFERROR(IF(OR(ISBLANK(M139),ISBLANK(D139),ISBLANK(G139)),"",IF(D139="Long",(M139-G139),(G139-M139))/VLOOKUP(C139,設定!$B$9:$D$23,2,FALSE)),"")</f>
        <v/>
      </c>
      <c r="R139" s="60">
        <f>IFERROR(IF(OR(ISBLANK(Q139),O139=0),"",Q139/O139),"")</f>
        <v/>
      </c>
      <c r="S139" s="60">
        <f>IFERROR(IF(ISBLANK(R139),S138,IF(ISNUMBER(S138),S138,0)+R139),"")</f>
        <v/>
      </c>
      <c r="T139" s="61">
        <f>IFERROR(IF(OR(ISBLANK(Q139),ISBLANK(L139)),"",Q139*L139*VLOOKUP(C139,設定!$B$9:$D$23,3,FALSE)),"")</f>
        <v/>
      </c>
      <c r="U139" s="55" t="n"/>
      <c r="V139" s="55" t="n"/>
    </row>
    <row r="140">
      <c r="A140" s="44">
        <f>IF(ISBLANK(B140),"",COUNTA($B$18:B140))</f>
        <v/>
      </c>
      <c r="B140" s="45" t="n"/>
      <c r="C140" s="46" t="n"/>
      <c r="D140" s="46" t="n"/>
      <c r="E140" s="44" t="n"/>
      <c r="F140" s="47" t="n"/>
      <c r="G140" s="47" t="n"/>
      <c r="H140" s="47" t="n"/>
      <c r="I140" s="47" t="n"/>
      <c r="J140" s="47" t="n"/>
      <c r="K140" s="47" t="n"/>
      <c r="L140" s="48" t="n"/>
      <c r="M140" s="47" t="n"/>
      <c r="N140" s="46" t="n"/>
      <c r="O140" s="49">
        <f>IFERROR(IF(OR(ISBLANK(G140),ISBLANK(I140)),"",ABS(G140-I140)/VLOOKUP(C140,設定!$B$9:$D$23,2,FALSE)),"")</f>
        <v/>
      </c>
      <c r="P140" s="48">
        <f>IFERROR(IF(OR(ISBLANK(F140),ISBLANK(H140),ISBLANK(J140)),"",ABS(J140-F140)/ABS(F140-H140)),"")</f>
        <v/>
      </c>
      <c r="Q140" s="50">
        <f>IFERROR(IF(OR(ISBLANK(M140),ISBLANK(D140),ISBLANK(G140)),"",IF(D140="Long",(M140-G140),(G140-M140))/VLOOKUP(C140,設定!$B$9:$D$23,2,FALSE)),"")</f>
        <v/>
      </c>
      <c r="R140" s="51">
        <f>IFERROR(IF(OR(ISBLANK(Q140),O140=0),"",Q140/O140),"")</f>
        <v/>
      </c>
      <c r="S140" s="51">
        <f>IFERROR(IF(ISBLANK(R140),S139,IF(ISNUMBER(S139),S139,0)+R140),"")</f>
        <v/>
      </c>
      <c r="T140" s="52">
        <f>IFERROR(IF(OR(ISBLANK(Q140),ISBLANK(L140)),"",Q140*L140*VLOOKUP(C140,設定!$B$9:$D$23,3,FALSE)),"")</f>
        <v/>
      </c>
      <c r="U140" s="46" t="n"/>
      <c r="V140" s="46" t="n"/>
    </row>
    <row r="141">
      <c r="A141" s="53">
        <f>IF(ISBLANK(B141),"",COUNTA($B$18:B141))</f>
        <v/>
      </c>
      <c r="B141" s="54" t="n"/>
      <c r="C141" s="55" t="n"/>
      <c r="D141" s="55" t="n"/>
      <c r="E141" s="53" t="n"/>
      <c r="F141" s="56" t="n"/>
      <c r="G141" s="56" t="n"/>
      <c r="H141" s="56" t="n"/>
      <c r="I141" s="56" t="n"/>
      <c r="J141" s="56" t="n"/>
      <c r="K141" s="56" t="n"/>
      <c r="L141" s="57" t="n"/>
      <c r="M141" s="56" t="n"/>
      <c r="N141" s="55" t="n"/>
      <c r="O141" s="58">
        <f>IFERROR(IF(OR(ISBLANK(G141),ISBLANK(I141)),"",ABS(G141-I141)/VLOOKUP(C141,設定!$B$9:$D$23,2,FALSE)),"")</f>
        <v/>
      </c>
      <c r="P141" s="57">
        <f>IFERROR(IF(OR(ISBLANK(F141),ISBLANK(H141),ISBLANK(J141)),"",ABS(J141-F141)/ABS(F141-H141)),"")</f>
        <v/>
      </c>
      <c r="Q141" s="59">
        <f>IFERROR(IF(OR(ISBLANK(M141),ISBLANK(D141),ISBLANK(G141)),"",IF(D141="Long",(M141-G141),(G141-M141))/VLOOKUP(C141,設定!$B$9:$D$23,2,FALSE)),"")</f>
        <v/>
      </c>
      <c r="R141" s="60">
        <f>IFERROR(IF(OR(ISBLANK(Q141),O141=0),"",Q141/O141),"")</f>
        <v/>
      </c>
      <c r="S141" s="60">
        <f>IFERROR(IF(ISBLANK(R141),S140,IF(ISNUMBER(S140),S140,0)+R141),"")</f>
        <v/>
      </c>
      <c r="T141" s="61">
        <f>IFERROR(IF(OR(ISBLANK(Q141),ISBLANK(L141)),"",Q141*L141*VLOOKUP(C141,設定!$B$9:$D$23,3,FALSE)),"")</f>
        <v/>
      </c>
      <c r="U141" s="55" t="n"/>
      <c r="V141" s="55" t="n"/>
    </row>
    <row r="142">
      <c r="A142" s="44">
        <f>IF(ISBLANK(B142),"",COUNTA($B$18:B142))</f>
        <v/>
      </c>
      <c r="B142" s="45" t="n"/>
      <c r="C142" s="46" t="n"/>
      <c r="D142" s="46" t="n"/>
      <c r="E142" s="44" t="n"/>
      <c r="F142" s="47" t="n"/>
      <c r="G142" s="47" t="n"/>
      <c r="H142" s="47" t="n"/>
      <c r="I142" s="47" t="n"/>
      <c r="J142" s="47" t="n"/>
      <c r="K142" s="47" t="n"/>
      <c r="L142" s="48" t="n"/>
      <c r="M142" s="47" t="n"/>
      <c r="N142" s="46" t="n"/>
      <c r="O142" s="49">
        <f>IFERROR(IF(OR(ISBLANK(G142),ISBLANK(I142)),"",ABS(G142-I142)/VLOOKUP(C142,設定!$B$9:$D$23,2,FALSE)),"")</f>
        <v/>
      </c>
      <c r="P142" s="48">
        <f>IFERROR(IF(OR(ISBLANK(F142),ISBLANK(H142),ISBLANK(J142)),"",ABS(J142-F142)/ABS(F142-H142)),"")</f>
        <v/>
      </c>
      <c r="Q142" s="50">
        <f>IFERROR(IF(OR(ISBLANK(M142),ISBLANK(D142),ISBLANK(G142)),"",IF(D142="Long",(M142-G142),(G142-M142))/VLOOKUP(C142,設定!$B$9:$D$23,2,FALSE)),"")</f>
        <v/>
      </c>
      <c r="R142" s="51">
        <f>IFERROR(IF(OR(ISBLANK(Q142),O142=0),"",Q142/O142),"")</f>
        <v/>
      </c>
      <c r="S142" s="51">
        <f>IFERROR(IF(ISBLANK(R142),S141,IF(ISNUMBER(S141),S141,0)+R142),"")</f>
        <v/>
      </c>
      <c r="T142" s="52">
        <f>IFERROR(IF(OR(ISBLANK(Q142),ISBLANK(L142)),"",Q142*L142*VLOOKUP(C142,設定!$B$9:$D$23,3,FALSE)),"")</f>
        <v/>
      </c>
      <c r="U142" s="46" t="n"/>
      <c r="V142" s="46" t="n"/>
    </row>
    <row r="143">
      <c r="A143" s="53">
        <f>IF(ISBLANK(B143),"",COUNTA($B$18:B143))</f>
        <v/>
      </c>
      <c r="B143" s="54" t="n"/>
      <c r="C143" s="55" t="n"/>
      <c r="D143" s="55" t="n"/>
      <c r="E143" s="53" t="n"/>
      <c r="F143" s="56" t="n"/>
      <c r="G143" s="56" t="n"/>
      <c r="H143" s="56" t="n"/>
      <c r="I143" s="56" t="n"/>
      <c r="J143" s="56" t="n"/>
      <c r="K143" s="56" t="n"/>
      <c r="L143" s="57" t="n"/>
      <c r="M143" s="56" t="n"/>
      <c r="N143" s="55" t="n"/>
      <c r="O143" s="58">
        <f>IFERROR(IF(OR(ISBLANK(G143),ISBLANK(I143)),"",ABS(G143-I143)/VLOOKUP(C143,設定!$B$9:$D$23,2,FALSE)),"")</f>
        <v/>
      </c>
      <c r="P143" s="57">
        <f>IFERROR(IF(OR(ISBLANK(F143),ISBLANK(H143),ISBLANK(J143)),"",ABS(J143-F143)/ABS(F143-H143)),"")</f>
        <v/>
      </c>
      <c r="Q143" s="59">
        <f>IFERROR(IF(OR(ISBLANK(M143),ISBLANK(D143),ISBLANK(G143)),"",IF(D143="Long",(M143-G143),(G143-M143))/VLOOKUP(C143,設定!$B$9:$D$23,2,FALSE)),"")</f>
        <v/>
      </c>
      <c r="R143" s="60">
        <f>IFERROR(IF(OR(ISBLANK(Q143),O143=0),"",Q143/O143),"")</f>
        <v/>
      </c>
      <c r="S143" s="60">
        <f>IFERROR(IF(ISBLANK(R143),S142,IF(ISNUMBER(S142),S142,0)+R143),"")</f>
        <v/>
      </c>
      <c r="T143" s="61">
        <f>IFERROR(IF(OR(ISBLANK(Q143),ISBLANK(L143)),"",Q143*L143*VLOOKUP(C143,設定!$B$9:$D$23,3,FALSE)),"")</f>
        <v/>
      </c>
      <c r="U143" s="55" t="n"/>
      <c r="V143" s="55" t="n"/>
    </row>
    <row r="144">
      <c r="A144" s="44">
        <f>IF(ISBLANK(B144),"",COUNTA($B$18:B144))</f>
        <v/>
      </c>
      <c r="B144" s="45" t="n"/>
      <c r="C144" s="46" t="n"/>
      <c r="D144" s="46" t="n"/>
      <c r="E144" s="44" t="n"/>
      <c r="F144" s="47" t="n"/>
      <c r="G144" s="47" t="n"/>
      <c r="H144" s="47" t="n"/>
      <c r="I144" s="47" t="n"/>
      <c r="J144" s="47" t="n"/>
      <c r="K144" s="47" t="n"/>
      <c r="L144" s="48" t="n"/>
      <c r="M144" s="47" t="n"/>
      <c r="N144" s="46" t="n"/>
      <c r="O144" s="49">
        <f>IFERROR(IF(OR(ISBLANK(G144),ISBLANK(I144)),"",ABS(G144-I144)/VLOOKUP(C144,設定!$B$9:$D$23,2,FALSE)),"")</f>
        <v/>
      </c>
      <c r="P144" s="48">
        <f>IFERROR(IF(OR(ISBLANK(F144),ISBLANK(H144),ISBLANK(J144)),"",ABS(J144-F144)/ABS(F144-H144)),"")</f>
        <v/>
      </c>
      <c r="Q144" s="50">
        <f>IFERROR(IF(OR(ISBLANK(M144),ISBLANK(D144),ISBLANK(G144)),"",IF(D144="Long",(M144-G144),(G144-M144))/VLOOKUP(C144,設定!$B$9:$D$23,2,FALSE)),"")</f>
        <v/>
      </c>
      <c r="R144" s="51">
        <f>IFERROR(IF(OR(ISBLANK(Q144),O144=0),"",Q144/O144),"")</f>
        <v/>
      </c>
      <c r="S144" s="51">
        <f>IFERROR(IF(ISBLANK(R144),S143,IF(ISNUMBER(S143),S143,0)+R144),"")</f>
        <v/>
      </c>
      <c r="T144" s="52">
        <f>IFERROR(IF(OR(ISBLANK(Q144),ISBLANK(L144)),"",Q144*L144*VLOOKUP(C144,設定!$B$9:$D$23,3,FALSE)),"")</f>
        <v/>
      </c>
      <c r="U144" s="46" t="n"/>
      <c r="V144" s="46" t="n"/>
    </row>
    <row r="145">
      <c r="A145" s="53">
        <f>IF(ISBLANK(B145),"",COUNTA($B$18:B145))</f>
        <v/>
      </c>
      <c r="B145" s="54" t="n"/>
      <c r="C145" s="55" t="n"/>
      <c r="D145" s="55" t="n"/>
      <c r="E145" s="53" t="n"/>
      <c r="F145" s="56" t="n"/>
      <c r="G145" s="56" t="n"/>
      <c r="H145" s="56" t="n"/>
      <c r="I145" s="56" t="n"/>
      <c r="J145" s="56" t="n"/>
      <c r="K145" s="56" t="n"/>
      <c r="L145" s="57" t="n"/>
      <c r="M145" s="56" t="n"/>
      <c r="N145" s="55" t="n"/>
      <c r="O145" s="58">
        <f>IFERROR(IF(OR(ISBLANK(G145),ISBLANK(I145)),"",ABS(G145-I145)/VLOOKUP(C145,設定!$B$9:$D$23,2,FALSE)),"")</f>
        <v/>
      </c>
      <c r="P145" s="57">
        <f>IFERROR(IF(OR(ISBLANK(F145),ISBLANK(H145),ISBLANK(J145)),"",ABS(J145-F145)/ABS(F145-H145)),"")</f>
        <v/>
      </c>
      <c r="Q145" s="59">
        <f>IFERROR(IF(OR(ISBLANK(M145),ISBLANK(D145),ISBLANK(G145)),"",IF(D145="Long",(M145-G145),(G145-M145))/VLOOKUP(C145,設定!$B$9:$D$23,2,FALSE)),"")</f>
        <v/>
      </c>
      <c r="R145" s="60">
        <f>IFERROR(IF(OR(ISBLANK(Q145),O145=0),"",Q145/O145),"")</f>
        <v/>
      </c>
      <c r="S145" s="60">
        <f>IFERROR(IF(ISBLANK(R145),S144,IF(ISNUMBER(S144),S144,0)+R145),"")</f>
        <v/>
      </c>
      <c r="T145" s="61">
        <f>IFERROR(IF(OR(ISBLANK(Q145),ISBLANK(L145)),"",Q145*L145*VLOOKUP(C145,設定!$B$9:$D$23,3,FALSE)),"")</f>
        <v/>
      </c>
      <c r="U145" s="55" t="n"/>
      <c r="V145" s="55" t="n"/>
    </row>
    <row r="146">
      <c r="A146" s="44">
        <f>IF(ISBLANK(B146),"",COUNTA($B$18:B146))</f>
        <v/>
      </c>
      <c r="B146" s="45" t="n"/>
      <c r="C146" s="46" t="n"/>
      <c r="D146" s="46" t="n"/>
      <c r="E146" s="44" t="n"/>
      <c r="F146" s="47" t="n"/>
      <c r="G146" s="47" t="n"/>
      <c r="H146" s="47" t="n"/>
      <c r="I146" s="47" t="n"/>
      <c r="J146" s="47" t="n"/>
      <c r="K146" s="47" t="n"/>
      <c r="L146" s="48" t="n"/>
      <c r="M146" s="47" t="n"/>
      <c r="N146" s="46" t="n"/>
      <c r="O146" s="49">
        <f>IFERROR(IF(OR(ISBLANK(G146),ISBLANK(I146)),"",ABS(G146-I146)/VLOOKUP(C146,設定!$B$9:$D$23,2,FALSE)),"")</f>
        <v/>
      </c>
      <c r="P146" s="48">
        <f>IFERROR(IF(OR(ISBLANK(F146),ISBLANK(H146),ISBLANK(J146)),"",ABS(J146-F146)/ABS(F146-H146)),"")</f>
        <v/>
      </c>
      <c r="Q146" s="50">
        <f>IFERROR(IF(OR(ISBLANK(M146),ISBLANK(D146),ISBLANK(G146)),"",IF(D146="Long",(M146-G146),(G146-M146))/VLOOKUP(C146,設定!$B$9:$D$23,2,FALSE)),"")</f>
        <v/>
      </c>
      <c r="R146" s="51">
        <f>IFERROR(IF(OR(ISBLANK(Q146),O146=0),"",Q146/O146),"")</f>
        <v/>
      </c>
      <c r="S146" s="51">
        <f>IFERROR(IF(ISBLANK(R146),S145,IF(ISNUMBER(S145),S145,0)+R146),"")</f>
        <v/>
      </c>
      <c r="T146" s="52">
        <f>IFERROR(IF(OR(ISBLANK(Q146),ISBLANK(L146)),"",Q146*L146*VLOOKUP(C146,設定!$B$9:$D$23,3,FALSE)),"")</f>
        <v/>
      </c>
      <c r="U146" s="46" t="n"/>
      <c r="V146" s="46" t="n"/>
    </row>
    <row r="147">
      <c r="A147" s="53">
        <f>IF(ISBLANK(B147),"",COUNTA($B$18:B147))</f>
        <v/>
      </c>
      <c r="B147" s="54" t="n"/>
      <c r="C147" s="55" t="n"/>
      <c r="D147" s="55" t="n"/>
      <c r="E147" s="53" t="n"/>
      <c r="F147" s="56" t="n"/>
      <c r="G147" s="56" t="n"/>
      <c r="H147" s="56" t="n"/>
      <c r="I147" s="56" t="n"/>
      <c r="J147" s="56" t="n"/>
      <c r="K147" s="56" t="n"/>
      <c r="L147" s="57" t="n"/>
      <c r="M147" s="56" t="n"/>
      <c r="N147" s="55" t="n"/>
      <c r="O147" s="58">
        <f>IFERROR(IF(OR(ISBLANK(G147),ISBLANK(I147)),"",ABS(G147-I147)/VLOOKUP(C147,設定!$B$9:$D$23,2,FALSE)),"")</f>
        <v/>
      </c>
      <c r="P147" s="57">
        <f>IFERROR(IF(OR(ISBLANK(F147),ISBLANK(H147),ISBLANK(J147)),"",ABS(J147-F147)/ABS(F147-H147)),"")</f>
        <v/>
      </c>
      <c r="Q147" s="59">
        <f>IFERROR(IF(OR(ISBLANK(M147),ISBLANK(D147),ISBLANK(G147)),"",IF(D147="Long",(M147-G147),(G147-M147))/VLOOKUP(C147,設定!$B$9:$D$23,2,FALSE)),"")</f>
        <v/>
      </c>
      <c r="R147" s="60">
        <f>IFERROR(IF(OR(ISBLANK(Q147),O147=0),"",Q147/O147),"")</f>
        <v/>
      </c>
      <c r="S147" s="60">
        <f>IFERROR(IF(ISBLANK(R147),S146,IF(ISNUMBER(S146),S146,0)+R147),"")</f>
        <v/>
      </c>
      <c r="T147" s="61">
        <f>IFERROR(IF(OR(ISBLANK(Q147),ISBLANK(L147)),"",Q147*L147*VLOOKUP(C147,設定!$B$9:$D$23,3,FALSE)),"")</f>
        <v/>
      </c>
      <c r="U147" s="55" t="n"/>
      <c r="V147" s="55" t="n"/>
    </row>
    <row r="148">
      <c r="A148" s="44">
        <f>IF(ISBLANK(B148),"",COUNTA($B$18:B148))</f>
        <v/>
      </c>
      <c r="B148" s="45" t="n"/>
      <c r="C148" s="46" t="n"/>
      <c r="D148" s="46" t="n"/>
      <c r="E148" s="44" t="n"/>
      <c r="F148" s="47" t="n"/>
      <c r="G148" s="47" t="n"/>
      <c r="H148" s="47" t="n"/>
      <c r="I148" s="47" t="n"/>
      <c r="J148" s="47" t="n"/>
      <c r="K148" s="47" t="n"/>
      <c r="L148" s="48" t="n"/>
      <c r="M148" s="47" t="n"/>
      <c r="N148" s="46" t="n"/>
      <c r="O148" s="49">
        <f>IFERROR(IF(OR(ISBLANK(G148),ISBLANK(I148)),"",ABS(G148-I148)/VLOOKUP(C148,設定!$B$9:$D$23,2,FALSE)),"")</f>
        <v/>
      </c>
      <c r="P148" s="48">
        <f>IFERROR(IF(OR(ISBLANK(F148),ISBLANK(H148),ISBLANK(J148)),"",ABS(J148-F148)/ABS(F148-H148)),"")</f>
        <v/>
      </c>
      <c r="Q148" s="50">
        <f>IFERROR(IF(OR(ISBLANK(M148),ISBLANK(D148),ISBLANK(G148)),"",IF(D148="Long",(M148-G148),(G148-M148))/VLOOKUP(C148,設定!$B$9:$D$23,2,FALSE)),"")</f>
        <v/>
      </c>
      <c r="R148" s="51">
        <f>IFERROR(IF(OR(ISBLANK(Q148),O148=0),"",Q148/O148),"")</f>
        <v/>
      </c>
      <c r="S148" s="51">
        <f>IFERROR(IF(ISBLANK(R148),S147,IF(ISNUMBER(S147),S147,0)+R148),"")</f>
        <v/>
      </c>
      <c r="T148" s="52">
        <f>IFERROR(IF(OR(ISBLANK(Q148),ISBLANK(L148)),"",Q148*L148*VLOOKUP(C148,設定!$B$9:$D$23,3,FALSE)),"")</f>
        <v/>
      </c>
      <c r="U148" s="46" t="n"/>
      <c r="V148" s="46" t="n"/>
    </row>
    <row r="149">
      <c r="A149" s="53">
        <f>IF(ISBLANK(B149),"",COUNTA($B$18:B149))</f>
        <v/>
      </c>
      <c r="B149" s="54" t="n"/>
      <c r="C149" s="55" t="n"/>
      <c r="D149" s="55" t="n"/>
      <c r="E149" s="53" t="n"/>
      <c r="F149" s="56" t="n"/>
      <c r="G149" s="56" t="n"/>
      <c r="H149" s="56" t="n"/>
      <c r="I149" s="56" t="n"/>
      <c r="J149" s="56" t="n"/>
      <c r="K149" s="56" t="n"/>
      <c r="L149" s="57" t="n"/>
      <c r="M149" s="56" t="n"/>
      <c r="N149" s="55" t="n"/>
      <c r="O149" s="58">
        <f>IFERROR(IF(OR(ISBLANK(G149),ISBLANK(I149)),"",ABS(G149-I149)/VLOOKUP(C149,設定!$B$9:$D$23,2,FALSE)),"")</f>
        <v/>
      </c>
      <c r="P149" s="57">
        <f>IFERROR(IF(OR(ISBLANK(F149),ISBLANK(H149),ISBLANK(J149)),"",ABS(J149-F149)/ABS(F149-H149)),"")</f>
        <v/>
      </c>
      <c r="Q149" s="59">
        <f>IFERROR(IF(OR(ISBLANK(M149),ISBLANK(D149),ISBLANK(G149)),"",IF(D149="Long",(M149-G149),(G149-M149))/VLOOKUP(C149,設定!$B$9:$D$23,2,FALSE)),"")</f>
        <v/>
      </c>
      <c r="R149" s="60">
        <f>IFERROR(IF(OR(ISBLANK(Q149),O149=0),"",Q149/O149),"")</f>
        <v/>
      </c>
      <c r="S149" s="60">
        <f>IFERROR(IF(ISBLANK(R149),S148,IF(ISNUMBER(S148),S148,0)+R149),"")</f>
        <v/>
      </c>
      <c r="T149" s="61">
        <f>IFERROR(IF(OR(ISBLANK(Q149),ISBLANK(L149)),"",Q149*L149*VLOOKUP(C149,設定!$B$9:$D$23,3,FALSE)),"")</f>
        <v/>
      </c>
      <c r="U149" s="55" t="n"/>
      <c r="V149" s="55" t="n"/>
    </row>
    <row r="150">
      <c r="A150" s="44">
        <f>IF(ISBLANK(B150),"",COUNTA($B$18:B150))</f>
        <v/>
      </c>
      <c r="B150" s="45" t="n"/>
      <c r="C150" s="46" t="n"/>
      <c r="D150" s="46" t="n"/>
      <c r="E150" s="44" t="n"/>
      <c r="F150" s="47" t="n"/>
      <c r="G150" s="47" t="n"/>
      <c r="H150" s="47" t="n"/>
      <c r="I150" s="47" t="n"/>
      <c r="J150" s="47" t="n"/>
      <c r="K150" s="47" t="n"/>
      <c r="L150" s="48" t="n"/>
      <c r="M150" s="47" t="n"/>
      <c r="N150" s="46" t="n"/>
      <c r="O150" s="49">
        <f>IFERROR(IF(OR(ISBLANK(G150),ISBLANK(I150)),"",ABS(G150-I150)/VLOOKUP(C150,設定!$B$9:$D$23,2,FALSE)),"")</f>
        <v/>
      </c>
      <c r="P150" s="48">
        <f>IFERROR(IF(OR(ISBLANK(F150),ISBLANK(H150),ISBLANK(J150)),"",ABS(J150-F150)/ABS(F150-H150)),"")</f>
        <v/>
      </c>
      <c r="Q150" s="50">
        <f>IFERROR(IF(OR(ISBLANK(M150),ISBLANK(D150),ISBLANK(G150)),"",IF(D150="Long",(M150-G150),(G150-M150))/VLOOKUP(C150,設定!$B$9:$D$23,2,FALSE)),"")</f>
        <v/>
      </c>
      <c r="R150" s="51">
        <f>IFERROR(IF(OR(ISBLANK(Q150),O150=0),"",Q150/O150),"")</f>
        <v/>
      </c>
      <c r="S150" s="51">
        <f>IFERROR(IF(ISBLANK(R150),S149,IF(ISNUMBER(S149),S149,0)+R150),"")</f>
        <v/>
      </c>
      <c r="T150" s="52">
        <f>IFERROR(IF(OR(ISBLANK(Q150),ISBLANK(L150)),"",Q150*L150*VLOOKUP(C150,設定!$B$9:$D$23,3,FALSE)),"")</f>
        <v/>
      </c>
      <c r="U150" s="46" t="n"/>
      <c r="V150" s="46" t="n"/>
    </row>
    <row r="151">
      <c r="A151" s="53">
        <f>IF(ISBLANK(B151),"",COUNTA($B$18:B151))</f>
        <v/>
      </c>
      <c r="B151" s="54" t="n"/>
      <c r="C151" s="55" t="n"/>
      <c r="D151" s="55" t="n"/>
      <c r="E151" s="53" t="n"/>
      <c r="F151" s="56" t="n"/>
      <c r="G151" s="56" t="n"/>
      <c r="H151" s="56" t="n"/>
      <c r="I151" s="56" t="n"/>
      <c r="J151" s="56" t="n"/>
      <c r="K151" s="56" t="n"/>
      <c r="L151" s="57" t="n"/>
      <c r="M151" s="56" t="n"/>
      <c r="N151" s="55" t="n"/>
      <c r="O151" s="58">
        <f>IFERROR(IF(OR(ISBLANK(G151),ISBLANK(I151)),"",ABS(G151-I151)/VLOOKUP(C151,設定!$B$9:$D$23,2,FALSE)),"")</f>
        <v/>
      </c>
      <c r="P151" s="57">
        <f>IFERROR(IF(OR(ISBLANK(F151),ISBLANK(H151),ISBLANK(J151)),"",ABS(J151-F151)/ABS(F151-H151)),"")</f>
        <v/>
      </c>
      <c r="Q151" s="59">
        <f>IFERROR(IF(OR(ISBLANK(M151),ISBLANK(D151),ISBLANK(G151)),"",IF(D151="Long",(M151-G151),(G151-M151))/VLOOKUP(C151,設定!$B$9:$D$23,2,FALSE)),"")</f>
        <v/>
      </c>
      <c r="R151" s="60">
        <f>IFERROR(IF(OR(ISBLANK(Q151),O151=0),"",Q151/O151),"")</f>
        <v/>
      </c>
      <c r="S151" s="60">
        <f>IFERROR(IF(ISBLANK(R151),S150,IF(ISNUMBER(S150),S150,0)+R151),"")</f>
        <v/>
      </c>
      <c r="T151" s="61">
        <f>IFERROR(IF(OR(ISBLANK(Q151),ISBLANK(L151)),"",Q151*L151*VLOOKUP(C151,設定!$B$9:$D$23,3,FALSE)),"")</f>
        <v/>
      </c>
      <c r="U151" s="55" t="n"/>
      <c r="V151" s="55" t="n"/>
    </row>
    <row r="152">
      <c r="A152" s="44">
        <f>IF(ISBLANK(B152),"",COUNTA($B$18:B152))</f>
        <v/>
      </c>
      <c r="B152" s="45" t="n"/>
      <c r="C152" s="46" t="n"/>
      <c r="D152" s="46" t="n"/>
      <c r="E152" s="44" t="n"/>
      <c r="F152" s="47" t="n"/>
      <c r="G152" s="47" t="n"/>
      <c r="H152" s="47" t="n"/>
      <c r="I152" s="47" t="n"/>
      <c r="J152" s="47" t="n"/>
      <c r="K152" s="47" t="n"/>
      <c r="L152" s="48" t="n"/>
      <c r="M152" s="47" t="n"/>
      <c r="N152" s="46" t="n"/>
      <c r="O152" s="49">
        <f>IFERROR(IF(OR(ISBLANK(G152),ISBLANK(I152)),"",ABS(G152-I152)/VLOOKUP(C152,設定!$B$9:$D$23,2,FALSE)),"")</f>
        <v/>
      </c>
      <c r="P152" s="48">
        <f>IFERROR(IF(OR(ISBLANK(F152),ISBLANK(H152),ISBLANK(J152)),"",ABS(J152-F152)/ABS(F152-H152)),"")</f>
        <v/>
      </c>
      <c r="Q152" s="50">
        <f>IFERROR(IF(OR(ISBLANK(M152),ISBLANK(D152),ISBLANK(G152)),"",IF(D152="Long",(M152-G152),(G152-M152))/VLOOKUP(C152,設定!$B$9:$D$23,2,FALSE)),"")</f>
        <v/>
      </c>
      <c r="R152" s="51">
        <f>IFERROR(IF(OR(ISBLANK(Q152),O152=0),"",Q152/O152),"")</f>
        <v/>
      </c>
      <c r="S152" s="51">
        <f>IFERROR(IF(ISBLANK(R152),S151,IF(ISNUMBER(S151),S151,0)+R152),"")</f>
        <v/>
      </c>
      <c r="T152" s="52">
        <f>IFERROR(IF(OR(ISBLANK(Q152),ISBLANK(L152)),"",Q152*L152*VLOOKUP(C152,設定!$B$9:$D$23,3,FALSE)),"")</f>
        <v/>
      </c>
      <c r="U152" s="46" t="n"/>
      <c r="V152" s="46" t="n"/>
    </row>
    <row r="153">
      <c r="A153" s="53">
        <f>IF(ISBLANK(B153),"",COUNTA($B$18:B153))</f>
        <v/>
      </c>
      <c r="B153" s="54" t="n"/>
      <c r="C153" s="55" t="n"/>
      <c r="D153" s="55" t="n"/>
      <c r="E153" s="53" t="n"/>
      <c r="F153" s="56" t="n"/>
      <c r="G153" s="56" t="n"/>
      <c r="H153" s="56" t="n"/>
      <c r="I153" s="56" t="n"/>
      <c r="J153" s="56" t="n"/>
      <c r="K153" s="56" t="n"/>
      <c r="L153" s="57" t="n"/>
      <c r="M153" s="56" t="n"/>
      <c r="N153" s="55" t="n"/>
      <c r="O153" s="58">
        <f>IFERROR(IF(OR(ISBLANK(G153),ISBLANK(I153)),"",ABS(G153-I153)/VLOOKUP(C153,設定!$B$9:$D$23,2,FALSE)),"")</f>
        <v/>
      </c>
      <c r="P153" s="57">
        <f>IFERROR(IF(OR(ISBLANK(F153),ISBLANK(H153),ISBLANK(J153)),"",ABS(J153-F153)/ABS(F153-H153)),"")</f>
        <v/>
      </c>
      <c r="Q153" s="59">
        <f>IFERROR(IF(OR(ISBLANK(M153),ISBLANK(D153),ISBLANK(G153)),"",IF(D153="Long",(M153-G153),(G153-M153))/VLOOKUP(C153,設定!$B$9:$D$23,2,FALSE)),"")</f>
        <v/>
      </c>
      <c r="R153" s="60">
        <f>IFERROR(IF(OR(ISBLANK(Q153),O153=0),"",Q153/O153),"")</f>
        <v/>
      </c>
      <c r="S153" s="60">
        <f>IFERROR(IF(ISBLANK(R153),S152,IF(ISNUMBER(S152),S152,0)+R153),"")</f>
        <v/>
      </c>
      <c r="T153" s="61">
        <f>IFERROR(IF(OR(ISBLANK(Q153),ISBLANK(L153)),"",Q153*L153*VLOOKUP(C153,設定!$B$9:$D$23,3,FALSE)),"")</f>
        <v/>
      </c>
      <c r="U153" s="55" t="n"/>
      <c r="V153" s="55" t="n"/>
    </row>
    <row r="154">
      <c r="A154" s="44">
        <f>IF(ISBLANK(B154),"",COUNTA($B$18:B154))</f>
        <v/>
      </c>
      <c r="B154" s="45" t="n"/>
      <c r="C154" s="46" t="n"/>
      <c r="D154" s="46" t="n"/>
      <c r="E154" s="44" t="n"/>
      <c r="F154" s="47" t="n"/>
      <c r="G154" s="47" t="n"/>
      <c r="H154" s="47" t="n"/>
      <c r="I154" s="47" t="n"/>
      <c r="J154" s="47" t="n"/>
      <c r="K154" s="47" t="n"/>
      <c r="L154" s="48" t="n"/>
      <c r="M154" s="47" t="n"/>
      <c r="N154" s="46" t="n"/>
      <c r="O154" s="49">
        <f>IFERROR(IF(OR(ISBLANK(G154),ISBLANK(I154)),"",ABS(G154-I154)/VLOOKUP(C154,設定!$B$9:$D$23,2,FALSE)),"")</f>
        <v/>
      </c>
      <c r="P154" s="48">
        <f>IFERROR(IF(OR(ISBLANK(F154),ISBLANK(H154),ISBLANK(J154)),"",ABS(J154-F154)/ABS(F154-H154)),"")</f>
        <v/>
      </c>
      <c r="Q154" s="50">
        <f>IFERROR(IF(OR(ISBLANK(M154),ISBLANK(D154),ISBLANK(G154)),"",IF(D154="Long",(M154-G154),(G154-M154))/VLOOKUP(C154,設定!$B$9:$D$23,2,FALSE)),"")</f>
        <v/>
      </c>
      <c r="R154" s="51">
        <f>IFERROR(IF(OR(ISBLANK(Q154),O154=0),"",Q154/O154),"")</f>
        <v/>
      </c>
      <c r="S154" s="51">
        <f>IFERROR(IF(ISBLANK(R154),S153,IF(ISNUMBER(S153),S153,0)+R154),"")</f>
        <v/>
      </c>
      <c r="T154" s="52">
        <f>IFERROR(IF(OR(ISBLANK(Q154),ISBLANK(L154)),"",Q154*L154*VLOOKUP(C154,設定!$B$9:$D$23,3,FALSE)),"")</f>
        <v/>
      </c>
      <c r="U154" s="46" t="n"/>
      <c r="V154" s="46" t="n"/>
    </row>
    <row r="155">
      <c r="A155" s="53">
        <f>IF(ISBLANK(B155),"",COUNTA($B$18:B155))</f>
        <v/>
      </c>
      <c r="B155" s="54" t="n"/>
      <c r="C155" s="55" t="n"/>
      <c r="D155" s="55" t="n"/>
      <c r="E155" s="53" t="n"/>
      <c r="F155" s="56" t="n"/>
      <c r="G155" s="56" t="n"/>
      <c r="H155" s="56" t="n"/>
      <c r="I155" s="56" t="n"/>
      <c r="J155" s="56" t="n"/>
      <c r="K155" s="56" t="n"/>
      <c r="L155" s="57" t="n"/>
      <c r="M155" s="56" t="n"/>
      <c r="N155" s="55" t="n"/>
      <c r="O155" s="58">
        <f>IFERROR(IF(OR(ISBLANK(G155),ISBLANK(I155)),"",ABS(G155-I155)/VLOOKUP(C155,設定!$B$9:$D$23,2,FALSE)),"")</f>
        <v/>
      </c>
      <c r="P155" s="57">
        <f>IFERROR(IF(OR(ISBLANK(F155),ISBLANK(H155),ISBLANK(J155)),"",ABS(J155-F155)/ABS(F155-H155)),"")</f>
        <v/>
      </c>
      <c r="Q155" s="59">
        <f>IFERROR(IF(OR(ISBLANK(M155),ISBLANK(D155),ISBLANK(G155)),"",IF(D155="Long",(M155-G155),(G155-M155))/VLOOKUP(C155,設定!$B$9:$D$23,2,FALSE)),"")</f>
        <v/>
      </c>
      <c r="R155" s="60">
        <f>IFERROR(IF(OR(ISBLANK(Q155),O155=0),"",Q155/O155),"")</f>
        <v/>
      </c>
      <c r="S155" s="60">
        <f>IFERROR(IF(ISBLANK(R155),S154,IF(ISNUMBER(S154),S154,0)+R155),"")</f>
        <v/>
      </c>
      <c r="T155" s="61">
        <f>IFERROR(IF(OR(ISBLANK(Q155),ISBLANK(L155)),"",Q155*L155*VLOOKUP(C155,設定!$B$9:$D$23,3,FALSE)),"")</f>
        <v/>
      </c>
      <c r="U155" s="55" t="n"/>
      <c r="V155" s="55" t="n"/>
    </row>
    <row r="156">
      <c r="A156" s="44">
        <f>IF(ISBLANK(B156),"",COUNTA($B$18:B156))</f>
        <v/>
      </c>
      <c r="B156" s="45" t="n"/>
      <c r="C156" s="46" t="n"/>
      <c r="D156" s="46" t="n"/>
      <c r="E156" s="44" t="n"/>
      <c r="F156" s="47" t="n"/>
      <c r="G156" s="47" t="n"/>
      <c r="H156" s="47" t="n"/>
      <c r="I156" s="47" t="n"/>
      <c r="J156" s="47" t="n"/>
      <c r="K156" s="47" t="n"/>
      <c r="L156" s="48" t="n"/>
      <c r="M156" s="47" t="n"/>
      <c r="N156" s="46" t="n"/>
      <c r="O156" s="49">
        <f>IFERROR(IF(OR(ISBLANK(G156),ISBLANK(I156)),"",ABS(G156-I156)/VLOOKUP(C156,設定!$B$9:$D$23,2,FALSE)),"")</f>
        <v/>
      </c>
      <c r="P156" s="48">
        <f>IFERROR(IF(OR(ISBLANK(F156),ISBLANK(H156),ISBLANK(J156)),"",ABS(J156-F156)/ABS(F156-H156)),"")</f>
        <v/>
      </c>
      <c r="Q156" s="50">
        <f>IFERROR(IF(OR(ISBLANK(M156),ISBLANK(D156),ISBLANK(G156)),"",IF(D156="Long",(M156-G156),(G156-M156))/VLOOKUP(C156,設定!$B$9:$D$23,2,FALSE)),"")</f>
        <v/>
      </c>
      <c r="R156" s="51">
        <f>IFERROR(IF(OR(ISBLANK(Q156),O156=0),"",Q156/O156),"")</f>
        <v/>
      </c>
      <c r="S156" s="51">
        <f>IFERROR(IF(ISBLANK(R156),S155,IF(ISNUMBER(S155),S155,0)+R156),"")</f>
        <v/>
      </c>
      <c r="T156" s="52">
        <f>IFERROR(IF(OR(ISBLANK(Q156),ISBLANK(L156)),"",Q156*L156*VLOOKUP(C156,設定!$B$9:$D$23,3,FALSE)),"")</f>
        <v/>
      </c>
      <c r="U156" s="46" t="n"/>
      <c r="V156" s="46" t="n"/>
    </row>
    <row r="157">
      <c r="A157" s="53">
        <f>IF(ISBLANK(B157),"",COUNTA($B$18:B157))</f>
        <v/>
      </c>
      <c r="B157" s="54" t="n"/>
      <c r="C157" s="55" t="n"/>
      <c r="D157" s="55" t="n"/>
      <c r="E157" s="53" t="n"/>
      <c r="F157" s="56" t="n"/>
      <c r="G157" s="56" t="n"/>
      <c r="H157" s="56" t="n"/>
      <c r="I157" s="56" t="n"/>
      <c r="J157" s="56" t="n"/>
      <c r="K157" s="56" t="n"/>
      <c r="L157" s="57" t="n"/>
      <c r="M157" s="56" t="n"/>
      <c r="N157" s="55" t="n"/>
      <c r="O157" s="58">
        <f>IFERROR(IF(OR(ISBLANK(G157),ISBLANK(I157)),"",ABS(G157-I157)/VLOOKUP(C157,設定!$B$9:$D$23,2,FALSE)),"")</f>
        <v/>
      </c>
      <c r="P157" s="57">
        <f>IFERROR(IF(OR(ISBLANK(F157),ISBLANK(H157),ISBLANK(J157)),"",ABS(J157-F157)/ABS(F157-H157)),"")</f>
        <v/>
      </c>
      <c r="Q157" s="59">
        <f>IFERROR(IF(OR(ISBLANK(M157),ISBLANK(D157),ISBLANK(G157)),"",IF(D157="Long",(M157-G157),(G157-M157))/VLOOKUP(C157,設定!$B$9:$D$23,2,FALSE)),"")</f>
        <v/>
      </c>
      <c r="R157" s="60">
        <f>IFERROR(IF(OR(ISBLANK(Q157),O157=0),"",Q157/O157),"")</f>
        <v/>
      </c>
      <c r="S157" s="60">
        <f>IFERROR(IF(ISBLANK(R157),S156,IF(ISNUMBER(S156),S156,0)+R157),"")</f>
        <v/>
      </c>
      <c r="T157" s="61">
        <f>IFERROR(IF(OR(ISBLANK(Q157),ISBLANK(L157)),"",Q157*L157*VLOOKUP(C157,設定!$B$9:$D$23,3,FALSE)),"")</f>
        <v/>
      </c>
      <c r="U157" s="55" t="n"/>
      <c r="V157" s="55" t="n"/>
    </row>
    <row r="158">
      <c r="A158" s="44">
        <f>IF(ISBLANK(B158),"",COUNTA($B$18:B158))</f>
        <v/>
      </c>
      <c r="B158" s="45" t="n"/>
      <c r="C158" s="46" t="n"/>
      <c r="D158" s="46" t="n"/>
      <c r="E158" s="44" t="n"/>
      <c r="F158" s="47" t="n"/>
      <c r="G158" s="47" t="n"/>
      <c r="H158" s="47" t="n"/>
      <c r="I158" s="47" t="n"/>
      <c r="J158" s="47" t="n"/>
      <c r="K158" s="47" t="n"/>
      <c r="L158" s="48" t="n"/>
      <c r="M158" s="47" t="n"/>
      <c r="N158" s="46" t="n"/>
      <c r="O158" s="49">
        <f>IFERROR(IF(OR(ISBLANK(G158),ISBLANK(I158)),"",ABS(G158-I158)/VLOOKUP(C158,設定!$B$9:$D$23,2,FALSE)),"")</f>
        <v/>
      </c>
      <c r="P158" s="48">
        <f>IFERROR(IF(OR(ISBLANK(F158),ISBLANK(H158),ISBLANK(J158)),"",ABS(J158-F158)/ABS(F158-H158)),"")</f>
        <v/>
      </c>
      <c r="Q158" s="50">
        <f>IFERROR(IF(OR(ISBLANK(M158),ISBLANK(D158),ISBLANK(G158)),"",IF(D158="Long",(M158-G158),(G158-M158))/VLOOKUP(C158,設定!$B$9:$D$23,2,FALSE)),"")</f>
        <v/>
      </c>
      <c r="R158" s="51">
        <f>IFERROR(IF(OR(ISBLANK(Q158),O158=0),"",Q158/O158),"")</f>
        <v/>
      </c>
      <c r="S158" s="51">
        <f>IFERROR(IF(ISBLANK(R158),S157,IF(ISNUMBER(S157),S157,0)+R158),"")</f>
        <v/>
      </c>
      <c r="T158" s="52">
        <f>IFERROR(IF(OR(ISBLANK(Q158),ISBLANK(L158)),"",Q158*L158*VLOOKUP(C158,設定!$B$9:$D$23,3,FALSE)),"")</f>
        <v/>
      </c>
      <c r="U158" s="46" t="n"/>
      <c r="V158" s="46" t="n"/>
    </row>
    <row r="159">
      <c r="A159" s="53">
        <f>IF(ISBLANK(B159),"",COUNTA($B$18:B159))</f>
        <v/>
      </c>
      <c r="B159" s="54" t="n"/>
      <c r="C159" s="55" t="n"/>
      <c r="D159" s="55" t="n"/>
      <c r="E159" s="53" t="n"/>
      <c r="F159" s="56" t="n"/>
      <c r="G159" s="56" t="n"/>
      <c r="H159" s="56" t="n"/>
      <c r="I159" s="56" t="n"/>
      <c r="J159" s="56" t="n"/>
      <c r="K159" s="56" t="n"/>
      <c r="L159" s="57" t="n"/>
      <c r="M159" s="56" t="n"/>
      <c r="N159" s="55" t="n"/>
      <c r="O159" s="58">
        <f>IFERROR(IF(OR(ISBLANK(G159),ISBLANK(I159)),"",ABS(G159-I159)/VLOOKUP(C159,設定!$B$9:$D$23,2,FALSE)),"")</f>
        <v/>
      </c>
      <c r="P159" s="57">
        <f>IFERROR(IF(OR(ISBLANK(F159),ISBLANK(H159),ISBLANK(J159)),"",ABS(J159-F159)/ABS(F159-H159)),"")</f>
        <v/>
      </c>
      <c r="Q159" s="59">
        <f>IFERROR(IF(OR(ISBLANK(M159),ISBLANK(D159),ISBLANK(G159)),"",IF(D159="Long",(M159-G159),(G159-M159))/VLOOKUP(C159,設定!$B$9:$D$23,2,FALSE)),"")</f>
        <v/>
      </c>
      <c r="R159" s="60">
        <f>IFERROR(IF(OR(ISBLANK(Q159),O159=0),"",Q159/O159),"")</f>
        <v/>
      </c>
      <c r="S159" s="60">
        <f>IFERROR(IF(ISBLANK(R159),S158,IF(ISNUMBER(S158),S158,0)+R159),"")</f>
        <v/>
      </c>
      <c r="T159" s="61">
        <f>IFERROR(IF(OR(ISBLANK(Q159),ISBLANK(L159)),"",Q159*L159*VLOOKUP(C159,設定!$B$9:$D$23,3,FALSE)),"")</f>
        <v/>
      </c>
      <c r="U159" s="55" t="n"/>
      <c r="V159" s="55" t="n"/>
    </row>
    <row r="160">
      <c r="A160" s="44">
        <f>IF(ISBLANK(B160),"",COUNTA($B$18:B160))</f>
        <v/>
      </c>
      <c r="B160" s="45" t="n"/>
      <c r="C160" s="46" t="n"/>
      <c r="D160" s="46" t="n"/>
      <c r="E160" s="44" t="n"/>
      <c r="F160" s="47" t="n"/>
      <c r="G160" s="47" t="n"/>
      <c r="H160" s="47" t="n"/>
      <c r="I160" s="47" t="n"/>
      <c r="J160" s="47" t="n"/>
      <c r="K160" s="47" t="n"/>
      <c r="L160" s="48" t="n"/>
      <c r="M160" s="47" t="n"/>
      <c r="N160" s="46" t="n"/>
      <c r="O160" s="49">
        <f>IFERROR(IF(OR(ISBLANK(G160),ISBLANK(I160)),"",ABS(G160-I160)/VLOOKUP(C160,設定!$B$9:$D$23,2,FALSE)),"")</f>
        <v/>
      </c>
      <c r="P160" s="48">
        <f>IFERROR(IF(OR(ISBLANK(F160),ISBLANK(H160),ISBLANK(J160)),"",ABS(J160-F160)/ABS(F160-H160)),"")</f>
        <v/>
      </c>
      <c r="Q160" s="50">
        <f>IFERROR(IF(OR(ISBLANK(M160),ISBLANK(D160),ISBLANK(G160)),"",IF(D160="Long",(M160-G160),(G160-M160))/VLOOKUP(C160,設定!$B$9:$D$23,2,FALSE)),"")</f>
        <v/>
      </c>
      <c r="R160" s="51">
        <f>IFERROR(IF(OR(ISBLANK(Q160),O160=0),"",Q160/O160),"")</f>
        <v/>
      </c>
      <c r="S160" s="51">
        <f>IFERROR(IF(ISBLANK(R160),S159,IF(ISNUMBER(S159),S159,0)+R160),"")</f>
        <v/>
      </c>
      <c r="T160" s="52">
        <f>IFERROR(IF(OR(ISBLANK(Q160),ISBLANK(L160)),"",Q160*L160*VLOOKUP(C160,設定!$B$9:$D$23,3,FALSE)),"")</f>
        <v/>
      </c>
      <c r="U160" s="46" t="n"/>
      <c r="V160" s="46" t="n"/>
    </row>
    <row r="161">
      <c r="A161" s="53">
        <f>IF(ISBLANK(B161),"",COUNTA($B$18:B161))</f>
        <v/>
      </c>
      <c r="B161" s="54" t="n"/>
      <c r="C161" s="55" t="n"/>
      <c r="D161" s="55" t="n"/>
      <c r="E161" s="53" t="n"/>
      <c r="F161" s="56" t="n"/>
      <c r="G161" s="56" t="n"/>
      <c r="H161" s="56" t="n"/>
      <c r="I161" s="56" t="n"/>
      <c r="J161" s="56" t="n"/>
      <c r="K161" s="56" t="n"/>
      <c r="L161" s="57" t="n"/>
      <c r="M161" s="56" t="n"/>
      <c r="N161" s="55" t="n"/>
      <c r="O161" s="58">
        <f>IFERROR(IF(OR(ISBLANK(G161),ISBLANK(I161)),"",ABS(G161-I161)/VLOOKUP(C161,設定!$B$9:$D$23,2,FALSE)),"")</f>
        <v/>
      </c>
      <c r="P161" s="57">
        <f>IFERROR(IF(OR(ISBLANK(F161),ISBLANK(H161),ISBLANK(J161)),"",ABS(J161-F161)/ABS(F161-H161)),"")</f>
        <v/>
      </c>
      <c r="Q161" s="59">
        <f>IFERROR(IF(OR(ISBLANK(M161),ISBLANK(D161),ISBLANK(G161)),"",IF(D161="Long",(M161-G161),(G161-M161))/VLOOKUP(C161,設定!$B$9:$D$23,2,FALSE)),"")</f>
        <v/>
      </c>
      <c r="R161" s="60">
        <f>IFERROR(IF(OR(ISBLANK(Q161),O161=0),"",Q161/O161),"")</f>
        <v/>
      </c>
      <c r="S161" s="60">
        <f>IFERROR(IF(ISBLANK(R161),S160,IF(ISNUMBER(S160),S160,0)+R161),"")</f>
        <v/>
      </c>
      <c r="T161" s="61">
        <f>IFERROR(IF(OR(ISBLANK(Q161),ISBLANK(L161)),"",Q161*L161*VLOOKUP(C161,設定!$B$9:$D$23,3,FALSE)),"")</f>
        <v/>
      </c>
      <c r="U161" s="55" t="n"/>
      <c r="V161" s="55" t="n"/>
    </row>
    <row r="162">
      <c r="A162" s="44">
        <f>IF(ISBLANK(B162),"",COUNTA($B$18:B162))</f>
        <v/>
      </c>
      <c r="B162" s="45" t="n"/>
      <c r="C162" s="46" t="n"/>
      <c r="D162" s="46" t="n"/>
      <c r="E162" s="44" t="n"/>
      <c r="F162" s="47" t="n"/>
      <c r="G162" s="47" t="n"/>
      <c r="H162" s="47" t="n"/>
      <c r="I162" s="47" t="n"/>
      <c r="J162" s="47" t="n"/>
      <c r="K162" s="47" t="n"/>
      <c r="L162" s="48" t="n"/>
      <c r="M162" s="47" t="n"/>
      <c r="N162" s="46" t="n"/>
      <c r="O162" s="49">
        <f>IFERROR(IF(OR(ISBLANK(G162),ISBLANK(I162)),"",ABS(G162-I162)/VLOOKUP(C162,設定!$B$9:$D$23,2,FALSE)),"")</f>
        <v/>
      </c>
      <c r="P162" s="48">
        <f>IFERROR(IF(OR(ISBLANK(F162),ISBLANK(H162),ISBLANK(J162)),"",ABS(J162-F162)/ABS(F162-H162)),"")</f>
        <v/>
      </c>
      <c r="Q162" s="50">
        <f>IFERROR(IF(OR(ISBLANK(M162),ISBLANK(D162),ISBLANK(G162)),"",IF(D162="Long",(M162-G162),(G162-M162))/VLOOKUP(C162,設定!$B$9:$D$23,2,FALSE)),"")</f>
        <v/>
      </c>
      <c r="R162" s="51">
        <f>IFERROR(IF(OR(ISBLANK(Q162),O162=0),"",Q162/O162),"")</f>
        <v/>
      </c>
      <c r="S162" s="51">
        <f>IFERROR(IF(ISBLANK(R162),S161,IF(ISNUMBER(S161),S161,0)+R162),"")</f>
        <v/>
      </c>
      <c r="T162" s="52">
        <f>IFERROR(IF(OR(ISBLANK(Q162),ISBLANK(L162)),"",Q162*L162*VLOOKUP(C162,設定!$B$9:$D$23,3,FALSE)),"")</f>
        <v/>
      </c>
      <c r="U162" s="46" t="n"/>
      <c r="V162" s="46" t="n"/>
    </row>
    <row r="163">
      <c r="A163" s="53">
        <f>IF(ISBLANK(B163),"",COUNTA($B$18:B163))</f>
        <v/>
      </c>
      <c r="B163" s="54" t="n"/>
      <c r="C163" s="55" t="n"/>
      <c r="D163" s="55" t="n"/>
      <c r="E163" s="53" t="n"/>
      <c r="F163" s="56" t="n"/>
      <c r="G163" s="56" t="n"/>
      <c r="H163" s="56" t="n"/>
      <c r="I163" s="56" t="n"/>
      <c r="J163" s="56" t="n"/>
      <c r="K163" s="56" t="n"/>
      <c r="L163" s="57" t="n"/>
      <c r="M163" s="56" t="n"/>
      <c r="N163" s="55" t="n"/>
      <c r="O163" s="58">
        <f>IFERROR(IF(OR(ISBLANK(G163),ISBLANK(I163)),"",ABS(G163-I163)/VLOOKUP(C163,設定!$B$9:$D$23,2,FALSE)),"")</f>
        <v/>
      </c>
      <c r="P163" s="57">
        <f>IFERROR(IF(OR(ISBLANK(F163),ISBLANK(H163),ISBLANK(J163)),"",ABS(J163-F163)/ABS(F163-H163)),"")</f>
        <v/>
      </c>
      <c r="Q163" s="59">
        <f>IFERROR(IF(OR(ISBLANK(M163),ISBLANK(D163),ISBLANK(G163)),"",IF(D163="Long",(M163-G163),(G163-M163))/VLOOKUP(C163,設定!$B$9:$D$23,2,FALSE)),"")</f>
        <v/>
      </c>
      <c r="R163" s="60">
        <f>IFERROR(IF(OR(ISBLANK(Q163),O163=0),"",Q163/O163),"")</f>
        <v/>
      </c>
      <c r="S163" s="60">
        <f>IFERROR(IF(ISBLANK(R163),S162,IF(ISNUMBER(S162),S162,0)+R163),"")</f>
        <v/>
      </c>
      <c r="T163" s="61">
        <f>IFERROR(IF(OR(ISBLANK(Q163),ISBLANK(L163)),"",Q163*L163*VLOOKUP(C163,設定!$B$9:$D$23,3,FALSE)),"")</f>
        <v/>
      </c>
      <c r="U163" s="55" t="n"/>
      <c r="V163" s="55" t="n"/>
    </row>
    <row r="164">
      <c r="A164" s="44">
        <f>IF(ISBLANK(B164),"",COUNTA($B$18:B164))</f>
        <v/>
      </c>
      <c r="B164" s="45" t="n"/>
      <c r="C164" s="46" t="n"/>
      <c r="D164" s="46" t="n"/>
      <c r="E164" s="44" t="n"/>
      <c r="F164" s="47" t="n"/>
      <c r="G164" s="47" t="n"/>
      <c r="H164" s="47" t="n"/>
      <c r="I164" s="47" t="n"/>
      <c r="J164" s="47" t="n"/>
      <c r="K164" s="47" t="n"/>
      <c r="L164" s="48" t="n"/>
      <c r="M164" s="47" t="n"/>
      <c r="N164" s="46" t="n"/>
      <c r="O164" s="49">
        <f>IFERROR(IF(OR(ISBLANK(G164),ISBLANK(I164)),"",ABS(G164-I164)/VLOOKUP(C164,設定!$B$9:$D$23,2,FALSE)),"")</f>
        <v/>
      </c>
      <c r="P164" s="48">
        <f>IFERROR(IF(OR(ISBLANK(F164),ISBLANK(H164),ISBLANK(J164)),"",ABS(J164-F164)/ABS(F164-H164)),"")</f>
        <v/>
      </c>
      <c r="Q164" s="50">
        <f>IFERROR(IF(OR(ISBLANK(M164),ISBLANK(D164),ISBLANK(G164)),"",IF(D164="Long",(M164-G164),(G164-M164))/VLOOKUP(C164,設定!$B$9:$D$23,2,FALSE)),"")</f>
        <v/>
      </c>
      <c r="R164" s="51">
        <f>IFERROR(IF(OR(ISBLANK(Q164),O164=0),"",Q164/O164),"")</f>
        <v/>
      </c>
      <c r="S164" s="51">
        <f>IFERROR(IF(ISBLANK(R164),S163,IF(ISNUMBER(S163),S163,0)+R164),"")</f>
        <v/>
      </c>
      <c r="T164" s="52">
        <f>IFERROR(IF(OR(ISBLANK(Q164),ISBLANK(L164)),"",Q164*L164*VLOOKUP(C164,設定!$B$9:$D$23,3,FALSE)),"")</f>
        <v/>
      </c>
      <c r="U164" s="46" t="n"/>
      <c r="V164" s="46" t="n"/>
    </row>
    <row r="165">
      <c r="A165" s="53">
        <f>IF(ISBLANK(B165),"",COUNTA($B$18:B165))</f>
        <v/>
      </c>
      <c r="B165" s="54" t="n"/>
      <c r="C165" s="55" t="n"/>
      <c r="D165" s="55" t="n"/>
      <c r="E165" s="53" t="n"/>
      <c r="F165" s="56" t="n"/>
      <c r="G165" s="56" t="n"/>
      <c r="H165" s="56" t="n"/>
      <c r="I165" s="56" t="n"/>
      <c r="J165" s="56" t="n"/>
      <c r="K165" s="56" t="n"/>
      <c r="L165" s="57" t="n"/>
      <c r="M165" s="56" t="n"/>
      <c r="N165" s="55" t="n"/>
      <c r="O165" s="58">
        <f>IFERROR(IF(OR(ISBLANK(G165),ISBLANK(I165)),"",ABS(G165-I165)/VLOOKUP(C165,設定!$B$9:$D$23,2,FALSE)),"")</f>
        <v/>
      </c>
      <c r="P165" s="57">
        <f>IFERROR(IF(OR(ISBLANK(F165),ISBLANK(H165),ISBLANK(J165)),"",ABS(J165-F165)/ABS(F165-H165)),"")</f>
        <v/>
      </c>
      <c r="Q165" s="59">
        <f>IFERROR(IF(OR(ISBLANK(M165),ISBLANK(D165),ISBLANK(G165)),"",IF(D165="Long",(M165-G165),(G165-M165))/VLOOKUP(C165,設定!$B$9:$D$23,2,FALSE)),"")</f>
        <v/>
      </c>
      <c r="R165" s="60">
        <f>IFERROR(IF(OR(ISBLANK(Q165),O165=0),"",Q165/O165),"")</f>
        <v/>
      </c>
      <c r="S165" s="60">
        <f>IFERROR(IF(ISBLANK(R165),S164,IF(ISNUMBER(S164),S164,0)+R165),"")</f>
        <v/>
      </c>
      <c r="T165" s="61">
        <f>IFERROR(IF(OR(ISBLANK(Q165),ISBLANK(L165)),"",Q165*L165*VLOOKUP(C165,設定!$B$9:$D$23,3,FALSE)),"")</f>
        <v/>
      </c>
      <c r="U165" s="55" t="n"/>
      <c r="V165" s="55" t="n"/>
    </row>
    <row r="166">
      <c r="A166" s="44">
        <f>IF(ISBLANK(B166),"",COUNTA($B$18:B166))</f>
        <v/>
      </c>
      <c r="B166" s="45" t="n"/>
      <c r="C166" s="46" t="n"/>
      <c r="D166" s="46" t="n"/>
      <c r="E166" s="44" t="n"/>
      <c r="F166" s="47" t="n"/>
      <c r="G166" s="47" t="n"/>
      <c r="H166" s="47" t="n"/>
      <c r="I166" s="47" t="n"/>
      <c r="J166" s="47" t="n"/>
      <c r="K166" s="47" t="n"/>
      <c r="L166" s="48" t="n"/>
      <c r="M166" s="47" t="n"/>
      <c r="N166" s="46" t="n"/>
      <c r="O166" s="49">
        <f>IFERROR(IF(OR(ISBLANK(G166),ISBLANK(I166)),"",ABS(G166-I166)/VLOOKUP(C166,設定!$B$9:$D$23,2,FALSE)),"")</f>
        <v/>
      </c>
      <c r="P166" s="48">
        <f>IFERROR(IF(OR(ISBLANK(F166),ISBLANK(H166),ISBLANK(J166)),"",ABS(J166-F166)/ABS(F166-H166)),"")</f>
        <v/>
      </c>
      <c r="Q166" s="50">
        <f>IFERROR(IF(OR(ISBLANK(M166),ISBLANK(D166),ISBLANK(G166)),"",IF(D166="Long",(M166-G166),(G166-M166))/VLOOKUP(C166,設定!$B$9:$D$23,2,FALSE)),"")</f>
        <v/>
      </c>
      <c r="R166" s="51">
        <f>IFERROR(IF(OR(ISBLANK(Q166),O166=0),"",Q166/O166),"")</f>
        <v/>
      </c>
      <c r="S166" s="51">
        <f>IFERROR(IF(ISBLANK(R166),S165,IF(ISNUMBER(S165),S165,0)+R166),"")</f>
        <v/>
      </c>
      <c r="T166" s="52">
        <f>IFERROR(IF(OR(ISBLANK(Q166),ISBLANK(L166)),"",Q166*L166*VLOOKUP(C166,設定!$B$9:$D$23,3,FALSE)),"")</f>
        <v/>
      </c>
      <c r="U166" s="46" t="n"/>
      <c r="V166" s="46" t="n"/>
    </row>
    <row r="167">
      <c r="A167" s="53">
        <f>IF(ISBLANK(B167),"",COUNTA($B$18:B167))</f>
        <v/>
      </c>
      <c r="B167" s="54" t="n"/>
      <c r="C167" s="55" t="n"/>
      <c r="D167" s="55" t="n"/>
      <c r="E167" s="53" t="n"/>
      <c r="F167" s="56" t="n"/>
      <c r="G167" s="56" t="n"/>
      <c r="H167" s="56" t="n"/>
      <c r="I167" s="56" t="n"/>
      <c r="J167" s="56" t="n"/>
      <c r="K167" s="56" t="n"/>
      <c r="L167" s="57" t="n"/>
      <c r="M167" s="56" t="n"/>
      <c r="N167" s="55" t="n"/>
      <c r="O167" s="58">
        <f>IFERROR(IF(OR(ISBLANK(G167),ISBLANK(I167)),"",ABS(G167-I167)/VLOOKUP(C167,設定!$B$9:$D$23,2,FALSE)),"")</f>
        <v/>
      </c>
      <c r="P167" s="57">
        <f>IFERROR(IF(OR(ISBLANK(F167),ISBLANK(H167),ISBLANK(J167)),"",ABS(J167-F167)/ABS(F167-H167)),"")</f>
        <v/>
      </c>
      <c r="Q167" s="59">
        <f>IFERROR(IF(OR(ISBLANK(M167),ISBLANK(D167),ISBLANK(G167)),"",IF(D167="Long",(M167-G167),(G167-M167))/VLOOKUP(C167,設定!$B$9:$D$23,2,FALSE)),"")</f>
        <v/>
      </c>
      <c r="R167" s="60">
        <f>IFERROR(IF(OR(ISBLANK(Q167),O167=0),"",Q167/O167),"")</f>
        <v/>
      </c>
      <c r="S167" s="60">
        <f>IFERROR(IF(ISBLANK(R167),S166,IF(ISNUMBER(S166),S166,0)+R167),"")</f>
        <v/>
      </c>
      <c r="T167" s="61">
        <f>IFERROR(IF(OR(ISBLANK(Q167),ISBLANK(L167)),"",Q167*L167*VLOOKUP(C167,設定!$B$9:$D$23,3,FALSE)),"")</f>
        <v/>
      </c>
      <c r="U167" s="55" t="n"/>
      <c r="V167" s="55" t="n"/>
    </row>
    <row r="168">
      <c r="A168" s="44">
        <f>IF(ISBLANK(B168),"",COUNTA($B$18:B168))</f>
        <v/>
      </c>
      <c r="B168" s="45" t="n"/>
      <c r="C168" s="46" t="n"/>
      <c r="D168" s="46" t="n"/>
      <c r="E168" s="44" t="n"/>
      <c r="F168" s="47" t="n"/>
      <c r="G168" s="47" t="n"/>
      <c r="H168" s="47" t="n"/>
      <c r="I168" s="47" t="n"/>
      <c r="J168" s="47" t="n"/>
      <c r="K168" s="47" t="n"/>
      <c r="L168" s="48" t="n"/>
      <c r="M168" s="47" t="n"/>
      <c r="N168" s="46" t="n"/>
      <c r="O168" s="49">
        <f>IFERROR(IF(OR(ISBLANK(G168),ISBLANK(I168)),"",ABS(G168-I168)/VLOOKUP(C168,設定!$B$9:$D$23,2,FALSE)),"")</f>
        <v/>
      </c>
      <c r="P168" s="48">
        <f>IFERROR(IF(OR(ISBLANK(F168),ISBLANK(H168),ISBLANK(J168)),"",ABS(J168-F168)/ABS(F168-H168)),"")</f>
        <v/>
      </c>
      <c r="Q168" s="50">
        <f>IFERROR(IF(OR(ISBLANK(M168),ISBLANK(D168),ISBLANK(G168)),"",IF(D168="Long",(M168-G168),(G168-M168))/VLOOKUP(C168,設定!$B$9:$D$23,2,FALSE)),"")</f>
        <v/>
      </c>
      <c r="R168" s="51">
        <f>IFERROR(IF(OR(ISBLANK(Q168),O168=0),"",Q168/O168),"")</f>
        <v/>
      </c>
      <c r="S168" s="51">
        <f>IFERROR(IF(ISBLANK(R168),S167,IF(ISNUMBER(S167),S167,0)+R168),"")</f>
        <v/>
      </c>
      <c r="T168" s="52">
        <f>IFERROR(IF(OR(ISBLANK(Q168),ISBLANK(L168)),"",Q168*L168*VLOOKUP(C168,設定!$B$9:$D$23,3,FALSE)),"")</f>
        <v/>
      </c>
      <c r="U168" s="46" t="n"/>
      <c r="V168" s="46" t="n"/>
    </row>
    <row r="169">
      <c r="A169" s="53">
        <f>IF(ISBLANK(B169),"",COUNTA($B$18:B169))</f>
        <v/>
      </c>
      <c r="B169" s="54" t="n"/>
      <c r="C169" s="55" t="n"/>
      <c r="D169" s="55" t="n"/>
      <c r="E169" s="53" t="n"/>
      <c r="F169" s="56" t="n"/>
      <c r="G169" s="56" t="n"/>
      <c r="H169" s="56" t="n"/>
      <c r="I169" s="56" t="n"/>
      <c r="J169" s="56" t="n"/>
      <c r="K169" s="56" t="n"/>
      <c r="L169" s="57" t="n"/>
      <c r="M169" s="56" t="n"/>
      <c r="N169" s="55" t="n"/>
      <c r="O169" s="58">
        <f>IFERROR(IF(OR(ISBLANK(G169),ISBLANK(I169)),"",ABS(G169-I169)/VLOOKUP(C169,設定!$B$9:$D$23,2,FALSE)),"")</f>
        <v/>
      </c>
      <c r="P169" s="57">
        <f>IFERROR(IF(OR(ISBLANK(F169),ISBLANK(H169),ISBLANK(J169)),"",ABS(J169-F169)/ABS(F169-H169)),"")</f>
        <v/>
      </c>
      <c r="Q169" s="59">
        <f>IFERROR(IF(OR(ISBLANK(M169),ISBLANK(D169),ISBLANK(G169)),"",IF(D169="Long",(M169-G169),(G169-M169))/VLOOKUP(C169,設定!$B$9:$D$23,2,FALSE)),"")</f>
        <v/>
      </c>
      <c r="R169" s="60">
        <f>IFERROR(IF(OR(ISBLANK(Q169),O169=0),"",Q169/O169),"")</f>
        <v/>
      </c>
      <c r="S169" s="60">
        <f>IFERROR(IF(ISBLANK(R169),S168,IF(ISNUMBER(S168),S168,0)+R169),"")</f>
        <v/>
      </c>
      <c r="T169" s="61">
        <f>IFERROR(IF(OR(ISBLANK(Q169),ISBLANK(L169)),"",Q169*L169*VLOOKUP(C169,設定!$B$9:$D$23,3,FALSE)),"")</f>
        <v/>
      </c>
      <c r="U169" s="55" t="n"/>
      <c r="V169" s="55" t="n"/>
    </row>
    <row r="170">
      <c r="A170" s="44">
        <f>IF(ISBLANK(B170),"",COUNTA($B$18:B170))</f>
        <v/>
      </c>
      <c r="B170" s="45" t="n"/>
      <c r="C170" s="46" t="n"/>
      <c r="D170" s="46" t="n"/>
      <c r="E170" s="44" t="n"/>
      <c r="F170" s="47" t="n"/>
      <c r="G170" s="47" t="n"/>
      <c r="H170" s="47" t="n"/>
      <c r="I170" s="47" t="n"/>
      <c r="J170" s="47" t="n"/>
      <c r="K170" s="47" t="n"/>
      <c r="L170" s="48" t="n"/>
      <c r="M170" s="47" t="n"/>
      <c r="N170" s="46" t="n"/>
      <c r="O170" s="49">
        <f>IFERROR(IF(OR(ISBLANK(G170),ISBLANK(I170)),"",ABS(G170-I170)/VLOOKUP(C170,設定!$B$9:$D$23,2,FALSE)),"")</f>
        <v/>
      </c>
      <c r="P170" s="48">
        <f>IFERROR(IF(OR(ISBLANK(F170),ISBLANK(H170),ISBLANK(J170)),"",ABS(J170-F170)/ABS(F170-H170)),"")</f>
        <v/>
      </c>
      <c r="Q170" s="50">
        <f>IFERROR(IF(OR(ISBLANK(M170),ISBLANK(D170),ISBLANK(G170)),"",IF(D170="Long",(M170-G170),(G170-M170))/VLOOKUP(C170,設定!$B$9:$D$23,2,FALSE)),"")</f>
        <v/>
      </c>
      <c r="R170" s="51">
        <f>IFERROR(IF(OR(ISBLANK(Q170),O170=0),"",Q170/O170),"")</f>
        <v/>
      </c>
      <c r="S170" s="51">
        <f>IFERROR(IF(ISBLANK(R170),S169,IF(ISNUMBER(S169),S169,0)+R170),"")</f>
        <v/>
      </c>
      <c r="T170" s="52">
        <f>IFERROR(IF(OR(ISBLANK(Q170),ISBLANK(L170)),"",Q170*L170*VLOOKUP(C170,設定!$B$9:$D$23,3,FALSE)),"")</f>
        <v/>
      </c>
      <c r="U170" s="46" t="n"/>
      <c r="V170" s="46" t="n"/>
    </row>
    <row r="171">
      <c r="A171" s="53">
        <f>IF(ISBLANK(B171),"",COUNTA($B$18:B171))</f>
        <v/>
      </c>
      <c r="B171" s="54" t="n"/>
      <c r="C171" s="55" t="n"/>
      <c r="D171" s="55" t="n"/>
      <c r="E171" s="53" t="n"/>
      <c r="F171" s="56" t="n"/>
      <c r="G171" s="56" t="n"/>
      <c r="H171" s="56" t="n"/>
      <c r="I171" s="56" t="n"/>
      <c r="J171" s="56" t="n"/>
      <c r="K171" s="56" t="n"/>
      <c r="L171" s="57" t="n"/>
      <c r="M171" s="56" t="n"/>
      <c r="N171" s="55" t="n"/>
      <c r="O171" s="58">
        <f>IFERROR(IF(OR(ISBLANK(G171),ISBLANK(I171)),"",ABS(G171-I171)/VLOOKUP(C171,設定!$B$9:$D$23,2,FALSE)),"")</f>
        <v/>
      </c>
      <c r="P171" s="57">
        <f>IFERROR(IF(OR(ISBLANK(F171),ISBLANK(H171),ISBLANK(J171)),"",ABS(J171-F171)/ABS(F171-H171)),"")</f>
        <v/>
      </c>
      <c r="Q171" s="59">
        <f>IFERROR(IF(OR(ISBLANK(M171),ISBLANK(D171),ISBLANK(G171)),"",IF(D171="Long",(M171-G171),(G171-M171))/VLOOKUP(C171,設定!$B$9:$D$23,2,FALSE)),"")</f>
        <v/>
      </c>
      <c r="R171" s="60">
        <f>IFERROR(IF(OR(ISBLANK(Q171),O171=0),"",Q171/O171),"")</f>
        <v/>
      </c>
      <c r="S171" s="60">
        <f>IFERROR(IF(ISBLANK(R171),S170,IF(ISNUMBER(S170),S170,0)+R171),"")</f>
        <v/>
      </c>
      <c r="T171" s="61">
        <f>IFERROR(IF(OR(ISBLANK(Q171),ISBLANK(L171)),"",Q171*L171*VLOOKUP(C171,設定!$B$9:$D$23,3,FALSE)),"")</f>
        <v/>
      </c>
      <c r="U171" s="55" t="n"/>
      <c r="V171" s="55" t="n"/>
    </row>
    <row r="172">
      <c r="A172" s="44">
        <f>IF(ISBLANK(B172),"",COUNTA($B$18:B172))</f>
        <v/>
      </c>
      <c r="B172" s="45" t="n"/>
      <c r="C172" s="46" t="n"/>
      <c r="D172" s="46" t="n"/>
      <c r="E172" s="44" t="n"/>
      <c r="F172" s="47" t="n"/>
      <c r="G172" s="47" t="n"/>
      <c r="H172" s="47" t="n"/>
      <c r="I172" s="47" t="n"/>
      <c r="J172" s="47" t="n"/>
      <c r="K172" s="47" t="n"/>
      <c r="L172" s="48" t="n"/>
      <c r="M172" s="47" t="n"/>
      <c r="N172" s="46" t="n"/>
      <c r="O172" s="49">
        <f>IFERROR(IF(OR(ISBLANK(G172),ISBLANK(I172)),"",ABS(G172-I172)/VLOOKUP(C172,設定!$B$9:$D$23,2,FALSE)),"")</f>
        <v/>
      </c>
      <c r="P172" s="48">
        <f>IFERROR(IF(OR(ISBLANK(F172),ISBLANK(H172),ISBLANK(J172)),"",ABS(J172-F172)/ABS(F172-H172)),"")</f>
        <v/>
      </c>
      <c r="Q172" s="50">
        <f>IFERROR(IF(OR(ISBLANK(M172),ISBLANK(D172),ISBLANK(G172)),"",IF(D172="Long",(M172-G172),(G172-M172))/VLOOKUP(C172,設定!$B$9:$D$23,2,FALSE)),"")</f>
        <v/>
      </c>
      <c r="R172" s="51">
        <f>IFERROR(IF(OR(ISBLANK(Q172),O172=0),"",Q172/O172),"")</f>
        <v/>
      </c>
      <c r="S172" s="51">
        <f>IFERROR(IF(ISBLANK(R172),S171,IF(ISNUMBER(S171),S171,0)+R172),"")</f>
        <v/>
      </c>
      <c r="T172" s="52">
        <f>IFERROR(IF(OR(ISBLANK(Q172),ISBLANK(L172)),"",Q172*L172*VLOOKUP(C172,設定!$B$9:$D$23,3,FALSE)),"")</f>
        <v/>
      </c>
      <c r="U172" s="46" t="n"/>
      <c r="V172" s="46" t="n"/>
    </row>
    <row r="173">
      <c r="A173" s="53">
        <f>IF(ISBLANK(B173),"",COUNTA($B$18:B173))</f>
        <v/>
      </c>
      <c r="B173" s="54" t="n"/>
      <c r="C173" s="55" t="n"/>
      <c r="D173" s="55" t="n"/>
      <c r="E173" s="53" t="n"/>
      <c r="F173" s="56" t="n"/>
      <c r="G173" s="56" t="n"/>
      <c r="H173" s="56" t="n"/>
      <c r="I173" s="56" t="n"/>
      <c r="J173" s="56" t="n"/>
      <c r="K173" s="56" t="n"/>
      <c r="L173" s="57" t="n"/>
      <c r="M173" s="56" t="n"/>
      <c r="N173" s="55" t="n"/>
      <c r="O173" s="58">
        <f>IFERROR(IF(OR(ISBLANK(G173),ISBLANK(I173)),"",ABS(G173-I173)/VLOOKUP(C173,設定!$B$9:$D$23,2,FALSE)),"")</f>
        <v/>
      </c>
      <c r="P173" s="57">
        <f>IFERROR(IF(OR(ISBLANK(F173),ISBLANK(H173),ISBLANK(J173)),"",ABS(J173-F173)/ABS(F173-H173)),"")</f>
        <v/>
      </c>
      <c r="Q173" s="59">
        <f>IFERROR(IF(OR(ISBLANK(M173),ISBLANK(D173),ISBLANK(G173)),"",IF(D173="Long",(M173-G173),(G173-M173))/VLOOKUP(C173,設定!$B$9:$D$23,2,FALSE)),"")</f>
        <v/>
      </c>
      <c r="R173" s="60">
        <f>IFERROR(IF(OR(ISBLANK(Q173),O173=0),"",Q173/O173),"")</f>
        <v/>
      </c>
      <c r="S173" s="60">
        <f>IFERROR(IF(ISBLANK(R173),S172,IF(ISNUMBER(S172),S172,0)+R173),"")</f>
        <v/>
      </c>
      <c r="T173" s="61">
        <f>IFERROR(IF(OR(ISBLANK(Q173),ISBLANK(L173)),"",Q173*L173*VLOOKUP(C173,設定!$B$9:$D$23,3,FALSE)),"")</f>
        <v/>
      </c>
      <c r="U173" s="55" t="n"/>
      <c r="V173" s="55" t="n"/>
    </row>
    <row r="174">
      <c r="A174" s="44">
        <f>IF(ISBLANK(B174),"",COUNTA($B$18:B174))</f>
        <v/>
      </c>
      <c r="B174" s="45" t="n"/>
      <c r="C174" s="46" t="n"/>
      <c r="D174" s="46" t="n"/>
      <c r="E174" s="44" t="n"/>
      <c r="F174" s="47" t="n"/>
      <c r="G174" s="47" t="n"/>
      <c r="H174" s="47" t="n"/>
      <c r="I174" s="47" t="n"/>
      <c r="J174" s="47" t="n"/>
      <c r="K174" s="47" t="n"/>
      <c r="L174" s="48" t="n"/>
      <c r="M174" s="47" t="n"/>
      <c r="N174" s="46" t="n"/>
      <c r="O174" s="49">
        <f>IFERROR(IF(OR(ISBLANK(G174),ISBLANK(I174)),"",ABS(G174-I174)/VLOOKUP(C174,設定!$B$9:$D$23,2,FALSE)),"")</f>
        <v/>
      </c>
      <c r="P174" s="48">
        <f>IFERROR(IF(OR(ISBLANK(F174),ISBLANK(H174),ISBLANK(J174)),"",ABS(J174-F174)/ABS(F174-H174)),"")</f>
        <v/>
      </c>
      <c r="Q174" s="50">
        <f>IFERROR(IF(OR(ISBLANK(M174),ISBLANK(D174),ISBLANK(G174)),"",IF(D174="Long",(M174-G174),(G174-M174))/VLOOKUP(C174,設定!$B$9:$D$23,2,FALSE)),"")</f>
        <v/>
      </c>
      <c r="R174" s="51">
        <f>IFERROR(IF(OR(ISBLANK(Q174),O174=0),"",Q174/O174),"")</f>
        <v/>
      </c>
      <c r="S174" s="51">
        <f>IFERROR(IF(ISBLANK(R174),S173,IF(ISNUMBER(S173),S173,0)+R174),"")</f>
        <v/>
      </c>
      <c r="T174" s="52">
        <f>IFERROR(IF(OR(ISBLANK(Q174),ISBLANK(L174)),"",Q174*L174*VLOOKUP(C174,設定!$B$9:$D$23,3,FALSE)),"")</f>
        <v/>
      </c>
      <c r="U174" s="46" t="n"/>
      <c r="V174" s="46" t="n"/>
    </row>
    <row r="175">
      <c r="A175" s="53">
        <f>IF(ISBLANK(B175),"",COUNTA($B$18:B175))</f>
        <v/>
      </c>
      <c r="B175" s="54" t="n"/>
      <c r="C175" s="55" t="n"/>
      <c r="D175" s="55" t="n"/>
      <c r="E175" s="53" t="n"/>
      <c r="F175" s="56" t="n"/>
      <c r="G175" s="56" t="n"/>
      <c r="H175" s="56" t="n"/>
      <c r="I175" s="56" t="n"/>
      <c r="J175" s="56" t="n"/>
      <c r="K175" s="56" t="n"/>
      <c r="L175" s="57" t="n"/>
      <c r="M175" s="56" t="n"/>
      <c r="N175" s="55" t="n"/>
      <c r="O175" s="58">
        <f>IFERROR(IF(OR(ISBLANK(G175),ISBLANK(I175)),"",ABS(G175-I175)/VLOOKUP(C175,設定!$B$9:$D$23,2,FALSE)),"")</f>
        <v/>
      </c>
      <c r="P175" s="57">
        <f>IFERROR(IF(OR(ISBLANK(F175),ISBLANK(H175),ISBLANK(J175)),"",ABS(J175-F175)/ABS(F175-H175)),"")</f>
        <v/>
      </c>
      <c r="Q175" s="59">
        <f>IFERROR(IF(OR(ISBLANK(M175),ISBLANK(D175),ISBLANK(G175)),"",IF(D175="Long",(M175-G175),(G175-M175))/VLOOKUP(C175,設定!$B$9:$D$23,2,FALSE)),"")</f>
        <v/>
      </c>
      <c r="R175" s="60">
        <f>IFERROR(IF(OR(ISBLANK(Q175),O175=0),"",Q175/O175),"")</f>
        <v/>
      </c>
      <c r="S175" s="60">
        <f>IFERROR(IF(ISBLANK(R175),S174,IF(ISNUMBER(S174),S174,0)+R175),"")</f>
        <v/>
      </c>
      <c r="T175" s="61">
        <f>IFERROR(IF(OR(ISBLANK(Q175),ISBLANK(L175)),"",Q175*L175*VLOOKUP(C175,設定!$B$9:$D$23,3,FALSE)),"")</f>
        <v/>
      </c>
      <c r="U175" s="55" t="n"/>
      <c r="V175" s="55" t="n"/>
    </row>
    <row r="176">
      <c r="A176" s="44">
        <f>IF(ISBLANK(B176),"",COUNTA($B$18:B176))</f>
        <v/>
      </c>
      <c r="B176" s="45" t="n"/>
      <c r="C176" s="46" t="n"/>
      <c r="D176" s="46" t="n"/>
      <c r="E176" s="44" t="n"/>
      <c r="F176" s="47" t="n"/>
      <c r="G176" s="47" t="n"/>
      <c r="H176" s="47" t="n"/>
      <c r="I176" s="47" t="n"/>
      <c r="J176" s="47" t="n"/>
      <c r="K176" s="47" t="n"/>
      <c r="L176" s="48" t="n"/>
      <c r="M176" s="47" t="n"/>
      <c r="N176" s="46" t="n"/>
      <c r="O176" s="49">
        <f>IFERROR(IF(OR(ISBLANK(G176),ISBLANK(I176)),"",ABS(G176-I176)/VLOOKUP(C176,設定!$B$9:$D$23,2,FALSE)),"")</f>
        <v/>
      </c>
      <c r="P176" s="48">
        <f>IFERROR(IF(OR(ISBLANK(F176),ISBLANK(H176),ISBLANK(J176)),"",ABS(J176-F176)/ABS(F176-H176)),"")</f>
        <v/>
      </c>
      <c r="Q176" s="50">
        <f>IFERROR(IF(OR(ISBLANK(M176),ISBLANK(D176),ISBLANK(G176)),"",IF(D176="Long",(M176-G176),(G176-M176))/VLOOKUP(C176,設定!$B$9:$D$23,2,FALSE)),"")</f>
        <v/>
      </c>
      <c r="R176" s="51">
        <f>IFERROR(IF(OR(ISBLANK(Q176),O176=0),"",Q176/O176),"")</f>
        <v/>
      </c>
      <c r="S176" s="51">
        <f>IFERROR(IF(ISBLANK(R176),S175,IF(ISNUMBER(S175),S175,0)+R176),"")</f>
        <v/>
      </c>
      <c r="T176" s="52">
        <f>IFERROR(IF(OR(ISBLANK(Q176),ISBLANK(L176)),"",Q176*L176*VLOOKUP(C176,設定!$B$9:$D$23,3,FALSE)),"")</f>
        <v/>
      </c>
      <c r="U176" s="46" t="n"/>
      <c r="V176" s="46" t="n"/>
    </row>
    <row r="177">
      <c r="A177" s="53">
        <f>IF(ISBLANK(B177),"",COUNTA($B$18:B177))</f>
        <v/>
      </c>
      <c r="B177" s="54" t="n"/>
      <c r="C177" s="55" t="n"/>
      <c r="D177" s="55" t="n"/>
      <c r="E177" s="53" t="n"/>
      <c r="F177" s="56" t="n"/>
      <c r="G177" s="56" t="n"/>
      <c r="H177" s="56" t="n"/>
      <c r="I177" s="56" t="n"/>
      <c r="J177" s="56" t="n"/>
      <c r="K177" s="56" t="n"/>
      <c r="L177" s="57" t="n"/>
      <c r="M177" s="56" t="n"/>
      <c r="N177" s="55" t="n"/>
      <c r="O177" s="58">
        <f>IFERROR(IF(OR(ISBLANK(G177),ISBLANK(I177)),"",ABS(G177-I177)/VLOOKUP(C177,設定!$B$9:$D$23,2,FALSE)),"")</f>
        <v/>
      </c>
      <c r="P177" s="57">
        <f>IFERROR(IF(OR(ISBLANK(F177),ISBLANK(H177),ISBLANK(J177)),"",ABS(J177-F177)/ABS(F177-H177)),"")</f>
        <v/>
      </c>
      <c r="Q177" s="59">
        <f>IFERROR(IF(OR(ISBLANK(M177),ISBLANK(D177),ISBLANK(G177)),"",IF(D177="Long",(M177-G177),(G177-M177))/VLOOKUP(C177,設定!$B$9:$D$23,2,FALSE)),"")</f>
        <v/>
      </c>
      <c r="R177" s="60">
        <f>IFERROR(IF(OR(ISBLANK(Q177),O177=0),"",Q177/O177),"")</f>
        <v/>
      </c>
      <c r="S177" s="60">
        <f>IFERROR(IF(ISBLANK(R177),S176,IF(ISNUMBER(S176),S176,0)+R177),"")</f>
        <v/>
      </c>
      <c r="T177" s="61">
        <f>IFERROR(IF(OR(ISBLANK(Q177),ISBLANK(L177)),"",Q177*L177*VLOOKUP(C177,設定!$B$9:$D$23,3,FALSE)),"")</f>
        <v/>
      </c>
      <c r="U177" s="55" t="n"/>
      <c r="V177" s="55" t="n"/>
    </row>
    <row r="178">
      <c r="A178" s="44">
        <f>IF(ISBLANK(B178),"",COUNTA($B$18:B178))</f>
        <v/>
      </c>
      <c r="B178" s="45" t="n"/>
      <c r="C178" s="46" t="n"/>
      <c r="D178" s="46" t="n"/>
      <c r="E178" s="44" t="n"/>
      <c r="F178" s="47" t="n"/>
      <c r="G178" s="47" t="n"/>
      <c r="H178" s="47" t="n"/>
      <c r="I178" s="47" t="n"/>
      <c r="J178" s="47" t="n"/>
      <c r="K178" s="47" t="n"/>
      <c r="L178" s="48" t="n"/>
      <c r="M178" s="47" t="n"/>
      <c r="N178" s="46" t="n"/>
      <c r="O178" s="49">
        <f>IFERROR(IF(OR(ISBLANK(G178),ISBLANK(I178)),"",ABS(G178-I178)/VLOOKUP(C178,設定!$B$9:$D$23,2,FALSE)),"")</f>
        <v/>
      </c>
      <c r="P178" s="48">
        <f>IFERROR(IF(OR(ISBLANK(F178),ISBLANK(H178),ISBLANK(J178)),"",ABS(J178-F178)/ABS(F178-H178)),"")</f>
        <v/>
      </c>
      <c r="Q178" s="50">
        <f>IFERROR(IF(OR(ISBLANK(M178),ISBLANK(D178),ISBLANK(G178)),"",IF(D178="Long",(M178-G178),(G178-M178))/VLOOKUP(C178,設定!$B$9:$D$23,2,FALSE)),"")</f>
        <v/>
      </c>
      <c r="R178" s="51">
        <f>IFERROR(IF(OR(ISBLANK(Q178),O178=0),"",Q178/O178),"")</f>
        <v/>
      </c>
      <c r="S178" s="51">
        <f>IFERROR(IF(ISBLANK(R178),S177,IF(ISNUMBER(S177),S177,0)+R178),"")</f>
        <v/>
      </c>
      <c r="T178" s="52">
        <f>IFERROR(IF(OR(ISBLANK(Q178),ISBLANK(L178)),"",Q178*L178*VLOOKUP(C178,設定!$B$9:$D$23,3,FALSE)),"")</f>
        <v/>
      </c>
      <c r="U178" s="46" t="n"/>
      <c r="V178" s="46" t="n"/>
    </row>
    <row r="179">
      <c r="A179" s="53">
        <f>IF(ISBLANK(B179),"",COUNTA($B$18:B179))</f>
        <v/>
      </c>
      <c r="B179" s="54" t="n"/>
      <c r="C179" s="55" t="n"/>
      <c r="D179" s="55" t="n"/>
      <c r="E179" s="53" t="n"/>
      <c r="F179" s="56" t="n"/>
      <c r="G179" s="56" t="n"/>
      <c r="H179" s="56" t="n"/>
      <c r="I179" s="56" t="n"/>
      <c r="J179" s="56" t="n"/>
      <c r="K179" s="56" t="n"/>
      <c r="L179" s="57" t="n"/>
      <c r="M179" s="56" t="n"/>
      <c r="N179" s="55" t="n"/>
      <c r="O179" s="58">
        <f>IFERROR(IF(OR(ISBLANK(G179),ISBLANK(I179)),"",ABS(G179-I179)/VLOOKUP(C179,設定!$B$9:$D$23,2,FALSE)),"")</f>
        <v/>
      </c>
      <c r="P179" s="57">
        <f>IFERROR(IF(OR(ISBLANK(F179),ISBLANK(H179),ISBLANK(J179)),"",ABS(J179-F179)/ABS(F179-H179)),"")</f>
        <v/>
      </c>
      <c r="Q179" s="59">
        <f>IFERROR(IF(OR(ISBLANK(M179),ISBLANK(D179),ISBLANK(G179)),"",IF(D179="Long",(M179-G179),(G179-M179))/VLOOKUP(C179,設定!$B$9:$D$23,2,FALSE)),"")</f>
        <v/>
      </c>
      <c r="R179" s="60">
        <f>IFERROR(IF(OR(ISBLANK(Q179),O179=0),"",Q179/O179),"")</f>
        <v/>
      </c>
      <c r="S179" s="60">
        <f>IFERROR(IF(ISBLANK(R179),S178,IF(ISNUMBER(S178),S178,0)+R179),"")</f>
        <v/>
      </c>
      <c r="T179" s="61">
        <f>IFERROR(IF(OR(ISBLANK(Q179),ISBLANK(L179)),"",Q179*L179*VLOOKUP(C179,設定!$B$9:$D$23,3,FALSE)),"")</f>
        <v/>
      </c>
      <c r="U179" s="55" t="n"/>
      <c r="V179" s="55" t="n"/>
    </row>
    <row r="180">
      <c r="A180" s="44">
        <f>IF(ISBLANK(B180),"",COUNTA($B$18:B180))</f>
        <v/>
      </c>
      <c r="B180" s="45" t="n"/>
      <c r="C180" s="46" t="n"/>
      <c r="D180" s="46" t="n"/>
      <c r="E180" s="44" t="n"/>
      <c r="F180" s="47" t="n"/>
      <c r="G180" s="47" t="n"/>
      <c r="H180" s="47" t="n"/>
      <c r="I180" s="47" t="n"/>
      <c r="J180" s="47" t="n"/>
      <c r="K180" s="47" t="n"/>
      <c r="L180" s="48" t="n"/>
      <c r="M180" s="47" t="n"/>
      <c r="N180" s="46" t="n"/>
      <c r="O180" s="49">
        <f>IFERROR(IF(OR(ISBLANK(G180),ISBLANK(I180)),"",ABS(G180-I180)/VLOOKUP(C180,設定!$B$9:$D$23,2,FALSE)),"")</f>
        <v/>
      </c>
      <c r="P180" s="48">
        <f>IFERROR(IF(OR(ISBLANK(F180),ISBLANK(H180),ISBLANK(J180)),"",ABS(J180-F180)/ABS(F180-H180)),"")</f>
        <v/>
      </c>
      <c r="Q180" s="50">
        <f>IFERROR(IF(OR(ISBLANK(M180),ISBLANK(D180),ISBLANK(G180)),"",IF(D180="Long",(M180-G180),(G180-M180))/VLOOKUP(C180,設定!$B$9:$D$23,2,FALSE)),"")</f>
        <v/>
      </c>
      <c r="R180" s="51">
        <f>IFERROR(IF(OR(ISBLANK(Q180),O180=0),"",Q180/O180),"")</f>
        <v/>
      </c>
      <c r="S180" s="51">
        <f>IFERROR(IF(ISBLANK(R180),S179,IF(ISNUMBER(S179),S179,0)+R180),"")</f>
        <v/>
      </c>
      <c r="T180" s="52">
        <f>IFERROR(IF(OR(ISBLANK(Q180),ISBLANK(L180)),"",Q180*L180*VLOOKUP(C180,設定!$B$9:$D$23,3,FALSE)),"")</f>
        <v/>
      </c>
      <c r="U180" s="46" t="n"/>
      <c r="V180" s="46" t="n"/>
    </row>
    <row r="181">
      <c r="A181" s="53">
        <f>IF(ISBLANK(B181),"",COUNTA($B$18:B181))</f>
        <v/>
      </c>
      <c r="B181" s="54" t="n"/>
      <c r="C181" s="55" t="n"/>
      <c r="D181" s="55" t="n"/>
      <c r="E181" s="53" t="n"/>
      <c r="F181" s="56" t="n"/>
      <c r="G181" s="56" t="n"/>
      <c r="H181" s="56" t="n"/>
      <c r="I181" s="56" t="n"/>
      <c r="J181" s="56" t="n"/>
      <c r="K181" s="56" t="n"/>
      <c r="L181" s="57" t="n"/>
      <c r="M181" s="56" t="n"/>
      <c r="N181" s="55" t="n"/>
      <c r="O181" s="58">
        <f>IFERROR(IF(OR(ISBLANK(G181),ISBLANK(I181)),"",ABS(G181-I181)/VLOOKUP(C181,設定!$B$9:$D$23,2,FALSE)),"")</f>
        <v/>
      </c>
      <c r="P181" s="57">
        <f>IFERROR(IF(OR(ISBLANK(F181),ISBLANK(H181),ISBLANK(J181)),"",ABS(J181-F181)/ABS(F181-H181)),"")</f>
        <v/>
      </c>
      <c r="Q181" s="59">
        <f>IFERROR(IF(OR(ISBLANK(M181),ISBLANK(D181),ISBLANK(G181)),"",IF(D181="Long",(M181-G181),(G181-M181))/VLOOKUP(C181,設定!$B$9:$D$23,2,FALSE)),"")</f>
        <v/>
      </c>
      <c r="R181" s="60">
        <f>IFERROR(IF(OR(ISBLANK(Q181),O181=0),"",Q181/O181),"")</f>
        <v/>
      </c>
      <c r="S181" s="60">
        <f>IFERROR(IF(ISBLANK(R181),S180,IF(ISNUMBER(S180),S180,0)+R181),"")</f>
        <v/>
      </c>
      <c r="T181" s="61">
        <f>IFERROR(IF(OR(ISBLANK(Q181),ISBLANK(L181)),"",Q181*L181*VLOOKUP(C181,設定!$B$9:$D$23,3,FALSE)),"")</f>
        <v/>
      </c>
      <c r="U181" s="55" t="n"/>
      <c r="V181" s="55" t="n"/>
    </row>
    <row r="182">
      <c r="A182" s="44">
        <f>IF(ISBLANK(B182),"",COUNTA($B$18:B182))</f>
        <v/>
      </c>
      <c r="B182" s="45" t="n"/>
      <c r="C182" s="46" t="n"/>
      <c r="D182" s="46" t="n"/>
      <c r="E182" s="44" t="n"/>
      <c r="F182" s="47" t="n"/>
      <c r="G182" s="47" t="n"/>
      <c r="H182" s="47" t="n"/>
      <c r="I182" s="47" t="n"/>
      <c r="J182" s="47" t="n"/>
      <c r="K182" s="47" t="n"/>
      <c r="L182" s="48" t="n"/>
      <c r="M182" s="47" t="n"/>
      <c r="N182" s="46" t="n"/>
      <c r="O182" s="49">
        <f>IFERROR(IF(OR(ISBLANK(G182),ISBLANK(I182)),"",ABS(G182-I182)/VLOOKUP(C182,設定!$B$9:$D$23,2,FALSE)),"")</f>
        <v/>
      </c>
      <c r="P182" s="48">
        <f>IFERROR(IF(OR(ISBLANK(F182),ISBLANK(H182),ISBLANK(J182)),"",ABS(J182-F182)/ABS(F182-H182)),"")</f>
        <v/>
      </c>
      <c r="Q182" s="50">
        <f>IFERROR(IF(OR(ISBLANK(M182),ISBLANK(D182),ISBLANK(G182)),"",IF(D182="Long",(M182-G182),(G182-M182))/VLOOKUP(C182,設定!$B$9:$D$23,2,FALSE)),"")</f>
        <v/>
      </c>
      <c r="R182" s="51">
        <f>IFERROR(IF(OR(ISBLANK(Q182),O182=0),"",Q182/O182),"")</f>
        <v/>
      </c>
      <c r="S182" s="51">
        <f>IFERROR(IF(ISBLANK(R182),S181,IF(ISNUMBER(S181),S181,0)+R182),"")</f>
        <v/>
      </c>
      <c r="T182" s="52">
        <f>IFERROR(IF(OR(ISBLANK(Q182),ISBLANK(L182)),"",Q182*L182*VLOOKUP(C182,設定!$B$9:$D$23,3,FALSE)),"")</f>
        <v/>
      </c>
      <c r="U182" s="46" t="n"/>
      <c r="V182" s="46" t="n"/>
    </row>
    <row r="183">
      <c r="A183" s="53">
        <f>IF(ISBLANK(B183),"",COUNTA($B$18:B183))</f>
        <v/>
      </c>
      <c r="B183" s="54" t="n"/>
      <c r="C183" s="55" t="n"/>
      <c r="D183" s="55" t="n"/>
      <c r="E183" s="53" t="n"/>
      <c r="F183" s="56" t="n"/>
      <c r="G183" s="56" t="n"/>
      <c r="H183" s="56" t="n"/>
      <c r="I183" s="56" t="n"/>
      <c r="J183" s="56" t="n"/>
      <c r="K183" s="56" t="n"/>
      <c r="L183" s="57" t="n"/>
      <c r="M183" s="56" t="n"/>
      <c r="N183" s="55" t="n"/>
      <c r="O183" s="58">
        <f>IFERROR(IF(OR(ISBLANK(G183),ISBLANK(I183)),"",ABS(G183-I183)/VLOOKUP(C183,設定!$B$9:$D$23,2,FALSE)),"")</f>
        <v/>
      </c>
      <c r="P183" s="57">
        <f>IFERROR(IF(OR(ISBLANK(F183),ISBLANK(H183),ISBLANK(J183)),"",ABS(J183-F183)/ABS(F183-H183)),"")</f>
        <v/>
      </c>
      <c r="Q183" s="59">
        <f>IFERROR(IF(OR(ISBLANK(M183),ISBLANK(D183),ISBLANK(G183)),"",IF(D183="Long",(M183-G183),(G183-M183))/VLOOKUP(C183,設定!$B$9:$D$23,2,FALSE)),"")</f>
        <v/>
      </c>
      <c r="R183" s="60">
        <f>IFERROR(IF(OR(ISBLANK(Q183),O183=0),"",Q183/O183),"")</f>
        <v/>
      </c>
      <c r="S183" s="60">
        <f>IFERROR(IF(ISBLANK(R183),S182,IF(ISNUMBER(S182),S182,0)+R183),"")</f>
        <v/>
      </c>
      <c r="T183" s="61">
        <f>IFERROR(IF(OR(ISBLANK(Q183),ISBLANK(L183)),"",Q183*L183*VLOOKUP(C183,設定!$B$9:$D$23,3,FALSE)),"")</f>
        <v/>
      </c>
      <c r="U183" s="55" t="n"/>
      <c r="V183" s="55" t="n"/>
    </row>
    <row r="184">
      <c r="A184" s="44">
        <f>IF(ISBLANK(B184),"",COUNTA($B$18:B184))</f>
        <v/>
      </c>
      <c r="B184" s="45" t="n"/>
      <c r="C184" s="46" t="n"/>
      <c r="D184" s="46" t="n"/>
      <c r="E184" s="44" t="n"/>
      <c r="F184" s="47" t="n"/>
      <c r="G184" s="47" t="n"/>
      <c r="H184" s="47" t="n"/>
      <c r="I184" s="47" t="n"/>
      <c r="J184" s="47" t="n"/>
      <c r="K184" s="47" t="n"/>
      <c r="L184" s="48" t="n"/>
      <c r="M184" s="47" t="n"/>
      <c r="N184" s="46" t="n"/>
      <c r="O184" s="49">
        <f>IFERROR(IF(OR(ISBLANK(G184),ISBLANK(I184)),"",ABS(G184-I184)/VLOOKUP(C184,設定!$B$9:$D$23,2,FALSE)),"")</f>
        <v/>
      </c>
      <c r="P184" s="48">
        <f>IFERROR(IF(OR(ISBLANK(F184),ISBLANK(H184),ISBLANK(J184)),"",ABS(J184-F184)/ABS(F184-H184)),"")</f>
        <v/>
      </c>
      <c r="Q184" s="50">
        <f>IFERROR(IF(OR(ISBLANK(M184),ISBLANK(D184),ISBLANK(G184)),"",IF(D184="Long",(M184-G184),(G184-M184))/VLOOKUP(C184,設定!$B$9:$D$23,2,FALSE)),"")</f>
        <v/>
      </c>
      <c r="R184" s="51">
        <f>IFERROR(IF(OR(ISBLANK(Q184),O184=0),"",Q184/O184),"")</f>
        <v/>
      </c>
      <c r="S184" s="51">
        <f>IFERROR(IF(ISBLANK(R184),S183,IF(ISNUMBER(S183),S183,0)+R184),"")</f>
        <v/>
      </c>
      <c r="T184" s="52">
        <f>IFERROR(IF(OR(ISBLANK(Q184),ISBLANK(L184)),"",Q184*L184*VLOOKUP(C184,設定!$B$9:$D$23,3,FALSE)),"")</f>
        <v/>
      </c>
      <c r="U184" s="46" t="n"/>
      <c r="V184" s="46" t="n"/>
    </row>
    <row r="185">
      <c r="A185" s="53">
        <f>IF(ISBLANK(B185),"",COUNTA($B$18:B185))</f>
        <v/>
      </c>
      <c r="B185" s="54" t="n"/>
      <c r="C185" s="55" t="n"/>
      <c r="D185" s="55" t="n"/>
      <c r="E185" s="53" t="n"/>
      <c r="F185" s="56" t="n"/>
      <c r="G185" s="56" t="n"/>
      <c r="H185" s="56" t="n"/>
      <c r="I185" s="56" t="n"/>
      <c r="J185" s="56" t="n"/>
      <c r="K185" s="56" t="n"/>
      <c r="L185" s="57" t="n"/>
      <c r="M185" s="56" t="n"/>
      <c r="N185" s="55" t="n"/>
      <c r="O185" s="58">
        <f>IFERROR(IF(OR(ISBLANK(G185),ISBLANK(I185)),"",ABS(G185-I185)/VLOOKUP(C185,設定!$B$9:$D$23,2,FALSE)),"")</f>
        <v/>
      </c>
      <c r="P185" s="57">
        <f>IFERROR(IF(OR(ISBLANK(F185),ISBLANK(H185),ISBLANK(J185)),"",ABS(J185-F185)/ABS(F185-H185)),"")</f>
        <v/>
      </c>
      <c r="Q185" s="59">
        <f>IFERROR(IF(OR(ISBLANK(M185),ISBLANK(D185),ISBLANK(G185)),"",IF(D185="Long",(M185-G185),(G185-M185))/VLOOKUP(C185,設定!$B$9:$D$23,2,FALSE)),"")</f>
        <v/>
      </c>
      <c r="R185" s="60">
        <f>IFERROR(IF(OR(ISBLANK(Q185),O185=0),"",Q185/O185),"")</f>
        <v/>
      </c>
      <c r="S185" s="60">
        <f>IFERROR(IF(ISBLANK(R185),S184,IF(ISNUMBER(S184),S184,0)+R185),"")</f>
        <v/>
      </c>
      <c r="T185" s="61">
        <f>IFERROR(IF(OR(ISBLANK(Q185),ISBLANK(L185)),"",Q185*L185*VLOOKUP(C185,設定!$B$9:$D$23,3,FALSE)),"")</f>
        <v/>
      </c>
      <c r="U185" s="55" t="n"/>
      <c r="V185" s="55" t="n"/>
    </row>
    <row r="186">
      <c r="A186" s="44">
        <f>IF(ISBLANK(B186),"",COUNTA($B$18:B186))</f>
        <v/>
      </c>
      <c r="B186" s="45" t="n"/>
      <c r="C186" s="46" t="n"/>
      <c r="D186" s="46" t="n"/>
      <c r="E186" s="44" t="n"/>
      <c r="F186" s="47" t="n"/>
      <c r="G186" s="47" t="n"/>
      <c r="H186" s="47" t="n"/>
      <c r="I186" s="47" t="n"/>
      <c r="J186" s="47" t="n"/>
      <c r="K186" s="47" t="n"/>
      <c r="L186" s="48" t="n"/>
      <c r="M186" s="47" t="n"/>
      <c r="N186" s="46" t="n"/>
      <c r="O186" s="49">
        <f>IFERROR(IF(OR(ISBLANK(G186),ISBLANK(I186)),"",ABS(G186-I186)/VLOOKUP(C186,設定!$B$9:$D$23,2,FALSE)),"")</f>
        <v/>
      </c>
      <c r="P186" s="48">
        <f>IFERROR(IF(OR(ISBLANK(F186),ISBLANK(H186),ISBLANK(J186)),"",ABS(J186-F186)/ABS(F186-H186)),"")</f>
        <v/>
      </c>
      <c r="Q186" s="50">
        <f>IFERROR(IF(OR(ISBLANK(M186),ISBLANK(D186),ISBLANK(G186)),"",IF(D186="Long",(M186-G186),(G186-M186))/VLOOKUP(C186,設定!$B$9:$D$23,2,FALSE)),"")</f>
        <v/>
      </c>
      <c r="R186" s="51">
        <f>IFERROR(IF(OR(ISBLANK(Q186),O186=0),"",Q186/O186),"")</f>
        <v/>
      </c>
      <c r="S186" s="51">
        <f>IFERROR(IF(ISBLANK(R186),S185,IF(ISNUMBER(S185),S185,0)+R186),"")</f>
        <v/>
      </c>
      <c r="T186" s="52">
        <f>IFERROR(IF(OR(ISBLANK(Q186),ISBLANK(L186)),"",Q186*L186*VLOOKUP(C186,設定!$B$9:$D$23,3,FALSE)),"")</f>
        <v/>
      </c>
      <c r="U186" s="46" t="n"/>
      <c r="V186" s="46" t="n"/>
    </row>
    <row r="187">
      <c r="A187" s="53">
        <f>IF(ISBLANK(B187),"",COUNTA($B$18:B187))</f>
        <v/>
      </c>
      <c r="B187" s="54" t="n"/>
      <c r="C187" s="55" t="n"/>
      <c r="D187" s="55" t="n"/>
      <c r="E187" s="53" t="n"/>
      <c r="F187" s="56" t="n"/>
      <c r="G187" s="56" t="n"/>
      <c r="H187" s="56" t="n"/>
      <c r="I187" s="56" t="n"/>
      <c r="J187" s="56" t="n"/>
      <c r="K187" s="56" t="n"/>
      <c r="L187" s="57" t="n"/>
      <c r="M187" s="56" t="n"/>
      <c r="N187" s="55" t="n"/>
      <c r="O187" s="58">
        <f>IFERROR(IF(OR(ISBLANK(G187),ISBLANK(I187)),"",ABS(G187-I187)/VLOOKUP(C187,設定!$B$9:$D$23,2,FALSE)),"")</f>
        <v/>
      </c>
      <c r="P187" s="57">
        <f>IFERROR(IF(OR(ISBLANK(F187),ISBLANK(H187),ISBLANK(J187)),"",ABS(J187-F187)/ABS(F187-H187)),"")</f>
        <v/>
      </c>
      <c r="Q187" s="59">
        <f>IFERROR(IF(OR(ISBLANK(M187),ISBLANK(D187),ISBLANK(G187)),"",IF(D187="Long",(M187-G187),(G187-M187))/VLOOKUP(C187,設定!$B$9:$D$23,2,FALSE)),"")</f>
        <v/>
      </c>
      <c r="R187" s="60">
        <f>IFERROR(IF(OR(ISBLANK(Q187),O187=0),"",Q187/O187),"")</f>
        <v/>
      </c>
      <c r="S187" s="60">
        <f>IFERROR(IF(ISBLANK(R187),S186,IF(ISNUMBER(S186),S186,0)+R187),"")</f>
        <v/>
      </c>
      <c r="T187" s="61">
        <f>IFERROR(IF(OR(ISBLANK(Q187),ISBLANK(L187)),"",Q187*L187*VLOOKUP(C187,設定!$B$9:$D$23,3,FALSE)),"")</f>
        <v/>
      </c>
      <c r="U187" s="55" t="n"/>
      <c r="V187" s="55" t="n"/>
    </row>
    <row r="188">
      <c r="A188" s="44">
        <f>IF(ISBLANK(B188),"",COUNTA($B$18:B188))</f>
        <v/>
      </c>
      <c r="B188" s="45" t="n"/>
      <c r="C188" s="46" t="n"/>
      <c r="D188" s="46" t="n"/>
      <c r="E188" s="44" t="n"/>
      <c r="F188" s="47" t="n"/>
      <c r="G188" s="47" t="n"/>
      <c r="H188" s="47" t="n"/>
      <c r="I188" s="47" t="n"/>
      <c r="J188" s="47" t="n"/>
      <c r="K188" s="47" t="n"/>
      <c r="L188" s="48" t="n"/>
      <c r="M188" s="47" t="n"/>
      <c r="N188" s="46" t="n"/>
      <c r="O188" s="49">
        <f>IFERROR(IF(OR(ISBLANK(G188),ISBLANK(I188)),"",ABS(G188-I188)/VLOOKUP(C188,設定!$B$9:$D$23,2,FALSE)),"")</f>
        <v/>
      </c>
      <c r="P188" s="48">
        <f>IFERROR(IF(OR(ISBLANK(F188),ISBLANK(H188),ISBLANK(J188)),"",ABS(J188-F188)/ABS(F188-H188)),"")</f>
        <v/>
      </c>
      <c r="Q188" s="50">
        <f>IFERROR(IF(OR(ISBLANK(M188),ISBLANK(D188),ISBLANK(G188)),"",IF(D188="Long",(M188-G188),(G188-M188))/VLOOKUP(C188,設定!$B$9:$D$23,2,FALSE)),"")</f>
        <v/>
      </c>
      <c r="R188" s="51">
        <f>IFERROR(IF(OR(ISBLANK(Q188),O188=0),"",Q188/O188),"")</f>
        <v/>
      </c>
      <c r="S188" s="51">
        <f>IFERROR(IF(ISBLANK(R188),S187,IF(ISNUMBER(S187),S187,0)+R188),"")</f>
        <v/>
      </c>
      <c r="T188" s="52">
        <f>IFERROR(IF(OR(ISBLANK(Q188),ISBLANK(L188)),"",Q188*L188*VLOOKUP(C188,設定!$B$9:$D$23,3,FALSE)),"")</f>
        <v/>
      </c>
      <c r="U188" s="46" t="n"/>
      <c r="V188" s="46" t="n"/>
    </row>
    <row r="189">
      <c r="A189" s="53">
        <f>IF(ISBLANK(B189),"",COUNTA($B$18:B189))</f>
        <v/>
      </c>
      <c r="B189" s="54" t="n"/>
      <c r="C189" s="55" t="n"/>
      <c r="D189" s="55" t="n"/>
      <c r="E189" s="53" t="n"/>
      <c r="F189" s="56" t="n"/>
      <c r="G189" s="56" t="n"/>
      <c r="H189" s="56" t="n"/>
      <c r="I189" s="56" t="n"/>
      <c r="J189" s="56" t="n"/>
      <c r="K189" s="56" t="n"/>
      <c r="L189" s="57" t="n"/>
      <c r="M189" s="56" t="n"/>
      <c r="N189" s="55" t="n"/>
      <c r="O189" s="58">
        <f>IFERROR(IF(OR(ISBLANK(G189),ISBLANK(I189)),"",ABS(G189-I189)/VLOOKUP(C189,設定!$B$9:$D$23,2,FALSE)),"")</f>
        <v/>
      </c>
      <c r="P189" s="57">
        <f>IFERROR(IF(OR(ISBLANK(F189),ISBLANK(H189),ISBLANK(J189)),"",ABS(J189-F189)/ABS(F189-H189)),"")</f>
        <v/>
      </c>
      <c r="Q189" s="59">
        <f>IFERROR(IF(OR(ISBLANK(M189),ISBLANK(D189),ISBLANK(G189)),"",IF(D189="Long",(M189-G189),(G189-M189))/VLOOKUP(C189,設定!$B$9:$D$23,2,FALSE)),"")</f>
        <v/>
      </c>
      <c r="R189" s="60">
        <f>IFERROR(IF(OR(ISBLANK(Q189),O189=0),"",Q189/O189),"")</f>
        <v/>
      </c>
      <c r="S189" s="60">
        <f>IFERROR(IF(ISBLANK(R189),S188,IF(ISNUMBER(S188),S188,0)+R189),"")</f>
        <v/>
      </c>
      <c r="T189" s="61">
        <f>IFERROR(IF(OR(ISBLANK(Q189),ISBLANK(L189)),"",Q189*L189*VLOOKUP(C189,設定!$B$9:$D$23,3,FALSE)),"")</f>
        <v/>
      </c>
      <c r="U189" s="55" t="n"/>
      <c r="V189" s="55" t="n"/>
    </row>
    <row r="190">
      <c r="A190" s="44">
        <f>IF(ISBLANK(B190),"",COUNTA($B$18:B190))</f>
        <v/>
      </c>
      <c r="B190" s="45" t="n"/>
      <c r="C190" s="46" t="n"/>
      <c r="D190" s="46" t="n"/>
      <c r="E190" s="44" t="n"/>
      <c r="F190" s="47" t="n"/>
      <c r="G190" s="47" t="n"/>
      <c r="H190" s="47" t="n"/>
      <c r="I190" s="47" t="n"/>
      <c r="J190" s="47" t="n"/>
      <c r="K190" s="47" t="n"/>
      <c r="L190" s="48" t="n"/>
      <c r="M190" s="47" t="n"/>
      <c r="N190" s="46" t="n"/>
      <c r="O190" s="49">
        <f>IFERROR(IF(OR(ISBLANK(G190),ISBLANK(I190)),"",ABS(G190-I190)/VLOOKUP(C190,設定!$B$9:$D$23,2,FALSE)),"")</f>
        <v/>
      </c>
      <c r="P190" s="48">
        <f>IFERROR(IF(OR(ISBLANK(F190),ISBLANK(H190),ISBLANK(J190)),"",ABS(J190-F190)/ABS(F190-H190)),"")</f>
        <v/>
      </c>
      <c r="Q190" s="50">
        <f>IFERROR(IF(OR(ISBLANK(M190),ISBLANK(D190),ISBLANK(G190)),"",IF(D190="Long",(M190-G190),(G190-M190))/VLOOKUP(C190,設定!$B$9:$D$23,2,FALSE)),"")</f>
        <v/>
      </c>
      <c r="R190" s="51">
        <f>IFERROR(IF(OR(ISBLANK(Q190),O190=0),"",Q190/O190),"")</f>
        <v/>
      </c>
      <c r="S190" s="51">
        <f>IFERROR(IF(ISBLANK(R190),S189,IF(ISNUMBER(S189),S189,0)+R190),"")</f>
        <v/>
      </c>
      <c r="T190" s="52">
        <f>IFERROR(IF(OR(ISBLANK(Q190),ISBLANK(L190)),"",Q190*L190*VLOOKUP(C190,設定!$B$9:$D$23,3,FALSE)),"")</f>
        <v/>
      </c>
      <c r="U190" s="46" t="n"/>
      <c r="V190" s="46" t="n"/>
    </row>
    <row r="191">
      <c r="A191" s="53">
        <f>IF(ISBLANK(B191),"",COUNTA($B$18:B191))</f>
        <v/>
      </c>
      <c r="B191" s="54" t="n"/>
      <c r="C191" s="55" t="n"/>
      <c r="D191" s="55" t="n"/>
      <c r="E191" s="53" t="n"/>
      <c r="F191" s="56" t="n"/>
      <c r="G191" s="56" t="n"/>
      <c r="H191" s="56" t="n"/>
      <c r="I191" s="56" t="n"/>
      <c r="J191" s="56" t="n"/>
      <c r="K191" s="56" t="n"/>
      <c r="L191" s="57" t="n"/>
      <c r="M191" s="56" t="n"/>
      <c r="N191" s="55" t="n"/>
      <c r="O191" s="58">
        <f>IFERROR(IF(OR(ISBLANK(G191),ISBLANK(I191)),"",ABS(G191-I191)/VLOOKUP(C191,設定!$B$9:$D$23,2,FALSE)),"")</f>
        <v/>
      </c>
      <c r="P191" s="57">
        <f>IFERROR(IF(OR(ISBLANK(F191),ISBLANK(H191),ISBLANK(J191)),"",ABS(J191-F191)/ABS(F191-H191)),"")</f>
        <v/>
      </c>
      <c r="Q191" s="59">
        <f>IFERROR(IF(OR(ISBLANK(M191),ISBLANK(D191),ISBLANK(G191)),"",IF(D191="Long",(M191-G191),(G191-M191))/VLOOKUP(C191,設定!$B$9:$D$23,2,FALSE)),"")</f>
        <v/>
      </c>
      <c r="R191" s="60">
        <f>IFERROR(IF(OR(ISBLANK(Q191),O191=0),"",Q191/O191),"")</f>
        <v/>
      </c>
      <c r="S191" s="60">
        <f>IFERROR(IF(ISBLANK(R191),S190,IF(ISNUMBER(S190),S190,0)+R191),"")</f>
        <v/>
      </c>
      <c r="T191" s="61">
        <f>IFERROR(IF(OR(ISBLANK(Q191),ISBLANK(L191)),"",Q191*L191*VLOOKUP(C191,設定!$B$9:$D$23,3,FALSE)),"")</f>
        <v/>
      </c>
      <c r="U191" s="55" t="n"/>
      <c r="V191" s="55" t="n"/>
    </row>
    <row r="192">
      <c r="A192" s="44">
        <f>IF(ISBLANK(B192),"",COUNTA($B$18:B192))</f>
        <v/>
      </c>
      <c r="B192" s="45" t="n"/>
      <c r="C192" s="46" t="n"/>
      <c r="D192" s="46" t="n"/>
      <c r="E192" s="44" t="n"/>
      <c r="F192" s="47" t="n"/>
      <c r="G192" s="47" t="n"/>
      <c r="H192" s="47" t="n"/>
      <c r="I192" s="47" t="n"/>
      <c r="J192" s="47" t="n"/>
      <c r="K192" s="47" t="n"/>
      <c r="L192" s="48" t="n"/>
      <c r="M192" s="47" t="n"/>
      <c r="N192" s="46" t="n"/>
      <c r="O192" s="49">
        <f>IFERROR(IF(OR(ISBLANK(G192),ISBLANK(I192)),"",ABS(G192-I192)/VLOOKUP(C192,設定!$B$9:$D$23,2,FALSE)),"")</f>
        <v/>
      </c>
      <c r="P192" s="48">
        <f>IFERROR(IF(OR(ISBLANK(F192),ISBLANK(H192),ISBLANK(J192)),"",ABS(J192-F192)/ABS(F192-H192)),"")</f>
        <v/>
      </c>
      <c r="Q192" s="50">
        <f>IFERROR(IF(OR(ISBLANK(M192),ISBLANK(D192),ISBLANK(G192)),"",IF(D192="Long",(M192-G192),(G192-M192))/VLOOKUP(C192,設定!$B$9:$D$23,2,FALSE)),"")</f>
        <v/>
      </c>
      <c r="R192" s="51">
        <f>IFERROR(IF(OR(ISBLANK(Q192),O192=0),"",Q192/O192),"")</f>
        <v/>
      </c>
      <c r="S192" s="51">
        <f>IFERROR(IF(ISBLANK(R192),S191,IF(ISNUMBER(S191),S191,0)+R192),"")</f>
        <v/>
      </c>
      <c r="T192" s="52">
        <f>IFERROR(IF(OR(ISBLANK(Q192),ISBLANK(L192)),"",Q192*L192*VLOOKUP(C192,設定!$B$9:$D$23,3,FALSE)),"")</f>
        <v/>
      </c>
      <c r="U192" s="46" t="n"/>
      <c r="V192" s="46" t="n"/>
    </row>
    <row r="193">
      <c r="A193" s="53">
        <f>IF(ISBLANK(B193),"",COUNTA($B$18:B193))</f>
        <v/>
      </c>
      <c r="B193" s="54" t="n"/>
      <c r="C193" s="55" t="n"/>
      <c r="D193" s="55" t="n"/>
      <c r="E193" s="53" t="n"/>
      <c r="F193" s="56" t="n"/>
      <c r="G193" s="56" t="n"/>
      <c r="H193" s="56" t="n"/>
      <c r="I193" s="56" t="n"/>
      <c r="J193" s="56" t="n"/>
      <c r="K193" s="56" t="n"/>
      <c r="L193" s="57" t="n"/>
      <c r="M193" s="56" t="n"/>
      <c r="N193" s="55" t="n"/>
      <c r="O193" s="58">
        <f>IFERROR(IF(OR(ISBLANK(G193),ISBLANK(I193)),"",ABS(G193-I193)/VLOOKUP(C193,設定!$B$9:$D$23,2,FALSE)),"")</f>
        <v/>
      </c>
      <c r="P193" s="57">
        <f>IFERROR(IF(OR(ISBLANK(F193),ISBLANK(H193),ISBLANK(J193)),"",ABS(J193-F193)/ABS(F193-H193)),"")</f>
        <v/>
      </c>
      <c r="Q193" s="59">
        <f>IFERROR(IF(OR(ISBLANK(M193),ISBLANK(D193),ISBLANK(G193)),"",IF(D193="Long",(M193-G193),(G193-M193))/VLOOKUP(C193,設定!$B$9:$D$23,2,FALSE)),"")</f>
        <v/>
      </c>
      <c r="R193" s="60">
        <f>IFERROR(IF(OR(ISBLANK(Q193),O193=0),"",Q193/O193),"")</f>
        <v/>
      </c>
      <c r="S193" s="60">
        <f>IFERROR(IF(ISBLANK(R193),S192,IF(ISNUMBER(S192),S192,0)+R193),"")</f>
        <v/>
      </c>
      <c r="T193" s="61">
        <f>IFERROR(IF(OR(ISBLANK(Q193),ISBLANK(L193)),"",Q193*L193*VLOOKUP(C193,設定!$B$9:$D$23,3,FALSE)),"")</f>
        <v/>
      </c>
      <c r="U193" s="55" t="n"/>
      <c r="V193" s="55" t="n"/>
    </row>
    <row r="194">
      <c r="A194" s="44">
        <f>IF(ISBLANK(B194),"",COUNTA($B$18:B194))</f>
        <v/>
      </c>
      <c r="B194" s="45" t="n"/>
      <c r="C194" s="46" t="n"/>
      <c r="D194" s="46" t="n"/>
      <c r="E194" s="44" t="n"/>
      <c r="F194" s="47" t="n"/>
      <c r="G194" s="47" t="n"/>
      <c r="H194" s="47" t="n"/>
      <c r="I194" s="47" t="n"/>
      <c r="J194" s="47" t="n"/>
      <c r="K194" s="47" t="n"/>
      <c r="L194" s="48" t="n"/>
      <c r="M194" s="47" t="n"/>
      <c r="N194" s="46" t="n"/>
      <c r="O194" s="49">
        <f>IFERROR(IF(OR(ISBLANK(G194),ISBLANK(I194)),"",ABS(G194-I194)/VLOOKUP(C194,設定!$B$9:$D$23,2,FALSE)),"")</f>
        <v/>
      </c>
      <c r="P194" s="48">
        <f>IFERROR(IF(OR(ISBLANK(F194),ISBLANK(H194),ISBLANK(J194)),"",ABS(J194-F194)/ABS(F194-H194)),"")</f>
        <v/>
      </c>
      <c r="Q194" s="50">
        <f>IFERROR(IF(OR(ISBLANK(M194),ISBLANK(D194),ISBLANK(G194)),"",IF(D194="Long",(M194-G194),(G194-M194))/VLOOKUP(C194,設定!$B$9:$D$23,2,FALSE)),"")</f>
        <v/>
      </c>
      <c r="R194" s="51">
        <f>IFERROR(IF(OR(ISBLANK(Q194),O194=0),"",Q194/O194),"")</f>
        <v/>
      </c>
      <c r="S194" s="51">
        <f>IFERROR(IF(ISBLANK(R194),S193,IF(ISNUMBER(S193),S193,0)+R194),"")</f>
        <v/>
      </c>
      <c r="T194" s="52">
        <f>IFERROR(IF(OR(ISBLANK(Q194),ISBLANK(L194)),"",Q194*L194*VLOOKUP(C194,設定!$B$9:$D$23,3,FALSE)),"")</f>
        <v/>
      </c>
      <c r="U194" s="46" t="n"/>
      <c r="V194" s="46" t="n"/>
    </row>
    <row r="195">
      <c r="A195" s="53">
        <f>IF(ISBLANK(B195),"",COUNTA($B$18:B195))</f>
        <v/>
      </c>
      <c r="B195" s="54" t="n"/>
      <c r="C195" s="55" t="n"/>
      <c r="D195" s="55" t="n"/>
      <c r="E195" s="53" t="n"/>
      <c r="F195" s="56" t="n"/>
      <c r="G195" s="56" t="n"/>
      <c r="H195" s="56" t="n"/>
      <c r="I195" s="56" t="n"/>
      <c r="J195" s="56" t="n"/>
      <c r="K195" s="56" t="n"/>
      <c r="L195" s="57" t="n"/>
      <c r="M195" s="56" t="n"/>
      <c r="N195" s="55" t="n"/>
      <c r="O195" s="58">
        <f>IFERROR(IF(OR(ISBLANK(G195),ISBLANK(I195)),"",ABS(G195-I195)/VLOOKUP(C195,設定!$B$9:$D$23,2,FALSE)),"")</f>
        <v/>
      </c>
      <c r="P195" s="57">
        <f>IFERROR(IF(OR(ISBLANK(F195),ISBLANK(H195),ISBLANK(J195)),"",ABS(J195-F195)/ABS(F195-H195)),"")</f>
        <v/>
      </c>
      <c r="Q195" s="59">
        <f>IFERROR(IF(OR(ISBLANK(M195),ISBLANK(D195),ISBLANK(G195)),"",IF(D195="Long",(M195-G195),(G195-M195))/VLOOKUP(C195,設定!$B$9:$D$23,2,FALSE)),"")</f>
        <v/>
      </c>
      <c r="R195" s="60">
        <f>IFERROR(IF(OR(ISBLANK(Q195),O195=0),"",Q195/O195),"")</f>
        <v/>
      </c>
      <c r="S195" s="60">
        <f>IFERROR(IF(ISBLANK(R195),S194,IF(ISNUMBER(S194),S194,0)+R195),"")</f>
        <v/>
      </c>
      <c r="T195" s="61">
        <f>IFERROR(IF(OR(ISBLANK(Q195),ISBLANK(L195)),"",Q195*L195*VLOOKUP(C195,設定!$B$9:$D$23,3,FALSE)),"")</f>
        <v/>
      </c>
      <c r="U195" s="55" t="n"/>
      <c r="V195" s="55" t="n"/>
    </row>
    <row r="196">
      <c r="A196" s="44">
        <f>IF(ISBLANK(B196),"",COUNTA($B$18:B196))</f>
        <v/>
      </c>
      <c r="B196" s="45" t="n"/>
      <c r="C196" s="46" t="n"/>
      <c r="D196" s="46" t="n"/>
      <c r="E196" s="44" t="n"/>
      <c r="F196" s="47" t="n"/>
      <c r="G196" s="47" t="n"/>
      <c r="H196" s="47" t="n"/>
      <c r="I196" s="47" t="n"/>
      <c r="J196" s="47" t="n"/>
      <c r="K196" s="47" t="n"/>
      <c r="L196" s="48" t="n"/>
      <c r="M196" s="47" t="n"/>
      <c r="N196" s="46" t="n"/>
      <c r="O196" s="49">
        <f>IFERROR(IF(OR(ISBLANK(G196),ISBLANK(I196)),"",ABS(G196-I196)/VLOOKUP(C196,設定!$B$9:$D$23,2,FALSE)),"")</f>
        <v/>
      </c>
      <c r="P196" s="48">
        <f>IFERROR(IF(OR(ISBLANK(F196),ISBLANK(H196),ISBLANK(J196)),"",ABS(J196-F196)/ABS(F196-H196)),"")</f>
        <v/>
      </c>
      <c r="Q196" s="50">
        <f>IFERROR(IF(OR(ISBLANK(M196),ISBLANK(D196),ISBLANK(G196)),"",IF(D196="Long",(M196-G196),(G196-M196))/VLOOKUP(C196,設定!$B$9:$D$23,2,FALSE)),"")</f>
        <v/>
      </c>
      <c r="R196" s="51">
        <f>IFERROR(IF(OR(ISBLANK(Q196),O196=0),"",Q196/O196),"")</f>
        <v/>
      </c>
      <c r="S196" s="51">
        <f>IFERROR(IF(ISBLANK(R196),S195,IF(ISNUMBER(S195),S195,0)+R196),"")</f>
        <v/>
      </c>
      <c r="T196" s="52">
        <f>IFERROR(IF(OR(ISBLANK(Q196),ISBLANK(L196)),"",Q196*L196*VLOOKUP(C196,設定!$B$9:$D$23,3,FALSE)),"")</f>
        <v/>
      </c>
      <c r="U196" s="46" t="n"/>
      <c r="V196" s="46" t="n"/>
    </row>
    <row r="197">
      <c r="A197" s="53">
        <f>IF(ISBLANK(B197),"",COUNTA($B$18:B197))</f>
        <v/>
      </c>
      <c r="B197" s="54" t="n"/>
      <c r="C197" s="55" t="n"/>
      <c r="D197" s="55" t="n"/>
      <c r="E197" s="53" t="n"/>
      <c r="F197" s="56" t="n"/>
      <c r="G197" s="56" t="n"/>
      <c r="H197" s="56" t="n"/>
      <c r="I197" s="56" t="n"/>
      <c r="J197" s="56" t="n"/>
      <c r="K197" s="56" t="n"/>
      <c r="L197" s="57" t="n"/>
      <c r="M197" s="56" t="n"/>
      <c r="N197" s="55" t="n"/>
      <c r="O197" s="58">
        <f>IFERROR(IF(OR(ISBLANK(G197),ISBLANK(I197)),"",ABS(G197-I197)/VLOOKUP(C197,設定!$B$9:$D$23,2,FALSE)),"")</f>
        <v/>
      </c>
      <c r="P197" s="57">
        <f>IFERROR(IF(OR(ISBLANK(F197),ISBLANK(H197),ISBLANK(J197)),"",ABS(J197-F197)/ABS(F197-H197)),"")</f>
        <v/>
      </c>
      <c r="Q197" s="59">
        <f>IFERROR(IF(OR(ISBLANK(M197),ISBLANK(D197),ISBLANK(G197)),"",IF(D197="Long",(M197-G197),(G197-M197))/VLOOKUP(C197,設定!$B$9:$D$23,2,FALSE)),"")</f>
        <v/>
      </c>
      <c r="R197" s="60">
        <f>IFERROR(IF(OR(ISBLANK(Q197),O197=0),"",Q197/O197),"")</f>
        <v/>
      </c>
      <c r="S197" s="60">
        <f>IFERROR(IF(ISBLANK(R197),S196,IF(ISNUMBER(S196),S196,0)+R197),"")</f>
        <v/>
      </c>
      <c r="T197" s="61">
        <f>IFERROR(IF(OR(ISBLANK(Q197),ISBLANK(L197)),"",Q197*L197*VLOOKUP(C197,設定!$B$9:$D$23,3,FALSE)),"")</f>
        <v/>
      </c>
      <c r="U197" s="55" t="n"/>
      <c r="V197" s="55" t="n"/>
    </row>
    <row r="198">
      <c r="A198" s="44">
        <f>IF(ISBLANK(B198),"",COUNTA($B$18:B198))</f>
        <v/>
      </c>
      <c r="B198" s="45" t="n"/>
      <c r="C198" s="46" t="n"/>
      <c r="D198" s="46" t="n"/>
      <c r="E198" s="44" t="n"/>
      <c r="F198" s="47" t="n"/>
      <c r="G198" s="47" t="n"/>
      <c r="H198" s="47" t="n"/>
      <c r="I198" s="47" t="n"/>
      <c r="J198" s="47" t="n"/>
      <c r="K198" s="47" t="n"/>
      <c r="L198" s="48" t="n"/>
      <c r="M198" s="47" t="n"/>
      <c r="N198" s="46" t="n"/>
      <c r="O198" s="49">
        <f>IFERROR(IF(OR(ISBLANK(G198),ISBLANK(I198)),"",ABS(G198-I198)/VLOOKUP(C198,設定!$B$9:$D$23,2,FALSE)),"")</f>
        <v/>
      </c>
      <c r="P198" s="48">
        <f>IFERROR(IF(OR(ISBLANK(F198),ISBLANK(H198),ISBLANK(J198)),"",ABS(J198-F198)/ABS(F198-H198)),"")</f>
        <v/>
      </c>
      <c r="Q198" s="50">
        <f>IFERROR(IF(OR(ISBLANK(M198),ISBLANK(D198),ISBLANK(G198)),"",IF(D198="Long",(M198-G198),(G198-M198))/VLOOKUP(C198,設定!$B$9:$D$23,2,FALSE)),"")</f>
        <v/>
      </c>
      <c r="R198" s="51">
        <f>IFERROR(IF(OR(ISBLANK(Q198),O198=0),"",Q198/O198),"")</f>
        <v/>
      </c>
      <c r="S198" s="51">
        <f>IFERROR(IF(ISBLANK(R198),S197,IF(ISNUMBER(S197),S197,0)+R198),"")</f>
        <v/>
      </c>
      <c r="T198" s="52">
        <f>IFERROR(IF(OR(ISBLANK(Q198),ISBLANK(L198)),"",Q198*L198*VLOOKUP(C198,設定!$B$9:$D$23,3,FALSE)),"")</f>
        <v/>
      </c>
      <c r="U198" s="46" t="n"/>
      <c r="V198" s="46" t="n"/>
    </row>
    <row r="199">
      <c r="A199" s="53">
        <f>IF(ISBLANK(B199),"",COUNTA($B$18:B199))</f>
        <v/>
      </c>
      <c r="B199" s="54" t="n"/>
      <c r="C199" s="55" t="n"/>
      <c r="D199" s="55" t="n"/>
      <c r="E199" s="53" t="n"/>
      <c r="F199" s="56" t="n"/>
      <c r="G199" s="56" t="n"/>
      <c r="H199" s="56" t="n"/>
      <c r="I199" s="56" t="n"/>
      <c r="J199" s="56" t="n"/>
      <c r="K199" s="56" t="n"/>
      <c r="L199" s="57" t="n"/>
      <c r="M199" s="56" t="n"/>
      <c r="N199" s="55" t="n"/>
      <c r="O199" s="58">
        <f>IFERROR(IF(OR(ISBLANK(G199),ISBLANK(I199)),"",ABS(G199-I199)/VLOOKUP(C199,設定!$B$9:$D$23,2,FALSE)),"")</f>
        <v/>
      </c>
      <c r="P199" s="57">
        <f>IFERROR(IF(OR(ISBLANK(F199),ISBLANK(H199),ISBLANK(J199)),"",ABS(J199-F199)/ABS(F199-H199)),"")</f>
        <v/>
      </c>
      <c r="Q199" s="59">
        <f>IFERROR(IF(OR(ISBLANK(M199),ISBLANK(D199),ISBLANK(G199)),"",IF(D199="Long",(M199-G199),(G199-M199))/VLOOKUP(C199,設定!$B$9:$D$23,2,FALSE)),"")</f>
        <v/>
      </c>
      <c r="R199" s="60">
        <f>IFERROR(IF(OR(ISBLANK(Q199),O199=0),"",Q199/O199),"")</f>
        <v/>
      </c>
      <c r="S199" s="60">
        <f>IFERROR(IF(ISBLANK(R199),S198,IF(ISNUMBER(S198),S198,0)+R199),"")</f>
        <v/>
      </c>
      <c r="T199" s="61">
        <f>IFERROR(IF(OR(ISBLANK(Q199),ISBLANK(L199)),"",Q199*L199*VLOOKUP(C199,設定!$B$9:$D$23,3,FALSE)),"")</f>
        <v/>
      </c>
      <c r="U199" s="55" t="n"/>
      <c r="V199" s="55" t="n"/>
    </row>
    <row r="200">
      <c r="A200" s="44">
        <f>IF(ISBLANK(B200),"",COUNTA($B$18:B200))</f>
        <v/>
      </c>
      <c r="B200" s="45" t="n"/>
      <c r="C200" s="46" t="n"/>
      <c r="D200" s="46" t="n"/>
      <c r="E200" s="44" t="n"/>
      <c r="F200" s="47" t="n"/>
      <c r="G200" s="47" t="n"/>
      <c r="H200" s="47" t="n"/>
      <c r="I200" s="47" t="n"/>
      <c r="J200" s="47" t="n"/>
      <c r="K200" s="47" t="n"/>
      <c r="L200" s="48" t="n"/>
      <c r="M200" s="47" t="n"/>
      <c r="N200" s="46" t="n"/>
      <c r="O200" s="49">
        <f>IFERROR(IF(OR(ISBLANK(G200),ISBLANK(I200)),"",ABS(G200-I200)/VLOOKUP(C200,設定!$B$9:$D$23,2,FALSE)),"")</f>
        <v/>
      </c>
      <c r="P200" s="48">
        <f>IFERROR(IF(OR(ISBLANK(F200),ISBLANK(H200),ISBLANK(J200)),"",ABS(J200-F200)/ABS(F200-H200)),"")</f>
        <v/>
      </c>
      <c r="Q200" s="50">
        <f>IFERROR(IF(OR(ISBLANK(M200),ISBLANK(D200),ISBLANK(G200)),"",IF(D200="Long",(M200-G200),(G200-M200))/VLOOKUP(C200,設定!$B$9:$D$23,2,FALSE)),"")</f>
        <v/>
      </c>
      <c r="R200" s="51">
        <f>IFERROR(IF(OR(ISBLANK(Q200),O200=0),"",Q200/O200),"")</f>
        <v/>
      </c>
      <c r="S200" s="51">
        <f>IFERROR(IF(ISBLANK(R200),S199,IF(ISNUMBER(S199),S199,0)+R200),"")</f>
        <v/>
      </c>
      <c r="T200" s="52">
        <f>IFERROR(IF(OR(ISBLANK(Q200),ISBLANK(L200)),"",Q200*L200*VLOOKUP(C200,設定!$B$9:$D$23,3,FALSE)),"")</f>
        <v/>
      </c>
      <c r="U200" s="46" t="n"/>
      <c r="V200" s="46" t="n"/>
    </row>
    <row r="201">
      <c r="A201" s="53">
        <f>IF(ISBLANK(B201),"",COUNTA($B$18:B201))</f>
        <v/>
      </c>
      <c r="B201" s="54" t="n"/>
      <c r="C201" s="55" t="n"/>
      <c r="D201" s="55" t="n"/>
      <c r="E201" s="53" t="n"/>
      <c r="F201" s="56" t="n"/>
      <c r="G201" s="56" t="n"/>
      <c r="H201" s="56" t="n"/>
      <c r="I201" s="56" t="n"/>
      <c r="J201" s="56" t="n"/>
      <c r="K201" s="56" t="n"/>
      <c r="L201" s="57" t="n"/>
      <c r="M201" s="56" t="n"/>
      <c r="N201" s="55" t="n"/>
      <c r="O201" s="58">
        <f>IFERROR(IF(OR(ISBLANK(G201),ISBLANK(I201)),"",ABS(G201-I201)/VLOOKUP(C201,設定!$B$9:$D$23,2,FALSE)),"")</f>
        <v/>
      </c>
      <c r="P201" s="57">
        <f>IFERROR(IF(OR(ISBLANK(F201),ISBLANK(H201),ISBLANK(J201)),"",ABS(J201-F201)/ABS(F201-H201)),"")</f>
        <v/>
      </c>
      <c r="Q201" s="59">
        <f>IFERROR(IF(OR(ISBLANK(M201),ISBLANK(D201),ISBLANK(G201)),"",IF(D201="Long",(M201-G201),(G201-M201))/VLOOKUP(C201,設定!$B$9:$D$23,2,FALSE)),"")</f>
        <v/>
      </c>
      <c r="R201" s="60">
        <f>IFERROR(IF(OR(ISBLANK(Q201),O201=0),"",Q201/O201),"")</f>
        <v/>
      </c>
      <c r="S201" s="60">
        <f>IFERROR(IF(ISBLANK(R201),S200,IF(ISNUMBER(S200),S200,0)+R201),"")</f>
        <v/>
      </c>
      <c r="T201" s="61">
        <f>IFERROR(IF(OR(ISBLANK(Q201),ISBLANK(L201)),"",Q201*L201*VLOOKUP(C201,設定!$B$9:$D$23,3,FALSE)),"")</f>
        <v/>
      </c>
      <c r="U201" s="55" t="n"/>
      <c r="V201" s="55" t="n"/>
    </row>
    <row r="202">
      <c r="A202" s="44">
        <f>IF(ISBLANK(B202),"",COUNTA($B$18:B202))</f>
        <v/>
      </c>
      <c r="B202" s="45" t="n"/>
      <c r="C202" s="46" t="n"/>
      <c r="D202" s="46" t="n"/>
      <c r="E202" s="44" t="n"/>
      <c r="F202" s="47" t="n"/>
      <c r="G202" s="47" t="n"/>
      <c r="H202" s="47" t="n"/>
      <c r="I202" s="47" t="n"/>
      <c r="J202" s="47" t="n"/>
      <c r="K202" s="47" t="n"/>
      <c r="L202" s="48" t="n"/>
      <c r="M202" s="47" t="n"/>
      <c r="N202" s="46" t="n"/>
      <c r="O202" s="49">
        <f>IFERROR(IF(OR(ISBLANK(G202),ISBLANK(I202)),"",ABS(G202-I202)/VLOOKUP(C202,設定!$B$9:$D$23,2,FALSE)),"")</f>
        <v/>
      </c>
      <c r="P202" s="48">
        <f>IFERROR(IF(OR(ISBLANK(F202),ISBLANK(H202),ISBLANK(J202)),"",ABS(J202-F202)/ABS(F202-H202)),"")</f>
        <v/>
      </c>
      <c r="Q202" s="50">
        <f>IFERROR(IF(OR(ISBLANK(M202),ISBLANK(D202),ISBLANK(G202)),"",IF(D202="Long",(M202-G202),(G202-M202))/VLOOKUP(C202,設定!$B$9:$D$23,2,FALSE)),"")</f>
        <v/>
      </c>
      <c r="R202" s="51">
        <f>IFERROR(IF(OR(ISBLANK(Q202),O202=0),"",Q202/O202),"")</f>
        <v/>
      </c>
      <c r="S202" s="51">
        <f>IFERROR(IF(ISBLANK(R202),S201,IF(ISNUMBER(S201),S201,0)+R202),"")</f>
        <v/>
      </c>
      <c r="T202" s="52">
        <f>IFERROR(IF(OR(ISBLANK(Q202),ISBLANK(L202)),"",Q202*L202*VLOOKUP(C202,設定!$B$9:$D$23,3,FALSE)),"")</f>
        <v/>
      </c>
      <c r="U202" s="46" t="n"/>
      <c r="V202" s="46" t="n"/>
    </row>
    <row r="203">
      <c r="A203" s="53">
        <f>IF(ISBLANK(B203),"",COUNTA($B$18:B203))</f>
        <v/>
      </c>
      <c r="B203" s="54" t="n"/>
      <c r="C203" s="55" t="n"/>
      <c r="D203" s="55" t="n"/>
      <c r="E203" s="53" t="n"/>
      <c r="F203" s="56" t="n"/>
      <c r="G203" s="56" t="n"/>
      <c r="H203" s="56" t="n"/>
      <c r="I203" s="56" t="n"/>
      <c r="J203" s="56" t="n"/>
      <c r="K203" s="56" t="n"/>
      <c r="L203" s="57" t="n"/>
      <c r="M203" s="56" t="n"/>
      <c r="N203" s="55" t="n"/>
      <c r="O203" s="58">
        <f>IFERROR(IF(OR(ISBLANK(G203),ISBLANK(I203)),"",ABS(G203-I203)/VLOOKUP(C203,設定!$B$9:$D$23,2,FALSE)),"")</f>
        <v/>
      </c>
      <c r="P203" s="57">
        <f>IFERROR(IF(OR(ISBLANK(F203),ISBLANK(H203),ISBLANK(J203)),"",ABS(J203-F203)/ABS(F203-H203)),"")</f>
        <v/>
      </c>
      <c r="Q203" s="59">
        <f>IFERROR(IF(OR(ISBLANK(M203),ISBLANK(D203),ISBLANK(G203)),"",IF(D203="Long",(M203-G203),(G203-M203))/VLOOKUP(C203,設定!$B$9:$D$23,2,FALSE)),"")</f>
        <v/>
      </c>
      <c r="R203" s="60">
        <f>IFERROR(IF(OR(ISBLANK(Q203),O203=0),"",Q203/O203),"")</f>
        <v/>
      </c>
      <c r="S203" s="60">
        <f>IFERROR(IF(ISBLANK(R203),S202,IF(ISNUMBER(S202),S202,0)+R203),"")</f>
        <v/>
      </c>
      <c r="T203" s="61">
        <f>IFERROR(IF(OR(ISBLANK(Q203),ISBLANK(L203)),"",Q203*L203*VLOOKUP(C203,設定!$B$9:$D$23,3,FALSE)),"")</f>
        <v/>
      </c>
      <c r="U203" s="55" t="n"/>
      <c r="V203" s="55" t="n"/>
    </row>
    <row r="204">
      <c r="A204" s="44">
        <f>IF(ISBLANK(B204),"",COUNTA($B$18:B204))</f>
        <v/>
      </c>
      <c r="B204" s="45" t="n"/>
      <c r="C204" s="46" t="n"/>
      <c r="D204" s="46" t="n"/>
      <c r="E204" s="44" t="n"/>
      <c r="F204" s="47" t="n"/>
      <c r="G204" s="47" t="n"/>
      <c r="H204" s="47" t="n"/>
      <c r="I204" s="47" t="n"/>
      <c r="J204" s="47" t="n"/>
      <c r="K204" s="47" t="n"/>
      <c r="L204" s="48" t="n"/>
      <c r="M204" s="47" t="n"/>
      <c r="N204" s="46" t="n"/>
      <c r="O204" s="49">
        <f>IFERROR(IF(OR(ISBLANK(G204),ISBLANK(I204)),"",ABS(G204-I204)/VLOOKUP(C204,設定!$B$9:$D$23,2,FALSE)),"")</f>
        <v/>
      </c>
      <c r="P204" s="48">
        <f>IFERROR(IF(OR(ISBLANK(F204),ISBLANK(H204),ISBLANK(J204)),"",ABS(J204-F204)/ABS(F204-H204)),"")</f>
        <v/>
      </c>
      <c r="Q204" s="50">
        <f>IFERROR(IF(OR(ISBLANK(M204),ISBLANK(D204),ISBLANK(G204)),"",IF(D204="Long",(M204-G204),(G204-M204))/VLOOKUP(C204,設定!$B$9:$D$23,2,FALSE)),"")</f>
        <v/>
      </c>
      <c r="R204" s="51">
        <f>IFERROR(IF(OR(ISBLANK(Q204),O204=0),"",Q204/O204),"")</f>
        <v/>
      </c>
      <c r="S204" s="51">
        <f>IFERROR(IF(ISBLANK(R204),S203,IF(ISNUMBER(S203),S203,0)+R204),"")</f>
        <v/>
      </c>
      <c r="T204" s="52">
        <f>IFERROR(IF(OR(ISBLANK(Q204),ISBLANK(L204)),"",Q204*L204*VLOOKUP(C204,設定!$B$9:$D$23,3,FALSE)),"")</f>
        <v/>
      </c>
      <c r="U204" s="46" t="n"/>
      <c r="V204" s="46" t="n"/>
    </row>
    <row r="205">
      <c r="A205" s="53">
        <f>IF(ISBLANK(B205),"",COUNTA($B$18:B205))</f>
        <v/>
      </c>
      <c r="B205" s="54" t="n"/>
      <c r="C205" s="55" t="n"/>
      <c r="D205" s="55" t="n"/>
      <c r="E205" s="53" t="n"/>
      <c r="F205" s="56" t="n"/>
      <c r="G205" s="56" t="n"/>
      <c r="H205" s="56" t="n"/>
      <c r="I205" s="56" t="n"/>
      <c r="J205" s="56" t="n"/>
      <c r="K205" s="56" t="n"/>
      <c r="L205" s="57" t="n"/>
      <c r="M205" s="56" t="n"/>
      <c r="N205" s="55" t="n"/>
      <c r="O205" s="58">
        <f>IFERROR(IF(OR(ISBLANK(G205),ISBLANK(I205)),"",ABS(G205-I205)/VLOOKUP(C205,設定!$B$9:$D$23,2,FALSE)),"")</f>
        <v/>
      </c>
      <c r="P205" s="57">
        <f>IFERROR(IF(OR(ISBLANK(F205),ISBLANK(H205),ISBLANK(J205)),"",ABS(J205-F205)/ABS(F205-H205)),"")</f>
        <v/>
      </c>
      <c r="Q205" s="59">
        <f>IFERROR(IF(OR(ISBLANK(M205),ISBLANK(D205),ISBLANK(G205)),"",IF(D205="Long",(M205-G205),(G205-M205))/VLOOKUP(C205,設定!$B$9:$D$23,2,FALSE)),"")</f>
        <v/>
      </c>
      <c r="R205" s="60">
        <f>IFERROR(IF(OR(ISBLANK(Q205),O205=0),"",Q205/O205),"")</f>
        <v/>
      </c>
      <c r="S205" s="60">
        <f>IFERROR(IF(ISBLANK(R205),S204,IF(ISNUMBER(S204),S204,0)+R205),"")</f>
        <v/>
      </c>
      <c r="T205" s="61">
        <f>IFERROR(IF(OR(ISBLANK(Q205),ISBLANK(L205)),"",Q205*L205*VLOOKUP(C205,設定!$B$9:$D$23,3,FALSE)),"")</f>
        <v/>
      </c>
      <c r="U205" s="55" t="n"/>
      <c r="V205" s="55" t="n"/>
    </row>
    <row r="206">
      <c r="A206" s="44">
        <f>IF(ISBLANK(B206),"",COUNTA($B$18:B206))</f>
        <v/>
      </c>
      <c r="B206" s="45" t="n"/>
      <c r="C206" s="46" t="n"/>
      <c r="D206" s="46" t="n"/>
      <c r="E206" s="44" t="n"/>
      <c r="F206" s="47" t="n"/>
      <c r="G206" s="47" t="n"/>
      <c r="H206" s="47" t="n"/>
      <c r="I206" s="47" t="n"/>
      <c r="J206" s="47" t="n"/>
      <c r="K206" s="47" t="n"/>
      <c r="L206" s="48" t="n"/>
      <c r="M206" s="47" t="n"/>
      <c r="N206" s="46" t="n"/>
      <c r="O206" s="49">
        <f>IFERROR(IF(OR(ISBLANK(G206),ISBLANK(I206)),"",ABS(G206-I206)/VLOOKUP(C206,設定!$B$9:$D$23,2,FALSE)),"")</f>
        <v/>
      </c>
      <c r="P206" s="48">
        <f>IFERROR(IF(OR(ISBLANK(F206),ISBLANK(H206),ISBLANK(J206)),"",ABS(J206-F206)/ABS(F206-H206)),"")</f>
        <v/>
      </c>
      <c r="Q206" s="50">
        <f>IFERROR(IF(OR(ISBLANK(M206),ISBLANK(D206),ISBLANK(G206)),"",IF(D206="Long",(M206-G206),(G206-M206))/VLOOKUP(C206,設定!$B$9:$D$23,2,FALSE)),"")</f>
        <v/>
      </c>
      <c r="R206" s="51">
        <f>IFERROR(IF(OR(ISBLANK(Q206),O206=0),"",Q206/O206),"")</f>
        <v/>
      </c>
      <c r="S206" s="51">
        <f>IFERROR(IF(ISBLANK(R206),S205,IF(ISNUMBER(S205),S205,0)+R206),"")</f>
        <v/>
      </c>
      <c r="T206" s="52">
        <f>IFERROR(IF(OR(ISBLANK(Q206),ISBLANK(L206)),"",Q206*L206*VLOOKUP(C206,設定!$B$9:$D$23,3,FALSE)),"")</f>
        <v/>
      </c>
      <c r="U206" s="46" t="n"/>
      <c r="V206" s="46" t="n"/>
    </row>
    <row r="207">
      <c r="A207" s="53">
        <f>IF(ISBLANK(B207),"",COUNTA($B$18:B207))</f>
        <v/>
      </c>
      <c r="B207" s="54" t="n"/>
      <c r="C207" s="55" t="n"/>
      <c r="D207" s="55" t="n"/>
      <c r="E207" s="53" t="n"/>
      <c r="F207" s="56" t="n"/>
      <c r="G207" s="56" t="n"/>
      <c r="H207" s="56" t="n"/>
      <c r="I207" s="56" t="n"/>
      <c r="J207" s="56" t="n"/>
      <c r="K207" s="56" t="n"/>
      <c r="L207" s="57" t="n"/>
      <c r="M207" s="56" t="n"/>
      <c r="N207" s="55" t="n"/>
      <c r="O207" s="58">
        <f>IFERROR(IF(OR(ISBLANK(G207),ISBLANK(I207)),"",ABS(G207-I207)/VLOOKUP(C207,設定!$B$9:$D$23,2,FALSE)),"")</f>
        <v/>
      </c>
      <c r="P207" s="57">
        <f>IFERROR(IF(OR(ISBLANK(F207),ISBLANK(H207),ISBLANK(J207)),"",ABS(J207-F207)/ABS(F207-H207)),"")</f>
        <v/>
      </c>
      <c r="Q207" s="59">
        <f>IFERROR(IF(OR(ISBLANK(M207),ISBLANK(D207),ISBLANK(G207)),"",IF(D207="Long",(M207-G207),(G207-M207))/VLOOKUP(C207,設定!$B$9:$D$23,2,FALSE)),"")</f>
        <v/>
      </c>
      <c r="R207" s="60">
        <f>IFERROR(IF(OR(ISBLANK(Q207),O207=0),"",Q207/O207),"")</f>
        <v/>
      </c>
      <c r="S207" s="60">
        <f>IFERROR(IF(ISBLANK(R207),S206,IF(ISNUMBER(S206),S206,0)+R207),"")</f>
        <v/>
      </c>
      <c r="T207" s="61">
        <f>IFERROR(IF(OR(ISBLANK(Q207),ISBLANK(L207)),"",Q207*L207*VLOOKUP(C207,設定!$B$9:$D$23,3,FALSE)),"")</f>
        <v/>
      </c>
      <c r="U207" s="55" t="n"/>
      <c r="V207" s="55" t="n"/>
    </row>
    <row r="208">
      <c r="A208" s="44">
        <f>IF(ISBLANK(B208),"",COUNTA($B$18:B208))</f>
        <v/>
      </c>
      <c r="B208" s="45" t="n"/>
      <c r="C208" s="46" t="n"/>
      <c r="D208" s="46" t="n"/>
      <c r="E208" s="44" t="n"/>
      <c r="F208" s="47" t="n"/>
      <c r="G208" s="47" t="n"/>
      <c r="H208" s="47" t="n"/>
      <c r="I208" s="47" t="n"/>
      <c r="J208" s="47" t="n"/>
      <c r="K208" s="47" t="n"/>
      <c r="L208" s="48" t="n"/>
      <c r="M208" s="47" t="n"/>
      <c r="N208" s="46" t="n"/>
      <c r="O208" s="49">
        <f>IFERROR(IF(OR(ISBLANK(G208),ISBLANK(I208)),"",ABS(G208-I208)/VLOOKUP(C208,設定!$B$9:$D$23,2,FALSE)),"")</f>
        <v/>
      </c>
      <c r="P208" s="48">
        <f>IFERROR(IF(OR(ISBLANK(F208),ISBLANK(H208),ISBLANK(J208)),"",ABS(J208-F208)/ABS(F208-H208)),"")</f>
        <v/>
      </c>
      <c r="Q208" s="50">
        <f>IFERROR(IF(OR(ISBLANK(M208),ISBLANK(D208),ISBLANK(G208)),"",IF(D208="Long",(M208-G208),(G208-M208))/VLOOKUP(C208,設定!$B$9:$D$23,2,FALSE)),"")</f>
        <v/>
      </c>
      <c r="R208" s="51">
        <f>IFERROR(IF(OR(ISBLANK(Q208),O208=0),"",Q208/O208),"")</f>
        <v/>
      </c>
      <c r="S208" s="51">
        <f>IFERROR(IF(ISBLANK(R208),S207,IF(ISNUMBER(S207),S207,0)+R208),"")</f>
        <v/>
      </c>
      <c r="T208" s="52">
        <f>IFERROR(IF(OR(ISBLANK(Q208),ISBLANK(L208)),"",Q208*L208*VLOOKUP(C208,設定!$B$9:$D$23,3,FALSE)),"")</f>
        <v/>
      </c>
      <c r="U208" s="46" t="n"/>
      <c r="V208" s="46" t="n"/>
    </row>
    <row r="209">
      <c r="A209" s="53">
        <f>IF(ISBLANK(B209),"",COUNTA($B$18:B209))</f>
        <v/>
      </c>
      <c r="B209" s="54" t="n"/>
      <c r="C209" s="55" t="n"/>
      <c r="D209" s="55" t="n"/>
      <c r="E209" s="53" t="n"/>
      <c r="F209" s="56" t="n"/>
      <c r="G209" s="56" t="n"/>
      <c r="H209" s="56" t="n"/>
      <c r="I209" s="56" t="n"/>
      <c r="J209" s="56" t="n"/>
      <c r="K209" s="56" t="n"/>
      <c r="L209" s="57" t="n"/>
      <c r="M209" s="56" t="n"/>
      <c r="N209" s="55" t="n"/>
      <c r="O209" s="58">
        <f>IFERROR(IF(OR(ISBLANK(G209),ISBLANK(I209)),"",ABS(G209-I209)/VLOOKUP(C209,設定!$B$9:$D$23,2,FALSE)),"")</f>
        <v/>
      </c>
      <c r="P209" s="57">
        <f>IFERROR(IF(OR(ISBLANK(F209),ISBLANK(H209),ISBLANK(J209)),"",ABS(J209-F209)/ABS(F209-H209)),"")</f>
        <v/>
      </c>
      <c r="Q209" s="59">
        <f>IFERROR(IF(OR(ISBLANK(M209),ISBLANK(D209),ISBLANK(G209)),"",IF(D209="Long",(M209-G209),(G209-M209))/VLOOKUP(C209,設定!$B$9:$D$23,2,FALSE)),"")</f>
        <v/>
      </c>
      <c r="R209" s="60">
        <f>IFERROR(IF(OR(ISBLANK(Q209),O209=0),"",Q209/O209),"")</f>
        <v/>
      </c>
      <c r="S209" s="60">
        <f>IFERROR(IF(ISBLANK(R209),S208,IF(ISNUMBER(S208),S208,0)+R209),"")</f>
        <v/>
      </c>
      <c r="T209" s="61">
        <f>IFERROR(IF(OR(ISBLANK(Q209),ISBLANK(L209)),"",Q209*L209*VLOOKUP(C209,設定!$B$9:$D$23,3,FALSE)),"")</f>
        <v/>
      </c>
      <c r="U209" s="55" t="n"/>
      <c r="V209" s="55" t="n"/>
    </row>
    <row r="210">
      <c r="A210" s="44">
        <f>IF(ISBLANK(B210),"",COUNTA($B$18:B210))</f>
        <v/>
      </c>
      <c r="B210" s="45" t="n"/>
      <c r="C210" s="46" t="n"/>
      <c r="D210" s="46" t="n"/>
      <c r="E210" s="44" t="n"/>
      <c r="F210" s="47" t="n"/>
      <c r="G210" s="47" t="n"/>
      <c r="H210" s="47" t="n"/>
      <c r="I210" s="47" t="n"/>
      <c r="J210" s="47" t="n"/>
      <c r="K210" s="47" t="n"/>
      <c r="L210" s="48" t="n"/>
      <c r="M210" s="47" t="n"/>
      <c r="N210" s="46" t="n"/>
      <c r="O210" s="49">
        <f>IFERROR(IF(OR(ISBLANK(G210),ISBLANK(I210)),"",ABS(G210-I210)/VLOOKUP(C210,設定!$B$9:$D$23,2,FALSE)),"")</f>
        <v/>
      </c>
      <c r="P210" s="48">
        <f>IFERROR(IF(OR(ISBLANK(F210),ISBLANK(H210),ISBLANK(J210)),"",ABS(J210-F210)/ABS(F210-H210)),"")</f>
        <v/>
      </c>
      <c r="Q210" s="50">
        <f>IFERROR(IF(OR(ISBLANK(M210),ISBLANK(D210),ISBLANK(G210)),"",IF(D210="Long",(M210-G210),(G210-M210))/VLOOKUP(C210,設定!$B$9:$D$23,2,FALSE)),"")</f>
        <v/>
      </c>
      <c r="R210" s="51">
        <f>IFERROR(IF(OR(ISBLANK(Q210),O210=0),"",Q210/O210),"")</f>
        <v/>
      </c>
      <c r="S210" s="51">
        <f>IFERROR(IF(ISBLANK(R210),S209,IF(ISNUMBER(S209),S209,0)+R210),"")</f>
        <v/>
      </c>
      <c r="T210" s="52">
        <f>IFERROR(IF(OR(ISBLANK(Q210),ISBLANK(L210)),"",Q210*L210*VLOOKUP(C210,設定!$B$9:$D$23,3,FALSE)),"")</f>
        <v/>
      </c>
      <c r="U210" s="46" t="n"/>
      <c r="V210" s="46" t="n"/>
    </row>
    <row r="211">
      <c r="A211" s="53">
        <f>IF(ISBLANK(B211),"",COUNTA($B$18:B211))</f>
        <v/>
      </c>
      <c r="B211" s="54" t="n"/>
      <c r="C211" s="55" t="n"/>
      <c r="D211" s="55" t="n"/>
      <c r="E211" s="53" t="n"/>
      <c r="F211" s="56" t="n"/>
      <c r="G211" s="56" t="n"/>
      <c r="H211" s="56" t="n"/>
      <c r="I211" s="56" t="n"/>
      <c r="J211" s="56" t="n"/>
      <c r="K211" s="56" t="n"/>
      <c r="L211" s="57" t="n"/>
      <c r="M211" s="56" t="n"/>
      <c r="N211" s="55" t="n"/>
      <c r="O211" s="58">
        <f>IFERROR(IF(OR(ISBLANK(G211),ISBLANK(I211)),"",ABS(G211-I211)/VLOOKUP(C211,設定!$B$9:$D$23,2,FALSE)),"")</f>
        <v/>
      </c>
      <c r="P211" s="57">
        <f>IFERROR(IF(OR(ISBLANK(F211),ISBLANK(H211),ISBLANK(J211)),"",ABS(J211-F211)/ABS(F211-H211)),"")</f>
        <v/>
      </c>
      <c r="Q211" s="59">
        <f>IFERROR(IF(OR(ISBLANK(M211),ISBLANK(D211),ISBLANK(G211)),"",IF(D211="Long",(M211-G211),(G211-M211))/VLOOKUP(C211,設定!$B$9:$D$23,2,FALSE)),"")</f>
        <v/>
      </c>
      <c r="R211" s="60">
        <f>IFERROR(IF(OR(ISBLANK(Q211),O211=0),"",Q211/O211),"")</f>
        <v/>
      </c>
      <c r="S211" s="60">
        <f>IFERROR(IF(ISBLANK(R211),S210,IF(ISNUMBER(S210),S210,0)+R211),"")</f>
        <v/>
      </c>
      <c r="T211" s="61">
        <f>IFERROR(IF(OR(ISBLANK(Q211),ISBLANK(L211)),"",Q211*L211*VLOOKUP(C211,設定!$B$9:$D$23,3,FALSE)),"")</f>
        <v/>
      </c>
      <c r="U211" s="55" t="n"/>
      <c r="V211" s="55" t="n"/>
    </row>
    <row r="212">
      <c r="A212" s="44">
        <f>IF(ISBLANK(B212),"",COUNTA($B$18:B212))</f>
        <v/>
      </c>
      <c r="B212" s="45" t="n"/>
      <c r="C212" s="46" t="n"/>
      <c r="D212" s="46" t="n"/>
      <c r="E212" s="44" t="n"/>
      <c r="F212" s="47" t="n"/>
      <c r="G212" s="47" t="n"/>
      <c r="H212" s="47" t="n"/>
      <c r="I212" s="47" t="n"/>
      <c r="J212" s="47" t="n"/>
      <c r="K212" s="47" t="n"/>
      <c r="L212" s="48" t="n"/>
      <c r="M212" s="47" t="n"/>
      <c r="N212" s="46" t="n"/>
      <c r="O212" s="49">
        <f>IFERROR(IF(OR(ISBLANK(G212),ISBLANK(I212)),"",ABS(G212-I212)/VLOOKUP(C212,設定!$B$9:$D$23,2,FALSE)),"")</f>
        <v/>
      </c>
      <c r="P212" s="48">
        <f>IFERROR(IF(OR(ISBLANK(F212),ISBLANK(H212),ISBLANK(J212)),"",ABS(J212-F212)/ABS(F212-H212)),"")</f>
        <v/>
      </c>
      <c r="Q212" s="50">
        <f>IFERROR(IF(OR(ISBLANK(M212),ISBLANK(D212),ISBLANK(G212)),"",IF(D212="Long",(M212-G212),(G212-M212))/VLOOKUP(C212,設定!$B$9:$D$23,2,FALSE)),"")</f>
        <v/>
      </c>
      <c r="R212" s="51">
        <f>IFERROR(IF(OR(ISBLANK(Q212),O212=0),"",Q212/O212),"")</f>
        <v/>
      </c>
      <c r="S212" s="51">
        <f>IFERROR(IF(ISBLANK(R212),S211,IF(ISNUMBER(S211),S211,0)+R212),"")</f>
        <v/>
      </c>
      <c r="T212" s="52">
        <f>IFERROR(IF(OR(ISBLANK(Q212),ISBLANK(L212)),"",Q212*L212*VLOOKUP(C212,設定!$B$9:$D$23,3,FALSE)),"")</f>
        <v/>
      </c>
      <c r="U212" s="46" t="n"/>
      <c r="V212" s="46" t="n"/>
    </row>
    <row r="213">
      <c r="A213" s="53">
        <f>IF(ISBLANK(B213),"",COUNTA($B$18:B213))</f>
        <v/>
      </c>
      <c r="B213" s="54" t="n"/>
      <c r="C213" s="55" t="n"/>
      <c r="D213" s="55" t="n"/>
      <c r="E213" s="53" t="n"/>
      <c r="F213" s="56" t="n"/>
      <c r="G213" s="56" t="n"/>
      <c r="H213" s="56" t="n"/>
      <c r="I213" s="56" t="n"/>
      <c r="J213" s="56" t="n"/>
      <c r="K213" s="56" t="n"/>
      <c r="L213" s="57" t="n"/>
      <c r="M213" s="56" t="n"/>
      <c r="N213" s="55" t="n"/>
      <c r="O213" s="58">
        <f>IFERROR(IF(OR(ISBLANK(G213),ISBLANK(I213)),"",ABS(G213-I213)/VLOOKUP(C213,設定!$B$9:$D$23,2,FALSE)),"")</f>
        <v/>
      </c>
      <c r="P213" s="57">
        <f>IFERROR(IF(OR(ISBLANK(F213),ISBLANK(H213),ISBLANK(J213)),"",ABS(J213-F213)/ABS(F213-H213)),"")</f>
        <v/>
      </c>
      <c r="Q213" s="59">
        <f>IFERROR(IF(OR(ISBLANK(M213),ISBLANK(D213),ISBLANK(G213)),"",IF(D213="Long",(M213-G213),(G213-M213))/VLOOKUP(C213,設定!$B$9:$D$23,2,FALSE)),"")</f>
        <v/>
      </c>
      <c r="R213" s="60">
        <f>IFERROR(IF(OR(ISBLANK(Q213),O213=0),"",Q213/O213),"")</f>
        <v/>
      </c>
      <c r="S213" s="60">
        <f>IFERROR(IF(ISBLANK(R213),S212,IF(ISNUMBER(S212),S212,0)+R213),"")</f>
        <v/>
      </c>
      <c r="T213" s="61">
        <f>IFERROR(IF(OR(ISBLANK(Q213),ISBLANK(L213)),"",Q213*L213*VLOOKUP(C213,設定!$B$9:$D$23,3,FALSE)),"")</f>
        <v/>
      </c>
      <c r="U213" s="55" t="n"/>
      <c r="V213" s="55" t="n"/>
    </row>
    <row r="214">
      <c r="A214" s="44">
        <f>IF(ISBLANK(B214),"",COUNTA($B$18:B214))</f>
        <v/>
      </c>
      <c r="B214" s="45" t="n"/>
      <c r="C214" s="46" t="n"/>
      <c r="D214" s="46" t="n"/>
      <c r="E214" s="44" t="n"/>
      <c r="F214" s="47" t="n"/>
      <c r="G214" s="47" t="n"/>
      <c r="H214" s="47" t="n"/>
      <c r="I214" s="47" t="n"/>
      <c r="J214" s="47" t="n"/>
      <c r="K214" s="47" t="n"/>
      <c r="L214" s="48" t="n"/>
      <c r="M214" s="47" t="n"/>
      <c r="N214" s="46" t="n"/>
      <c r="O214" s="49">
        <f>IFERROR(IF(OR(ISBLANK(G214),ISBLANK(I214)),"",ABS(G214-I214)/VLOOKUP(C214,設定!$B$9:$D$23,2,FALSE)),"")</f>
        <v/>
      </c>
      <c r="P214" s="48">
        <f>IFERROR(IF(OR(ISBLANK(F214),ISBLANK(H214),ISBLANK(J214)),"",ABS(J214-F214)/ABS(F214-H214)),"")</f>
        <v/>
      </c>
      <c r="Q214" s="50">
        <f>IFERROR(IF(OR(ISBLANK(M214),ISBLANK(D214),ISBLANK(G214)),"",IF(D214="Long",(M214-G214),(G214-M214))/VLOOKUP(C214,設定!$B$9:$D$23,2,FALSE)),"")</f>
        <v/>
      </c>
      <c r="R214" s="51">
        <f>IFERROR(IF(OR(ISBLANK(Q214),O214=0),"",Q214/O214),"")</f>
        <v/>
      </c>
      <c r="S214" s="51">
        <f>IFERROR(IF(ISBLANK(R214),S213,IF(ISNUMBER(S213),S213,0)+R214),"")</f>
        <v/>
      </c>
      <c r="T214" s="52">
        <f>IFERROR(IF(OR(ISBLANK(Q214),ISBLANK(L214)),"",Q214*L214*VLOOKUP(C214,設定!$B$9:$D$23,3,FALSE)),"")</f>
        <v/>
      </c>
      <c r="U214" s="46" t="n"/>
      <c r="V214" s="46" t="n"/>
    </row>
    <row r="215">
      <c r="A215" s="53">
        <f>IF(ISBLANK(B215),"",COUNTA($B$18:B215))</f>
        <v/>
      </c>
      <c r="B215" s="54" t="n"/>
      <c r="C215" s="55" t="n"/>
      <c r="D215" s="55" t="n"/>
      <c r="E215" s="53" t="n"/>
      <c r="F215" s="56" t="n"/>
      <c r="G215" s="56" t="n"/>
      <c r="H215" s="56" t="n"/>
      <c r="I215" s="56" t="n"/>
      <c r="J215" s="56" t="n"/>
      <c r="K215" s="56" t="n"/>
      <c r="L215" s="57" t="n"/>
      <c r="M215" s="56" t="n"/>
      <c r="N215" s="55" t="n"/>
      <c r="O215" s="58">
        <f>IFERROR(IF(OR(ISBLANK(G215),ISBLANK(I215)),"",ABS(G215-I215)/VLOOKUP(C215,設定!$B$9:$D$23,2,FALSE)),"")</f>
        <v/>
      </c>
      <c r="P215" s="57">
        <f>IFERROR(IF(OR(ISBLANK(F215),ISBLANK(H215),ISBLANK(J215)),"",ABS(J215-F215)/ABS(F215-H215)),"")</f>
        <v/>
      </c>
      <c r="Q215" s="59">
        <f>IFERROR(IF(OR(ISBLANK(M215),ISBLANK(D215),ISBLANK(G215)),"",IF(D215="Long",(M215-G215),(G215-M215))/VLOOKUP(C215,設定!$B$9:$D$23,2,FALSE)),"")</f>
        <v/>
      </c>
      <c r="R215" s="60">
        <f>IFERROR(IF(OR(ISBLANK(Q215),O215=0),"",Q215/O215),"")</f>
        <v/>
      </c>
      <c r="S215" s="60">
        <f>IFERROR(IF(ISBLANK(R215),S214,IF(ISNUMBER(S214),S214,0)+R215),"")</f>
        <v/>
      </c>
      <c r="T215" s="61">
        <f>IFERROR(IF(OR(ISBLANK(Q215),ISBLANK(L215)),"",Q215*L215*VLOOKUP(C215,設定!$B$9:$D$23,3,FALSE)),"")</f>
        <v/>
      </c>
      <c r="U215" s="55" t="n"/>
      <c r="V215" s="55" t="n"/>
    </row>
    <row r="216">
      <c r="A216" s="44">
        <f>IF(ISBLANK(B216),"",COUNTA($B$18:B216))</f>
        <v/>
      </c>
      <c r="B216" s="45" t="n"/>
      <c r="C216" s="46" t="n"/>
      <c r="D216" s="46" t="n"/>
      <c r="E216" s="44" t="n"/>
      <c r="F216" s="47" t="n"/>
      <c r="G216" s="47" t="n"/>
      <c r="H216" s="47" t="n"/>
      <c r="I216" s="47" t="n"/>
      <c r="J216" s="47" t="n"/>
      <c r="K216" s="47" t="n"/>
      <c r="L216" s="48" t="n"/>
      <c r="M216" s="47" t="n"/>
      <c r="N216" s="46" t="n"/>
      <c r="O216" s="49">
        <f>IFERROR(IF(OR(ISBLANK(G216),ISBLANK(I216)),"",ABS(G216-I216)/VLOOKUP(C216,設定!$B$9:$D$23,2,FALSE)),"")</f>
        <v/>
      </c>
      <c r="P216" s="48">
        <f>IFERROR(IF(OR(ISBLANK(F216),ISBLANK(H216),ISBLANK(J216)),"",ABS(J216-F216)/ABS(F216-H216)),"")</f>
        <v/>
      </c>
      <c r="Q216" s="50">
        <f>IFERROR(IF(OR(ISBLANK(M216),ISBLANK(D216),ISBLANK(G216)),"",IF(D216="Long",(M216-G216),(G216-M216))/VLOOKUP(C216,設定!$B$9:$D$23,2,FALSE)),"")</f>
        <v/>
      </c>
      <c r="R216" s="51">
        <f>IFERROR(IF(OR(ISBLANK(Q216),O216=0),"",Q216/O216),"")</f>
        <v/>
      </c>
      <c r="S216" s="51">
        <f>IFERROR(IF(ISBLANK(R216),S215,IF(ISNUMBER(S215),S215,0)+R216),"")</f>
        <v/>
      </c>
      <c r="T216" s="52">
        <f>IFERROR(IF(OR(ISBLANK(Q216),ISBLANK(L216)),"",Q216*L216*VLOOKUP(C216,設定!$B$9:$D$23,3,FALSE)),"")</f>
        <v/>
      </c>
      <c r="U216" s="46" t="n"/>
      <c r="V216" s="46" t="n"/>
    </row>
    <row r="217">
      <c r="A217" s="53">
        <f>IF(ISBLANK(B217),"",COUNTA($B$18:B217))</f>
        <v/>
      </c>
      <c r="B217" s="54" t="n"/>
      <c r="C217" s="55" t="n"/>
      <c r="D217" s="55" t="n"/>
      <c r="E217" s="53" t="n"/>
      <c r="F217" s="56" t="n"/>
      <c r="G217" s="56" t="n"/>
      <c r="H217" s="56" t="n"/>
      <c r="I217" s="56" t="n"/>
      <c r="J217" s="56" t="n"/>
      <c r="K217" s="56" t="n"/>
      <c r="L217" s="57" t="n"/>
      <c r="M217" s="56" t="n"/>
      <c r="N217" s="55" t="n"/>
      <c r="O217" s="58">
        <f>IFERROR(IF(OR(ISBLANK(G217),ISBLANK(I217)),"",ABS(G217-I217)/VLOOKUP(C217,設定!$B$9:$D$23,2,FALSE)),"")</f>
        <v/>
      </c>
      <c r="P217" s="57">
        <f>IFERROR(IF(OR(ISBLANK(F217),ISBLANK(H217),ISBLANK(J217)),"",ABS(J217-F217)/ABS(F217-H217)),"")</f>
        <v/>
      </c>
      <c r="Q217" s="59">
        <f>IFERROR(IF(OR(ISBLANK(M217),ISBLANK(D217),ISBLANK(G217)),"",IF(D217="Long",(M217-G217),(G217-M217))/VLOOKUP(C217,設定!$B$9:$D$23,2,FALSE)),"")</f>
        <v/>
      </c>
      <c r="R217" s="60">
        <f>IFERROR(IF(OR(ISBLANK(Q217),O217=0),"",Q217/O217),"")</f>
        <v/>
      </c>
      <c r="S217" s="60">
        <f>IFERROR(IF(ISBLANK(R217),S216,IF(ISNUMBER(S216),S216,0)+R217),"")</f>
        <v/>
      </c>
      <c r="T217" s="61">
        <f>IFERROR(IF(OR(ISBLANK(Q217),ISBLANK(L217)),"",Q217*L217*VLOOKUP(C217,設定!$B$9:$D$23,3,FALSE)),"")</f>
        <v/>
      </c>
      <c r="U217" s="55" t="n"/>
      <c r="V217" s="55" t="n"/>
    </row>
  </sheetData>
  <mergeCells count="6">
    <mergeCell ref="A2:V2"/>
    <mergeCell ref="I3:V3"/>
    <mergeCell ref="E3:H3"/>
    <mergeCell ref="B3:C3"/>
    <mergeCell ref="A1:V1"/>
    <mergeCell ref="I4:V15"/>
  </mergeCells>
  <conditionalFormatting sqref="R18:R2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18:N217">
    <cfRule type="expression" priority="3" dxfId="0">
      <formula>$N18="TP"</formula>
    </cfRule>
    <cfRule type="expression" priority="4" dxfId="1">
      <formula>$N18="SL"</formula>
    </cfRule>
  </conditionalFormatting>
  <conditionalFormatting sqref="U18:U217">
    <cfRule type="expression" priority="5" dxfId="4">
      <formula>$U18="S"</formula>
    </cfRule>
    <cfRule type="expression" priority="6" dxfId="0">
      <formula>$U18="A"</formula>
    </cfRule>
    <cfRule type="expression" priority="7" dxfId="1">
      <formula>$U18="D"</formula>
    </cfRule>
  </conditionalFormatting>
  <dataValidations count="4">
    <dataValidation sqref="C18:C217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18:D217" showDropDown="0" showInputMessage="0" showErrorMessage="0" allowBlank="1" type="list">
      <formula1>"Long,Short"</formula1>
    </dataValidation>
    <dataValidation sqref="N18:N217" showDropDown="0" showInputMessage="0" showErrorMessage="0" allowBlank="1" type="list">
      <formula1>"TP,SL,手動,強制,建値撤退"</formula1>
    </dataValidation>
    <dataValidation sqref="U18:U21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0" customWidth="1" min="4" max="4"/>
  </cols>
  <sheetData>
    <row r="2" ht="30" customHeight="1">
      <c r="B2" s="74" t="inlineStr">
        <is>
          <t>⚙️  設定 / Configuration</t>
        </is>
      </c>
    </row>
    <row r="3">
      <c r="B3" s="10" t="inlineStr">
        <is>
          <t>開始残高 (¥)</t>
        </is>
      </c>
      <c r="C3" s="24" t="n">
        <v>1000000</v>
      </c>
    </row>
    <row r="4">
      <c r="B4" s="10" t="inlineStr">
        <is>
          <t>1 トレード リスク (%)</t>
        </is>
      </c>
      <c r="C4" s="75" t="n">
        <v>0.5</v>
      </c>
    </row>
    <row r="5">
      <c r="B5" s="10" t="inlineStr">
        <is>
          <t>USD/JPY 概算レート</t>
        </is>
      </c>
      <c r="C5" s="76" t="n">
        <v>155</v>
      </c>
    </row>
    <row r="7" ht="22" customHeight="1">
      <c r="B7" s="3" t="inlineStr">
        <is>
          <t>💱  通貨ペア別 pip 設定</t>
        </is>
      </c>
    </row>
    <row r="8">
      <c r="B8" s="43" t="inlineStr">
        <is>
          <t>通貨ペア</t>
        </is>
      </c>
      <c r="C8" s="43" t="inlineStr">
        <is>
          <t>pip サイズ</t>
        </is>
      </c>
      <c r="D8" s="43" t="inlineStr">
        <is>
          <t>1pip × 1 lot (¥)</t>
        </is>
      </c>
    </row>
    <row r="9">
      <c r="B9" s="77" t="inlineStr">
        <is>
          <t>USD/JPY</t>
        </is>
      </c>
      <c r="C9" s="78" t="n">
        <v>0.01</v>
      </c>
      <c r="D9" s="79" t="n">
        <v>1000</v>
      </c>
    </row>
    <row r="10">
      <c r="B10" s="80" t="inlineStr">
        <is>
          <t>EUR/USD</t>
        </is>
      </c>
      <c r="C10" s="81" t="n">
        <v>0.0001</v>
      </c>
      <c r="D10" s="82">
        <f>10*$C$5</f>
        <v/>
      </c>
    </row>
    <row r="11">
      <c r="B11" s="77" t="inlineStr">
        <is>
          <t>GBP/USD</t>
        </is>
      </c>
      <c r="C11" s="78" t="n">
        <v>0.0001</v>
      </c>
      <c r="D11" s="79">
        <f>10*$C$5</f>
        <v/>
      </c>
    </row>
    <row r="12">
      <c r="B12" s="80" t="inlineStr">
        <is>
          <t>AUD/USD</t>
        </is>
      </c>
      <c r="C12" s="81" t="n">
        <v>0.0001</v>
      </c>
      <c r="D12" s="82">
        <f>10*$C$5</f>
        <v/>
      </c>
    </row>
    <row r="13">
      <c r="B13" s="77" t="inlineStr">
        <is>
          <t>NZD/USD</t>
        </is>
      </c>
      <c r="C13" s="78" t="n">
        <v>0.0001</v>
      </c>
      <c r="D13" s="79">
        <f>10*$C$5</f>
        <v/>
      </c>
    </row>
    <row r="14">
      <c r="B14" s="80" t="inlineStr">
        <is>
          <t>USD/CAD</t>
        </is>
      </c>
      <c r="C14" s="81" t="n">
        <v>0.0001</v>
      </c>
      <c r="D14" s="82">
        <f>10*$C$5</f>
        <v/>
      </c>
    </row>
    <row r="15">
      <c r="B15" s="77" t="inlineStr">
        <is>
          <t>USD/CHF</t>
        </is>
      </c>
      <c r="C15" s="78" t="n">
        <v>0.0001</v>
      </c>
      <c r="D15" s="79">
        <f>10*$C$5</f>
        <v/>
      </c>
    </row>
    <row r="16">
      <c r="B16" s="80" t="inlineStr">
        <is>
          <t>EUR/JPY</t>
        </is>
      </c>
      <c r="C16" s="81" t="n">
        <v>0.01</v>
      </c>
      <c r="D16" s="82" t="n">
        <v>1000</v>
      </c>
    </row>
    <row r="17">
      <c r="B17" s="77" t="inlineStr">
        <is>
          <t>GBP/JPY</t>
        </is>
      </c>
      <c r="C17" s="78" t="n">
        <v>0.01</v>
      </c>
      <c r="D17" s="79" t="n">
        <v>1000</v>
      </c>
    </row>
    <row r="18">
      <c r="B18" s="80" t="inlineStr">
        <is>
          <t>AUD/JPY</t>
        </is>
      </c>
      <c r="C18" s="81" t="n">
        <v>0.01</v>
      </c>
      <c r="D18" s="82" t="n">
        <v>1000</v>
      </c>
    </row>
    <row r="19">
      <c r="B19" s="77" t="inlineStr">
        <is>
          <t>NZD/JPY</t>
        </is>
      </c>
      <c r="C19" s="78" t="n">
        <v>0.01</v>
      </c>
      <c r="D19" s="79" t="n">
        <v>1000</v>
      </c>
    </row>
    <row r="20">
      <c r="B20" s="80" t="inlineStr">
        <is>
          <t>CAD/JPY</t>
        </is>
      </c>
      <c r="C20" s="81" t="n">
        <v>0.01</v>
      </c>
      <c r="D20" s="82" t="n">
        <v>1000</v>
      </c>
    </row>
    <row r="21">
      <c r="B21" s="77" t="inlineStr">
        <is>
          <t>CHF/JPY</t>
        </is>
      </c>
      <c r="C21" s="78" t="n">
        <v>0.01</v>
      </c>
      <c r="D21" s="79" t="n">
        <v>1000</v>
      </c>
    </row>
    <row r="22">
      <c r="B22" s="80" t="inlineStr">
        <is>
          <t>ZAR/JPY</t>
        </is>
      </c>
      <c r="C22" s="81" t="n">
        <v>0.01</v>
      </c>
      <c r="D22" s="82" t="n">
        <v>1000</v>
      </c>
    </row>
    <row r="23">
      <c r="B23" s="77" t="inlineStr">
        <is>
          <t>EUR/GBP</t>
        </is>
      </c>
      <c r="C23" s="78" t="n">
        <v>0.0001</v>
      </c>
      <c r="D23" s="79">
        <f>10*$C$5</f>
        <v/>
      </c>
    </row>
    <row r="25">
      <c r="B25" s="25" t="inlineStr">
        <is>
          <t>📌 このスプレッドシートは「手動トレード」専用です。
5 手法のシート (ORZ/PDHL/BOTH/CLAUDE/TRIPLE) に
それぞれのトレードを記録すると、📊ダッシュボードで
横並び比較ができます。
黄色いセル (C3〜C5) は自分の運用に合わせて変更可。</t>
        </is>
      </c>
    </row>
    <row r="26"/>
    <row r="27"/>
    <row r="28"/>
    <row r="29"/>
    <row r="30"/>
  </sheetData>
  <mergeCells count="3">
    <mergeCell ref="B7:D7"/>
    <mergeCell ref="B2:D2"/>
    <mergeCell ref="B25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2026-05-14T11:28:15Z</dcterms:created>
  <dcterms:modified xsi:type="dcterms:W3CDTF">2026-05-14T11:28:15Z</dcterms:modified>
</cp:coreProperties>
</file>