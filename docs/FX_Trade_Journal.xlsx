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" sheetId="1" state="visible" r:id="rId1"/>
    <sheet name="取引履歴" sheetId="2" state="visible" r:id="rId2"/>
    <sheet name="設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¥#,##0"/>
    <numFmt numFmtId="165" formatCode="0.0\%"/>
    <numFmt numFmtId="166" formatCode="0.0000"/>
    <numFmt numFmtId="167" formatCode="yyyy/mm/dd"/>
    <numFmt numFmtId="168" formatCode="hh:mm"/>
    <numFmt numFmtId="169" formatCode="0.00000"/>
    <numFmt numFmtId="170" formatCode="0.0"/>
    <numFmt numFmtId="171" formatCode="+0.0;-0.0;-"/>
    <numFmt numFmtId="172" formatCode="+0.00;-0.00;-"/>
    <numFmt numFmtId="173" formatCode="¥#,##0;[Red]-¥#,##0;-"/>
    <numFmt numFmtId="174" formatCode="0.0%"/>
    <numFmt numFmtId="175" formatCode="+0.000;-0.000;-"/>
  </numFmts>
  <fonts count="9">
    <font>
      <name val="Calibri"/>
      <family val="2"/>
      <color theme="1"/>
      <sz val="11"/>
      <scheme val="minor"/>
    </font>
    <font>
      <name val="Noto Sans JP"/>
      <b val="1"/>
      <color rgb="001F1B4E"/>
      <sz val="18"/>
    </font>
    <font>
      <name val="Noto Sans JP"/>
      <sz val="10"/>
    </font>
    <font>
      <name val="Noto Sans JP"/>
      <b val="1"/>
      <sz val="10"/>
    </font>
    <font>
      <name val="Noto Sans JP"/>
      <b val="1"/>
      <color rgb="00F5ECD7"/>
      <sz val="10"/>
    </font>
    <font>
      <name val="Noto Sans JP"/>
      <i val="1"/>
      <color rgb="006B5B95"/>
      <sz val="9"/>
    </font>
    <font>
      <name val="Noto Sans JP"/>
      <color rgb="006B5B95"/>
      <sz val="9"/>
    </font>
    <font>
      <name val="Noto Sans JP"/>
      <b val="1"/>
      <color rgb="001F1B4E"/>
      <sz val="16"/>
    </font>
    <font>
      <name val="Noto Sans JP"/>
      <b val="1"/>
      <color rgb="00B8860B"/>
      <sz val="16"/>
    </font>
  </fonts>
  <fills count="6">
    <fill>
      <patternFill/>
    </fill>
    <fill>
      <patternFill patternType="gray125"/>
    </fill>
    <fill>
      <patternFill patternType="solid">
        <fgColor rgb="00F3F0FF"/>
      </patternFill>
    </fill>
    <fill>
      <patternFill patternType="solid">
        <fgColor rgb="00FFF7E0"/>
      </patternFill>
    </fill>
    <fill>
      <patternFill patternType="solid">
        <fgColor rgb="001F1B4E"/>
      </patternFill>
    </fill>
    <fill>
      <patternFill patternType="solid">
        <fgColor rgb="00F8F4FF"/>
      </patternFill>
    </fill>
  </fills>
  <borders count="3">
    <border>
      <left/>
      <right/>
      <top/>
      <bottom/>
      <diagonal/>
    </border>
    <border>
      <left style="thin">
        <color rgb="00C7C0E0"/>
      </left>
      <right style="thin">
        <color rgb="00C7C0E0"/>
      </right>
      <top style="thin">
        <color rgb="00C7C0E0"/>
      </top>
      <bottom style="thin">
        <color rgb="00C7C0E0"/>
      </bottom>
    </border>
    <border>
      <left style="medium">
        <color rgb="001F1B4E"/>
      </left>
      <right style="medium">
        <color rgb="001F1B4E"/>
      </right>
      <top style="medium">
        <color rgb="001F1B4E"/>
      </top>
      <bottom style="medium">
        <color rgb="001F1B4E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2" borderId="1" applyAlignment="1" pivotButton="0" quotePrefix="0" xfId="0">
      <alignment horizontal="center" vertical="center"/>
    </xf>
    <xf numFmtId="1" fontId="7" fillId="2" borderId="1" applyAlignment="1" pivotButton="0" quotePrefix="0" xfId="0">
      <alignment horizontal="center" vertical="center"/>
    </xf>
    <xf numFmtId="174" fontId="7" fillId="2" borderId="1" applyAlignment="1" pivotButton="0" quotePrefix="0" xfId="0">
      <alignment horizontal="center" vertical="center"/>
    </xf>
    <xf numFmtId="172" fontId="8" fillId="2" borderId="1" applyAlignment="1" pivotButton="0" quotePrefix="0" xfId="0">
      <alignment horizontal="center" vertical="center"/>
    </xf>
    <xf numFmtId="175" fontId="7" fillId="2" borderId="1" applyAlignment="1" pivotButton="0" quotePrefix="0" xfId="0">
      <alignment horizontal="center" vertical="center"/>
    </xf>
    <xf numFmtId="2" fontId="7" fillId="2" borderId="1" applyAlignment="1" pivotButton="0" quotePrefix="0" xfId="0">
      <alignment horizontal="center" vertical="center"/>
    </xf>
    <xf numFmtId="173" fontId="7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indent="1"/>
    </xf>
    <xf numFmtId="1" fontId="3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1" fontId="0" fillId="0" borderId="1" applyAlignment="1" pivotButton="0" quotePrefix="0" xfId="0">
      <alignment horizontal="right" vertical="center"/>
    </xf>
    <xf numFmtId="174" fontId="0" fillId="0" borderId="1" applyAlignment="1" pivotButton="0" quotePrefix="0" xfId="0">
      <alignment horizontal="right" vertical="center"/>
    </xf>
    <xf numFmtId="175" fontId="0" fillId="0" borderId="1" applyAlignment="1" pivotButton="0" quotePrefix="0" xfId="0">
      <alignment horizontal="right" vertical="center"/>
    </xf>
    <xf numFmtId="172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indent="1"/>
    </xf>
    <xf numFmtId="175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indent="1"/>
    </xf>
    <xf numFmtId="172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indent="1"/>
    </xf>
    <xf numFmtId="1" fontId="0" fillId="5" borderId="1" applyAlignment="1" pivotButton="0" quotePrefix="0" xfId="0">
      <alignment horizontal="right" vertical="center"/>
    </xf>
    <xf numFmtId="174" fontId="0" fillId="5" borderId="1" applyAlignment="1" pivotButton="0" quotePrefix="0" xfId="0">
      <alignment horizontal="right" vertical="center"/>
    </xf>
    <xf numFmtId="172" fontId="0" fillId="5" borderId="1" applyAlignment="1" pivotButton="0" quotePrefix="0" xfId="0">
      <alignment horizontal="right" vertical="center"/>
    </xf>
    <xf numFmtId="175" fontId="0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 wrapText="1" indent="1"/>
    </xf>
    <xf numFmtId="1" fontId="2" fillId="5" borderId="1" applyAlignment="1" pivotButton="0" quotePrefix="0" xfId="0">
      <alignment horizontal="right" vertical="center"/>
    </xf>
    <xf numFmtId="167" fontId="2" fillId="5" borderId="1" applyAlignment="1" pivotButton="0" quotePrefix="0" xfId="0">
      <alignment horizontal="center" vertical="center"/>
    </xf>
    <xf numFmtId="49" fontId="2" fillId="5" borderId="1" applyAlignment="1" pivotButton="0" quotePrefix="0" xfId="0">
      <alignment horizontal="left" vertical="center" indent="1"/>
    </xf>
    <xf numFmtId="168" fontId="2" fillId="5" borderId="1" applyAlignment="1" pivotButton="0" quotePrefix="0" xfId="0">
      <alignment horizontal="center" vertical="center"/>
    </xf>
    <xf numFmtId="169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170" fontId="2" fillId="5" borderId="1" applyAlignment="1" pivotButton="0" quotePrefix="0" xfId="0">
      <alignment horizontal="right" vertical="center"/>
    </xf>
    <xf numFmtId="171" fontId="2" fillId="5" borderId="1" applyAlignment="1" pivotButton="0" quotePrefix="0" xfId="0">
      <alignment horizontal="right" vertical="center"/>
    </xf>
    <xf numFmtId="172" fontId="2" fillId="5" borderId="1" applyAlignment="1" pivotButton="0" quotePrefix="0" xfId="0">
      <alignment horizontal="right" vertical="center"/>
    </xf>
    <xf numFmtId="173" fontId="2" fillId="5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 indent="1"/>
    </xf>
    <xf numFmtId="168" fontId="2" fillId="0" borderId="1" applyAlignment="1" pivotButton="0" quotePrefix="0" xfId="0">
      <alignment horizontal="center" vertical="center"/>
    </xf>
    <xf numFmtId="169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70" fontId="2" fillId="0" borderId="1" applyAlignment="1" pivotButton="0" quotePrefix="0" xfId="0">
      <alignment horizontal="right" vertical="center"/>
    </xf>
    <xf numFmtId="171" fontId="2" fillId="0" borderId="1" applyAlignment="1" pivotButton="0" quotePrefix="0" xfId="0">
      <alignment horizontal="right" vertical="center"/>
    </xf>
    <xf numFmtId="172" fontId="2" fillId="0" borderId="1" applyAlignment="1" pivotButton="0" quotePrefix="0" xfId="0">
      <alignment horizontal="right" vertical="center"/>
    </xf>
    <xf numFmtId="173" fontId="2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inden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4">
    <dxf>
      <font>
        <b val="1"/>
        <color rgb="0016A34A"/>
      </font>
      <fill>
        <patternFill patternType="solid">
          <fgColor rgb="00DCFCE7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  <dxf>
      <font>
        <b val="1"/>
        <color rgb="0016A34A"/>
      </font>
    </dxf>
    <dxf>
      <font>
        <b val="1"/>
        <color rgb="00DC262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2" ht="32" customHeight="1">
      <c r="B2" s="1" t="inlineStr">
        <is>
          <t>📊  FX Trade Journal · Dashboard</t>
        </is>
      </c>
    </row>
    <row r="3">
      <c r="B3" s="2" t="inlineStr">
        <is>
          <t>毎日 5 分、トレードしたら『取引履歴』シートに 1 行追加するだけで自動集計されます。</t>
        </is>
      </c>
    </row>
    <row r="5" ht="18" customHeight="1">
      <c r="B5" s="3" t="inlineStr">
        <is>
          <t>総トレード</t>
        </is>
      </c>
      <c r="C5" s="3" t="inlineStr">
        <is>
          <t>勝率</t>
        </is>
      </c>
      <c r="D5" s="3" t="inlineStr">
        <is>
          <t>累計 R</t>
        </is>
      </c>
      <c r="E5" s="3" t="inlineStr">
        <is>
          <t>期待値 (R)</t>
        </is>
      </c>
      <c r="F5" s="3" t="inlineStr">
        <is>
          <t>Profit Factor</t>
        </is>
      </c>
      <c r="G5" s="3" t="inlineStr">
        <is>
          <t>累計損益 (¥)</t>
        </is>
      </c>
    </row>
    <row r="6" ht="34" customHeight="1">
      <c r="B6" s="4">
        <f>COUNT(取引履歴!P:P)</f>
        <v/>
      </c>
      <c r="C6" s="5">
        <f>IFERROR(COUNTIF(取引履歴!P:P,"&gt;0")/COUNT(取引履歴!P:P),0)</f>
        <v/>
      </c>
      <c r="D6" s="6">
        <f>SUM(取引履歴!P:P)</f>
        <v/>
      </c>
      <c r="E6" s="7">
        <f>IFERROR(AVERAGE(取引履歴!P:P),0)</f>
        <v/>
      </c>
      <c r="F6" s="8">
        <f>IFERROR(SUMIF(取引履歴!P:P,"&gt;0")/-SUMIF(取引履歴!P:P,"&lt;0"),0)</f>
        <v/>
      </c>
      <c r="G6" s="9">
        <f>SUM(取引履歴!S:S)</f>
        <v/>
      </c>
    </row>
    <row r="7" ht="16" customHeight="1">
      <c r="B7" s="3" t="inlineStr"/>
      <c r="C7" s="3" t="inlineStr"/>
      <c r="D7" s="3" t="inlineStr">
        <is>
          <t>RR</t>
        </is>
      </c>
      <c r="E7" s="3" t="inlineStr">
        <is>
          <t>per trade</t>
        </is>
      </c>
      <c r="F7" s="3" t="inlineStr"/>
      <c r="G7" s="3" t="inlineStr"/>
    </row>
    <row r="10" ht="22" customHeight="1">
      <c r="B10" s="10" t="inlineStr">
        <is>
          <t>🛡  リスク管理 / 連敗連勝</t>
        </is>
      </c>
      <c r="E10" s="10" t="inlineStr">
        <is>
          <t>🎯  手法別パフォーマンス</t>
        </is>
      </c>
    </row>
    <row r="11">
      <c r="B11" s="11" t="inlineStr">
        <is>
          <t>最大連勝</t>
        </is>
      </c>
      <c r="C11" s="12">
        <f>IF(COUNT(取引履歴!P:P)=0,0,MAX(取引履歴!U:U))</f>
        <v/>
      </c>
      <c r="D11" s="13" t="n"/>
      <c r="E11" s="14" t="inlineStr">
        <is>
          <t>手法</t>
        </is>
      </c>
      <c r="F11" s="14" t="inlineStr">
        <is>
          <t>件数</t>
        </is>
      </c>
      <c r="G11" s="14" t="inlineStr">
        <is>
          <t>勝率</t>
        </is>
      </c>
      <c r="H11" s="14" t="inlineStr">
        <is>
          <t>EV (R)</t>
        </is>
      </c>
    </row>
    <row r="12">
      <c r="B12" s="11" t="inlineStr">
        <is>
          <t>最大連敗</t>
        </is>
      </c>
      <c r="C12" s="12">
        <f>IF(COUNT(取引履歴!P:P)=0,0,MIN(取引履歴!U:U))</f>
        <v/>
      </c>
      <c r="D12" s="13" t="n"/>
      <c r="E12" s="15" t="inlineStr">
        <is>
          <t>TRIPLE</t>
        </is>
      </c>
      <c r="F12" s="16">
        <f>COUNTIF(取引履歴!D:D,"TRIPLE")</f>
        <v/>
      </c>
      <c r="G12" s="17">
        <f>IFERROR(COUNTIFS(取引履歴!D:D,"TRIPLE",取引履歴!P:P,"&gt;0")/COUNTIF(取引履歴!D:D,"TRIPLE"),0)</f>
        <v/>
      </c>
      <c r="H12" s="18">
        <f>IFERROR(SUMIF(取引履歴!D:D,"TRIPLE",取引履歴!P:P)/COUNTIF(取引履歴!D:D,"TRIPLE"),0)</f>
        <v/>
      </c>
    </row>
    <row r="13">
      <c r="B13" s="11" t="inlineStr">
        <is>
          <t>最大ドローダウン</t>
        </is>
      </c>
      <c r="C13" s="19">
        <f>IF(COUNT(取引履歴!P:P)=0,0,MAX(取引履歴!Q:Q)-MIN(取引履歴!Q:Q))</f>
        <v/>
      </c>
      <c r="D13" s="13" t="n"/>
      <c r="E13" s="20" t="inlineStr">
        <is>
          <t>ORZ</t>
        </is>
      </c>
      <c r="F13" s="16">
        <f>COUNTIF(取引履歴!D:D,"ORZ")</f>
        <v/>
      </c>
      <c r="G13" s="17">
        <f>IFERROR(COUNTIFS(取引履歴!D:D,"ORZ",取引履歴!P:P,"&gt;0")/COUNTIF(取引履歴!D:D,"ORZ"),0)</f>
        <v/>
      </c>
      <c r="H13" s="18">
        <f>IFERROR(SUMIF(取引履歴!D:D,"ORZ",取引履歴!P:P)/COUNTIF(取引履歴!D:D,"ORZ"),0)</f>
        <v/>
      </c>
    </row>
    <row r="14">
      <c r="B14" s="11" t="inlineStr">
        <is>
          <t>勝ち平均 R</t>
        </is>
      </c>
      <c r="C14" s="21">
        <f>IFERROR(AVERAGEIF(取引履歴!P:P,"&gt;0"),0)</f>
        <v/>
      </c>
      <c r="D14" s="13" t="n"/>
      <c r="E14" s="20" t="inlineStr">
        <is>
          <t>PDHL</t>
        </is>
      </c>
      <c r="F14" s="16">
        <f>COUNTIF(取引履歴!D:D,"PDHL")</f>
        <v/>
      </c>
      <c r="G14" s="17">
        <f>IFERROR(COUNTIFS(取引履歴!D:D,"PDHL",取引履歴!P:P,"&gt;0")/COUNTIF(取引履歴!D:D,"PDHL"),0)</f>
        <v/>
      </c>
      <c r="H14" s="18">
        <f>IFERROR(SUMIF(取引履歴!D:D,"PDHL",取引履歴!P:P)/COUNTIF(取引履歴!D:D,"PDHL"),0)</f>
        <v/>
      </c>
    </row>
    <row r="15">
      <c r="B15" s="11" t="inlineStr">
        <is>
          <t>負け平均 R</t>
        </is>
      </c>
      <c r="C15" s="21">
        <f>IFERROR(AVERAGEIF(取引履歴!P:P,"&lt;0"),0)</f>
        <v/>
      </c>
      <c r="D15" s="13" t="n"/>
      <c r="E15" s="20" t="inlineStr">
        <is>
          <t>BOTH</t>
        </is>
      </c>
      <c r="F15" s="16">
        <f>COUNTIF(取引履歴!D:D,"BOTH")</f>
        <v/>
      </c>
      <c r="G15" s="17">
        <f>IFERROR(COUNTIFS(取引履歴!D:D,"BOTH",取引履歴!P:P,"&gt;0")/COUNTIF(取引履歴!D:D,"BOTH"),0)</f>
        <v/>
      </c>
      <c r="H15" s="18">
        <f>IFERROR(SUMIF(取引履歴!D:D,"BOTH",取引履歴!P:P)/COUNTIF(取引履歴!D:D,"BOTH"),0)</f>
        <v/>
      </c>
    </row>
    <row r="16">
      <c r="B16" s="11" t="inlineStr">
        <is>
          <t>現在の残高</t>
        </is>
      </c>
      <c r="C16" s="22">
        <f>設定!B2+SUM(取引履歴!S:S)</f>
        <v/>
      </c>
      <c r="D16" s="13" t="n"/>
      <c r="E16" s="20" t="inlineStr">
        <is>
          <t>CLAUDE</t>
        </is>
      </c>
      <c r="F16" s="16">
        <f>COUNTIF(取引履歴!D:D,"CLAUDE")</f>
        <v/>
      </c>
      <c r="G16" s="17">
        <f>IFERROR(COUNTIFS(取引履歴!D:D,"CLAUDE",取引履歴!P:P,"&gt;0")/COUNTIF(取引履歴!D:D,"CLAUDE"),0)</f>
        <v/>
      </c>
      <c r="H16" s="18">
        <f>IFERROR(SUMIF(取引履歴!D:D,"CLAUDE",取引履歴!P:P)/COUNTIF(取引履歴!D:D,"CLAUDE"),0)</f>
        <v/>
      </c>
    </row>
    <row r="18" ht="22" customHeight="1">
      <c r="B18" s="10" t="inlineStr">
        <is>
          <t>💱  通貨ペア別パフォーマンス</t>
        </is>
      </c>
    </row>
    <row r="19">
      <c r="B19" s="14" t="inlineStr">
        <is>
          <t>通貨ペア</t>
        </is>
      </c>
      <c r="C19" s="14" t="inlineStr">
        <is>
          <t>件数</t>
        </is>
      </c>
      <c r="D19" s="14" t="inlineStr">
        <is>
          <t>勝率</t>
        </is>
      </c>
      <c r="E19" s="14" t="inlineStr">
        <is>
          <t>累計 R</t>
        </is>
      </c>
      <c r="F19" s="14" t="inlineStr">
        <is>
          <t>平均 R</t>
        </is>
      </c>
      <c r="G19" s="14" t="inlineStr">
        <is>
          <t>最終トレード日付</t>
        </is>
      </c>
    </row>
    <row r="20">
      <c r="B20" s="23" t="inlineStr">
        <is>
          <t>USD/JPY</t>
        </is>
      </c>
      <c r="C20" s="16">
        <f>COUNTIF(取引履歴!C:C,"USD/JPY")</f>
        <v/>
      </c>
      <c r="D20" s="17">
        <f>IFERROR(COUNTIFS(取引履歴!C:C,"USD/JPY",取引履歴!P:P,"&gt;0")/COUNTIF(取引履歴!C:C,"USD/JPY"),0)</f>
        <v/>
      </c>
      <c r="E20" s="24">
        <f>SUMIF(取引履歴!C:C,"USD/JPY",取引履歴!P:P)</f>
        <v/>
      </c>
      <c r="F20" s="18">
        <f>IFERROR(SUMIF(取引履歴!C:C,"USD/JPY",取引履歴!P:P)/COUNTIF(取引履歴!C:C,"USD/JPY"),0)</f>
        <v/>
      </c>
      <c r="G20" s="25">
        <f>IFERROR(MAXIFS(取引履歴!B:B,取引履歴!C:C,"USD/JPY"),"")</f>
        <v/>
      </c>
    </row>
    <row r="21">
      <c r="B21" s="26" t="inlineStr">
        <is>
          <t>EUR/USD</t>
        </is>
      </c>
      <c r="C21" s="27">
        <f>COUNTIF(取引履歴!C:C,"EUR/USD")</f>
        <v/>
      </c>
      <c r="D21" s="28">
        <f>IFERROR(COUNTIFS(取引履歴!C:C,"EUR/USD",取引履歴!P:P,"&gt;0")/COUNTIF(取引履歴!C:C,"EUR/USD"),0)</f>
        <v/>
      </c>
      <c r="E21" s="29">
        <f>SUMIF(取引履歴!C:C,"EUR/USD",取引履歴!P:P)</f>
        <v/>
      </c>
      <c r="F21" s="30">
        <f>IFERROR(SUMIF(取引履歴!C:C,"EUR/USD",取引履歴!P:P)/COUNTIF(取引履歴!C:C,"EUR/USD"),0)</f>
        <v/>
      </c>
      <c r="G21" s="31">
        <f>IFERROR(MAXIFS(取引履歴!B:B,取引履歴!C:C,"EUR/USD"),"")</f>
        <v/>
      </c>
    </row>
    <row r="22">
      <c r="B22" s="23" t="inlineStr">
        <is>
          <t>GBP/USD</t>
        </is>
      </c>
      <c r="C22" s="16">
        <f>COUNTIF(取引履歴!C:C,"GBP/USD")</f>
        <v/>
      </c>
      <c r="D22" s="17">
        <f>IFERROR(COUNTIFS(取引履歴!C:C,"GBP/USD",取引履歴!P:P,"&gt;0")/COUNTIF(取引履歴!C:C,"GBP/USD"),0)</f>
        <v/>
      </c>
      <c r="E22" s="24">
        <f>SUMIF(取引履歴!C:C,"GBP/USD",取引履歴!P:P)</f>
        <v/>
      </c>
      <c r="F22" s="18">
        <f>IFERROR(SUMIF(取引履歴!C:C,"GBP/USD",取引履歴!P:P)/COUNTIF(取引履歴!C:C,"GBP/USD"),0)</f>
        <v/>
      </c>
      <c r="G22" s="25">
        <f>IFERROR(MAXIFS(取引履歴!B:B,取引履歴!C:C,"GBP/USD"),"")</f>
        <v/>
      </c>
    </row>
    <row r="23">
      <c r="B23" s="26" t="inlineStr">
        <is>
          <t>AUD/USD</t>
        </is>
      </c>
      <c r="C23" s="27">
        <f>COUNTIF(取引履歴!C:C,"AUD/USD")</f>
        <v/>
      </c>
      <c r="D23" s="28">
        <f>IFERROR(COUNTIFS(取引履歴!C:C,"AUD/USD",取引履歴!P:P,"&gt;0")/COUNTIF(取引履歴!C:C,"AUD/USD"),0)</f>
        <v/>
      </c>
      <c r="E23" s="29">
        <f>SUMIF(取引履歴!C:C,"AUD/USD",取引履歴!P:P)</f>
        <v/>
      </c>
      <c r="F23" s="30">
        <f>IFERROR(SUMIF(取引履歴!C:C,"AUD/USD",取引履歴!P:P)/COUNTIF(取引履歴!C:C,"AUD/USD"),0)</f>
        <v/>
      </c>
      <c r="G23" s="31">
        <f>IFERROR(MAXIFS(取引履歴!B:B,取引履歴!C:C,"AUD/USD"),"")</f>
        <v/>
      </c>
    </row>
    <row r="24">
      <c r="B24" s="23" t="inlineStr">
        <is>
          <t>NZD/USD</t>
        </is>
      </c>
      <c r="C24" s="16">
        <f>COUNTIF(取引履歴!C:C,"NZD/USD")</f>
        <v/>
      </c>
      <c r="D24" s="17">
        <f>IFERROR(COUNTIFS(取引履歴!C:C,"NZD/USD",取引履歴!P:P,"&gt;0")/COUNTIF(取引履歴!C:C,"NZD/USD"),0)</f>
        <v/>
      </c>
      <c r="E24" s="24">
        <f>SUMIF(取引履歴!C:C,"NZD/USD",取引履歴!P:P)</f>
        <v/>
      </c>
      <c r="F24" s="18">
        <f>IFERROR(SUMIF(取引履歴!C:C,"NZD/USD",取引履歴!P:P)/COUNTIF(取引履歴!C:C,"NZD/USD"),0)</f>
        <v/>
      </c>
      <c r="G24" s="25">
        <f>IFERROR(MAXIFS(取引履歴!B:B,取引履歴!C:C,"NZD/USD"),"")</f>
        <v/>
      </c>
    </row>
    <row r="25">
      <c r="B25" s="26" t="inlineStr">
        <is>
          <t>USD/CAD</t>
        </is>
      </c>
      <c r="C25" s="27">
        <f>COUNTIF(取引履歴!C:C,"USD/CAD")</f>
        <v/>
      </c>
      <c r="D25" s="28">
        <f>IFERROR(COUNTIFS(取引履歴!C:C,"USD/CAD",取引履歴!P:P,"&gt;0")/COUNTIF(取引履歴!C:C,"USD/CAD"),0)</f>
        <v/>
      </c>
      <c r="E25" s="29">
        <f>SUMIF(取引履歴!C:C,"USD/CAD",取引履歴!P:P)</f>
        <v/>
      </c>
      <c r="F25" s="30">
        <f>IFERROR(SUMIF(取引履歴!C:C,"USD/CAD",取引履歴!P:P)/COUNTIF(取引履歴!C:C,"USD/CAD"),0)</f>
        <v/>
      </c>
      <c r="G25" s="31">
        <f>IFERROR(MAXIFS(取引履歴!B:B,取引履歴!C:C,"USD/CAD"),"")</f>
        <v/>
      </c>
    </row>
    <row r="26">
      <c r="B26" s="23" t="inlineStr">
        <is>
          <t>USD/CHF</t>
        </is>
      </c>
      <c r="C26" s="16">
        <f>COUNTIF(取引履歴!C:C,"USD/CHF")</f>
        <v/>
      </c>
      <c r="D26" s="17">
        <f>IFERROR(COUNTIFS(取引履歴!C:C,"USD/CHF",取引履歴!P:P,"&gt;0")/COUNTIF(取引履歴!C:C,"USD/CHF"),0)</f>
        <v/>
      </c>
      <c r="E26" s="24">
        <f>SUMIF(取引履歴!C:C,"USD/CHF",取引履歴!P:P)</f>
        <v/>
      </c>
      <c r="F26" s="18">
        <f>IFERROR(SUMIF(取引履歴!C:C,"USD/CHF",取引履歴!P:P)/COUNTIF(取引履歴!C:C,"USD/CHF"),0)</f>
        <v/>
      </c>
      <c r="G26" s="25">
        <f>IFERROR(MAXIFS(取引履歴!B:B,取引履歴!C:C,"USD/CHF"),"")</f>
        <v/>
      </c>
    </row>
    <row r="27">
      <c r="B27" s="26" t="inlineStr">
        <is>
          <t>EUR/JPY</t>
        </is>
      </c>
      <c r="C27" s="27">
        <f>COUNTIF(取引履歴!C:C,"EUR/JPY")</f>
        <v/>
      </c>
      <c r="D27" s="28">
        <f>IFERROR(COUNTIFS(取引履歴!C:C,"EUR/JPY",取引履歴!P:P,"&gt;0")/COUNTIF(取引履歴!C:C,"EUR/JPY"),0)</f>
        <v/>
      </c>
      <c r="E27" s="29">
        <f>SUMIF(取引履歴!C:C,"EUR/JPY",取引履歴!P:P)</f>
        <v/>
      </c>
      <c r="F27" s="30">
        <f>IFERROR(SUMIF(取引履歴!C:C,"EUR/JPY",取引履歴!P:P)/COUNTIF(取引履歴!C:C,"EUR/JPY"),0)</f>
        <v/>
      </c>
      <c r="G27" s="31">
        <f>IFERROR(MAXIFS(取引履歴!B:B,取引履歴!C:C,"EUR/JPY"),"")</f>
        <v/>
      </c>
    </row>
    <row r="28">
      <c r="B28" s="23" t="inlineStr">
        <is>
          <t>GBP/JPY</t>
        </is>
      </c>
      <c r="C28" s="16">
        <f>COUNTIF(取引履歴!C:C,"GBP/JPY")</f>
        <v/>
      </c>
      <c r="D28" s="17">
        <f>IFERROR(COUNTIFS(取引履歴!C:C,"GBP/JPY",取引履歴!P:P,"&gt;0")/COUNTIF(取引履歴!C:C,"GBP/JPY"),0)</f>
        <v/>
      </c>
      <c r="E28" s="24">
        <f>SUMIF(取引履歴!C:C,"GBP/JPY",取引履歴!P:P)</f>
        <v/>
      </c>
      <c r="F28" s="18">
        <f>IFERROR(SUMIF(取引履歴!C:C,"GBP/JPY",取引履歴!P:P)/COUNTIF(取引履歴!C:C,"GBP/JPY"),0)</f>
        <v/>
      </c>
      <c r="G28" s="25">
        <f>IFERROR(MAXIFS(取引履歴!B:B,取引履歴!C:C,"GBP/JPY"),"")</f>
        <v/>
      </c>
    </row>
    <row r="29">
      <c r="B29" s="26" t="inlineStr">
        <is>
          <t>AUD/JPY</t>
        </is>
      </c>
      <c r="C29" s="27">
        <f>COUNTIF(取引履歴!C:C,"AUD/JPY")</f>
        <v/>
      </c>
      <c r="D29" s="28">
        <f>IFERROR(COUNTIFS(取引履歴!C:C,"AUD/JPY",取引履歴!P:P,"&gt;0")/COUNTIF(取引履歴!C:C,"AUD/JPY"),0)</f>
        <v/>
      </c>
      <c r="E29" s="29">
        <f>SUMIF(取引履歴!C:C,"AUD/JPY",取引履歴!P:P)</f>
        <v/>
      </c>
      <c r="F29" s="30">
        <f>IFERROR(SUMIF(取引履歴!C:C,"AUD/JPY",取引履歴!P:P)/COUNTIF(取引履歴!C:C,"AUD/JPY"),0)</f>
        <v/>
      </c>
      <c r="G29" s="31">
        <f>IFERROR(MAXIFS(取引履歴!B:B,取引履歴!C:C,"AUD/JPY"),"")</f>
        <v/>
      </c>
    </row>
    <row r="30">
      <c r="B30" s="23" t="inlineStr">
        <is>
          <t>NZD/JPY</t>
        </is>
      </c>
      <c r="C30" s="16">
        <f>COUNTIF(取引履歴!C:C,"NZD/JPY")</f>
        <v/>
      </c>
      <c r="D30" s="17">
        <f>IFERROR(COUNTIFS(取引履歴!C:C,"NZD/JPY",取引履歴!P:P,"&gt;0")/COUNTIF(取引履歴!C:C,"NZD/JPY"),0)</f>
        <v/>
      </c>
      <c r="E30" s="24">
        <f>SUMIF(取引履歴!C:C,"NZD/JPY",取引履歴!P:P)</f>
        <v/>
      </c>
      <c r="F30" s="18">
        <f>IFERROR(SUMIF(取引履歴!C:C,"NZD/JPY",取引履歴!P:P)/COUNTIF(取引履歴!C:C,"NZD/JPY"),0)</f>
        <v/>
      </c>
      <c r="G30" s="25">
        <f>IFERROR(MAXIFS(取引履歴!B:B,取引履歴!C:C,"NZD/JPY"),"")</f>
        <v/>
      </c>
    </row>
    <row r="31">
      <c r="B31" s="26" t="inlineStr">
        <is>
          <t>CAD/JPY</t>
        </is>
      </c>
      <c r="C31" s="27">
        <f>COUNTIF(取引履歴!C:C,"CAD/JPY")</f>
        <v/>
      </c>
      <c r="D31" s="28">
        <f>IFERROR(COUNTIFS(取引履歴!C:C,"CAD/JPY",取引履歴!P:P,"&gt;0")/COUNTIF(取引履歴!C:C,"CAD/JPY"),0)</f>
        <v/>
      </c>
      <c r="E31" s="29">
        <f>SUMIF(取引履歴!C:C,"CAD/JPY",取引履歴!P:P)</f>
        <v/>
      </c>
      <c r="F31" s="30">
        <f>IFERROR(SUMIF(取引履歴!C:C,"CAD/JPY",取引履歴!P:P)/COUNTIF(取引履歴!C:C,"CAD/JPY"),0)</f>
        <v/>
      </c>
      <c r="G31" s="31">
        <f>IFERROR(MAXIFS(取引履歴!B:B,取引履歴!C:C,"CAD/JPY"),"")</f>
        <v/>
      </c>
    </row>
    <row r="32">
      <c r="B32" s="23" t="inlineStr">
        <is>
          <t>CHF/JPY</t>
        </is>
      </c>
      <c r="C32" s="16">
        <f>COUNTIF(取引履歴!C:C,"CHF/JPY")</f>
        <v/>
      </c>
      <c r="D32" s="17">
        <f>IFERROR(COUNTIFS(取引履歴!C:C,"CHF/JPY",取引履歴!P:P,"&gt;0")/COUNTIF(取引履歴!C:C,"CHF/JPY"),0)</f>
        <v/>
      </c>
      <c r="E32" s="24">
        <f>SUMIF(取引履歴!C:C,"CHF/JPY",取引履歴!P:P)</f>
        <v/>
      </c>
      <c r="F32" s="18">
        <f>IFERROR(SUMIF(取引履歴!C:C,"CHF/JPY",取引履歴!P:P)/COUNTIF(取引履歴!C:C,"CHF/JPY"),0)</f>
        <v/>
      </c>
      <c r="G32" s="25">
        <f>IFERROR(MAXIFS(取引履歴!B:B,取引履歴!C:C,"CHF/JPY"),"")</f>
        <v/>
      </c>
    </row>
    <row r="33">
      <c r="B33" s="26" t="inlineStr">
        <is>
          <t>ZAR/JPY</t>
        </is>
      </c>
      <c r="C33" s="27">
        <f>COUNTIF(取引履歴!C:C,"ZAR/JPY")</f>
        <v/>
      </c>
      <c r="D33" s="28">
        <f>IFERROR(COUNTIFS(取引履歴!C:C,"ZAR/JPY",取引履歴!P:P,"&gt;0")/COUNTIF(取引履歴!C:C,"ZAR/JPY"),0)</f>
        <v/>
      </c>
      <c r="E33" s="29">
        <f>SUMIF(取引履歴!C:C,"ZAR/JPY",取引履歴!P:P)</f>
        <v/>
      </c>
      <c r="F33" s="30">
        <f>IFERROR(SUMIF(取引履歴!C:C,"ZAR/JPY",取引履歴!P:P)/COUNTIF(取引履歴!C:C,"ZAR/JPY"),0)</f>
        <v/>
      </c>
      <c r="G33" s="31">
        <f>IFERROR(MAXIFS(取引履歴!B:B,取引履歴!C:C,"ZAR/JPY"),"")</f>
        <v/>
      </c>
    </row>
    <row r="34">
      <c r="B34" s="23" t="inlineStr">
        <is>
          <t>EUR/GBP</t>
        </is>
      </c>
      <c r="C34" s="16">
        <f>COUNTIF(取引履歴!C:C,"EUR/GBP")</f>
        <v/>
      </c>
      <c r="D34" s="17">
        <f>IFERROR(COUNTIFS(取引履歴!C:C,"EUR/GBP",取引履歴!P:P,"&gt;0")/COUNTIF(取引履歴!C:C,"EUR/GBP"),0)</f>
        <v/>
      </c>
      <c r="E34" s="24">
        <f>SUMIF(取引履歴!C:C,"EUR/GBP",取引履歴!P:P)</f>
        <v/>
      </c>
      <c r="F34" s="18">
        <f>IFERROR(SUMIF(取引履歴!C:C,"EUR/GBP",取引履歴!P:P)/COUNTIF(取引履歴!C:C,"EUR/GBP"),0)</f>
        <v/>
      </c>
      <c r="G34" s="25">
        <f>IFERROR(MAXIFS(取引履歴!B:B,取引履歴!C:C,"EUR/GBP"),"")</f>
        <v/>
      </c>
    </row>
    <row r="37" ht="28" customHeight="1">
      <c r="B37" s="32" t="inlineStr">
        <is>
          <t>💡  使い方:  右の「取引履歴」シートに、トレードした日付・ペア・手法などを入力するだけ。すべての集計はこのページで自動更新されます。</t>
        </is>
      </c>
    </row>
  </sheetData>
  <mergeCells count="12">
    <mergeCell ref="B10:D10"/>
    <mergeCell ref="C12:D12"/>
    <mergeCell ref="C16:D16"/>
    <mergeCell ref="B18:H18"/>
    <mergeCell ref="C15:D15"/>
    <mergeCell ref="C11:D11"/>
    <mergeCell ref="C14:D14"/>
    <mergeCell ref="B2:H2"/>
    <mergeCell ref="C13:D13"/>
    <mergeCell ref="B3:H3"/>
    <mergeCell ref="E10:H10"/>
    <mergeCell ref="B37:H37"/>
  </mergeCells>
  <conditionalFormatting sqref="E20:E34">
    <cfRule type="colorScale" priority="1">
      <colorScale>
        <cfvo type="min"/>
        <cfvo type="num" val="0"/>
        <cfvo type="max"/>
        <color rgb="00FEE2E2"/>
        <color rgb="00FFFFFF"/>
        <color rgb="00DCFCE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8" customWidth="1" min="5" max="5"/>
    <col width="8" customWidth="1" min="6" max="6"/>
    <col width="10" customWidth="1" min="7" max="7"/>
    <col width="12" customWidth="1" min="8" max="8"/>
    <col width="12" customWidth="1" min="9" max="9"/>
    <col width="12" customWidth="1" min="10" max="10"/>
    <col width="8" customWidth="1" min="11" max="11"/>
    <col width="12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10" customWidth="1" min="18" max="18"/>
    <col width="12" customWidth="1" min="19" max="19"/>
    <col width="30" customWidth="1" min="20" max="20"/>
  </cols>
  <sheetData>
    <row r="1" ht="28" customHeight="1">
      <c r="A1" s="14" t="inlineStr">
        <is>
          <t>#</t>
        </is>
      </c>
      <c r="B1" s="14" t="inlineStr">
        <is>
          <t>日付</t>
        </is>
      </c>
      <c r="C1" s="14" t="inlineStr">
        <is>
          <t>通貨ペア</t>
        </is>
      </c>
      <c r="D1" s="14" t="inlineStr">
        <is>
          <t>手法</t>
        </is>
      </c>
      <c r="E1" s="14" t="inlineStr">
        <is>
          <t>方向</t>
        </is>
      </c>
      <c r="F1" s="14" t="inlineStr">
        <is>
          <t>スコア</t>
        </is>
      </c>
      <c r="G1" s="14" t="inlineStr">
        <is>
          <t>Entry時刻</t>
        </is>
      </c>
      <c r="H1" s="14" t="inlineStr">
        <is>
          <t>Entry価格</t>
        </is>
      </c>
      <c r="I1" s="14" t="inlineStr">
        <is>
          <t>SL価格</t>
        </is>
      </c>
      <c r="J1" s="14" t="inlineStr">
        <is>
          <t>TP価格</t>
        </is>
      </c>
      <c r="K1" s="14" t="inlineStr">
        <is>
          <t>ロット</t>
        </is>
      </c>
      <c r="L1" s="14" t="inlineStr">
        <is>
          <t>決済価格</t>
        </is>
      </c>
      <c r="M1" s="14" t="inlineStr">
        <is>
          <t>決済理由</t>
        </is>
      </c>
      <c r="N1" s="14" t="inlineStr">
        <is>
          <t>SL pips</t>
        </is>
      </c>
      <c r="O1" s="14" t="inlineStr">
        <is>
          <t>計画RR</t>
        </is>
      </c>
      <c r="P1" s="14" t="inlineStr">
        <is>
          <t>損益 pips</t>
        </is>
      </c>
      <c r="Q1" s="14" t="inlineStr">
        <is>
          <t>R-mult</t>
        </is>
      </c>
      <c r="R1" s="14" t="inlineStr">
        <is>
          <t>累計 R</t>
        </is>
      </c>
      <c r="S1" s="14" t="inlineStr">
        <is>
          <t>損益 ¥</t>
        </is>
      </c>
      <c r="T1" s="14" t="inlineStr">
        <is>
          <t>メモ</t>
        </is>
      </c>
    </row>
    <row r="2">
      <c r="A2" s="33">
        <f>IF(ISBLANK(B2),"",COUNTA($B$2:B2))</f>
        <v/>
      </c>
      <c r="B2" s="34" t="inlineStr">
        <is>
          <t>2026/5/15</t>
        </is>
      </c>
      <c r="C2" s="35" t="inlineStr">
        <is>
          <t>USD/JPY</t>
        </is>
      </c>
      <c r="D2" s="35" t="inlineStr">
        <is>
          <t>TRIPLE</t>
        </is>
      </c>
      <c r="E2" s="35" t="inlineStr">
        <is>
          <t>Long</t>
        </is>
      </c>
      <c r="F2" s="33" t="n">
        <v>85</v>
      </c>
      <c r="G2" s="36" t="inlineStr">
        <is>
          <t>10:30</t>
        </is>
      </c>
      <c r="H2" s="37" t="n">
        <v>157.2</v>
      </c>
      <c r="I2" s="37" t="n">
        <v>156.8</v>
      </c>
      <c r="J2" s="37" t="n">
        <v>158.4</v>
      </c>
      <c r="K2" s="38" t="n">
        <v>0.1</v>
      </c>
      <c r="L2" s="37" t="n">
        <v>158.4</v>
      </c>
      <c r="M2" s="35" t="inlineStr">
        <is>
          <t>TP</t>
        </is>
      </c>
      <c r="N2" s="39">
        <f>IFERROR(IF(ISBLANK(H2),"",ABS(H2-I2)/VLOOKUP(C2,設定!$B$9:$D$23,2,FALSE)),"")</f>
        <v/>
      </c>
      <c r="O2" s="38">
        <f>IFERROR(IF(ISBLANK(J2),"",ABS(J2-H2)/ABS(H2-I2)),"")</f>
        <v/>
      </c>
      <c r="P2" s="40">
        <f>IFERROR(IF(OR(ISBLANK(L2),ISBLANK(E2)),"",IF(E2="Long",(L2-H2),(H2-L2))/VLOOKUP(C2,設定!$B$9:$D$23,2,FALSE)),"")</f>
        <v/>
      </c>
      <c r="Q2" s="41">
        <f>IFERROR(IF(OR(ISBLANK(P2),N2=0),"",P2/N2),"")</f>
        <v/>
      </c>
      <c r="R2" s="41">
        <f>IFERROR(IF(ISBLANK(Q2),"",Q2),"")</f>
        <v/>
      </c>
      <c r="S2" s="42">
        <f>IFERROR(IF(OR(ISBLANK(P2),ISBLANK(K2)),"",P2*K2*VLOOKUP(C2,設定!$B$9:$D$23,3,FALSE)),"")</f>
        <v/>
      </c>
      <c r="T2" s="35" t="inlineStr">
        <is>
          <t>TRIPLE 合意、東京時間。3R hit</t>
        </is>
      </c>
    </row>
    <row r="3">
      <c r="A3" s="43">
        <f>IF(ISBLANK(B3),"",COUNTA($B$2:B3))</f>
        <v/>
      </c>
      <c r="B3" s="44" t="inlineStr">
        <is>
          <t>2026/5/16</t>
        </is>
      </c>
      <c r="C3" s="45" t="inlineStr">
        <is>
          <t>EUR/USD</t>
        </is>
      </c>
      <c r="D3" s="45" t="inlineStr">
        <is>
          <t>PDHL</t>
        </is>
      </c>
      <c r="E3" s="45" t="inlineStr">
        <is>
          <t>Short</t>
        </is>
      </c>
      <c r="F3" s="43" t="n">
        <v>78</v>
      </c>
      <c r="G3" s="46" t="inlineStr">
        <is>
          <t>16:15</t>
        </is>
      </c>
      <c r="H3" s="47" t="n">
        <v>1.085</v>
      </c>
      <c r="I3" s="47" t="n">
        <v>1.089</v>
      </c>
      <c r="J3" s="47" t="n">
        <v>1.077</v>
      </c>
      <c r="K3" s="48" t="n">
        <v>0.1</v>
      </c>
      <c r="L3" s="47" t="n">
        <v>1.089</v>
      </c>
      <c r="M3" s="45" t="inlineStr">
        <is>
          <t>SL</t>
        </is>
      </c>
      <c r="N3" s="49">
        <f>IFERROR(IF(ISBLANK(H3),"",ABS(H3-I3)/VLOOKUP(C3,設定!$B$9:$D$23,2,FALSE)),"")</f>
        <v/>
      </c>
      <c r="O3" s="48">
        <f>IFERROR(IF(ISBLANK(J3),"",ABS(J3-H3)/ABS(H3-I3)),"")</f>
        <v/>
      </c>
      <c r="P3" s="50">
        <f>IFERROR(IF(OR(ISBLANK(L3),ISBLANK(E3)),"",IF(E3="Long",(L3-H3),(H3-L3))/VLOOKUP(C3,設定!$B$9:$D$23,2,FALSE)),"")</f>
        <v/>
      </c>
      <c r="Q3" s="51">
        <f>IFERROR(IF(OR(ISBLANK(P3),N3=0),"",P3/N3),"")</f>
        <v/>
      </c>
      <c r="R3" s="51">
        <f>IFERROR(IF(ISBLANK(Q3),R2,IF(ISNUMBER(R2),R2,0)+Q3),"")</f>
        <v/>
      </c>
      <c r="S3" s="52">
        <f>IFERROR(IF(OR(ISBLANK(P3),ISBLANK(K3)),"",P3*K3*VLOOKUP(C3,設定!$B$9:$D$23,3,FALSE)),"")</f>
        <v/>
      </c>
      <c r="T3" s="45" t="inlineStr">
        <is>
          <t>PDL break fail, ロンドン時間</t>
        </is>
      </c>
    </row>
    <row r="4">
      <c r="A4" s="33">
        <f>IF(ISBLANK(B4),"",COUNTA($B$2:B4))</f>
        <v/>
      </c>
      <c r="B4" s="34" t="inlineStr">
        <is>
          <t>2026/5/17</t>
        </is>
      </c>
      <c r="C4" s="35" t="inlineStr">
        <is>
          <t>GBP/JPY</t>
        </is>
      </c>
      <c r="D4" s="35" t="inlineStr">
        <is>
          <t>TRIPLE</t>
        </is>
      </c>
      <c r="E4" s="35" t="inlineStr">
        <is>
          <t>Long</t>
        </is>
      </c>
      <c r="F4" s="33" t="n">
        <v>88</v>
      </c>
      <c r="G4" s="36" t="inlineStr">
        <is>
          <t>21:00</t>
        </is>
      </c>
      <c r="H4" s="37" t="n">
        <v>195.5</v>
      </c>
      <c r="I4" s="37" t="n">
        <v>194.8</v>
      </c>
      <c r="J4" s="37" t="n">
        <v>197.6</v>
      </c>
      <c r="K4" s="38" t="n">
        <v>0.05</v>
      </c>
      <c r="L4" s="37" t="n">
        <v>195.8</v>
      </c>
      <c r="M4" s="35" t="inlineStr">
        <is>
          <t>手動</t>
        </is>
      </c>
      <c r="N4" s="39">
        <f>IFERROR(IF(ISBLANK(H4),"",ABS(H4-I4)/VLOOKUP(C4,設定!$B$9:$D$23,2,FALSE)),"")</f>
        <v/>
      </c>
      <c r="O4" s="38">
        <f>IFERROR(IF(ISBLANK(J4),"",ABS(J4-H4)/ABS(H4-I4)),"")</f>
        <v/>
      </c>
      <c r="P4" s="40">
        <f>IFERROR(IF(OR(ISBLANK(L4),ISBLANK(E4)),"",IF(E4="Long",(L4-H4),(H4-L4))/VLOOKUP(C4,設定!$B$9:$D$23,2,FALSE)),"")</f>
        <v/>
      </c>
      <c r="Q4" s="41">
        <f>IFERROR(IF(OR(ISBLANK(P4),N4=0),"",P4/N4),"")</f>
        <v/>
      </c>
      <c r="R4" s="41">
        <f>IFERROR(IF(ISBLANK(Q4),R3,IF(ISNUMBER(R3),R3,0)+Q4),"")</f>
        <v/>
      </c>
      <c r="S4" s="42">
        <f>IFERROR(IF(OR(ISBLANK(P4),ISBLANK(K4)),"",P4*K4*VLOOKUP(C4,設定!$B$9:$D$23,3,FALSE)),"")</f>
        <v/>
      </c>
      <c r="T4" s="35" t="inlineStr">
        <is>
          <t>NY 時間に手動利確 (急騰警戒)</t>
        </is>
      </c>
    </row>
    <row r="5">
      <c r="A5" s="43">
        <f>IF(ISBLANK(B5),"",COUNTA($B$2:B5))</f>
        <v/>
      </c>
      <c r="B5" s="44" t="n"/>
      <c r="C5" s="45" t="n"/>
      <c r="D5" s="45" t="n"/>
      <c r="E5" s="45" t="n"/>
      <c r="F5" s="43" t="n"/>
      <c r="G5" s="46" t="n"/>
      <c r="H5" s="47" t="n"/>
      <c r="I5" s="47" t="n"/>
      <c r="J5" s="47" t="n"/>
      <c r="K5" s="48" t="n"/>
      <c r="L5" s="47" t="n"/>
      <c r="M5" s="45" t="n"/>
      <c r="N5" s="49">
        <f>IFERROR(IF(ISBLANK(H5),"",ABS(H5-I5)/VLOOKUP(C5,設定!$B$9:$D$23,2,FALSE)),"")</f>
        <v/>
      </c>
      <c r="O5" s="48">
        <f>IFERROR(IF(ISBLANK(J5),"",ABS(J5-H5)/ABS(H5-I5)),"")</f>
        <v/>
      </c>
      <c r="P5" s="50">
        <f>IFERROR(IF(OR(ISBLANK(L5),ISBLANK(E5)),"",IF(E5="Long",(L5-H5),(H5-L5))/VLOOKUP(C5,設定!$B$9:$D$23,2,FALSE)),"")</f>
        <v/>
      </c>
      <c r="Q5" s="51">
        <f>IFERROR(IF(OR(ISBLANK(P5),N5=0),"",P5/N5),"")</f>
        <v/>
      </c>
      <c r="R5" s="51">
        <f>IFERROR(IF(ISBLANK(Q5),R4,IF(ISNUMBER(R4),R4,0)+Q5),"")</f>
        <v/>
      </c>
      <c r="S5" s="52">
        <f>IFERROR(IF(OR(ISBLANK(P5),ISBLANK(K5)),"",P5*K5*VLOOKUP(C5,設定!$B$9:$D$23,3,FALSE)),"")</f>
        <v/>
      </c>
      <c r="T5" s="45" t="n"/>
    </row>
    <row r="6">
      <c r="A6" s="33">
        <f>IF(ISBLANK(B6),"",COUNTA($B$2:B6))</f>
        <v/>
      </c>
      <c r="B6" s="34" t="n"/>
      <c r="C6" s="35" t="n"/>
      <c r="D6" s="35" t="n"/>
      <c r="E6" s="35" t="n"/>
      <c r="F6" s="33" t="n"/>
      <c r="G6" s="36" t="n"/>
      <c r="H6" s="37" t="n"/>
      <c r="I6" s="37" t="n"/>
      <c r="J6" s="37" t="n"/>
      <c r="K6" s="38" t="n"/>
      <c r="L6" s="37" t="n"/>
      <c r="M6" s="35" t="n"/>
      <c r="N6" s="39">
        <f>IFERROR(IF(ISBLANK(H6),"",ABS(H6-I6)/VLOOKUP(C6,設定!$B$9:$D$23,2,FALSE)),"")</f>
        <v/>
      </c>
      <c r="O6" s="38">
        <f>IFERROR(IF(ISBLANK(J6),"",ABS(J6-H6)/ABS(H6-I6)),"")</f>
        <v/>
      </c>
      <c r="P6" s="40">
        <f>IFERROR(IF(OR(ISBLANK(L6),ISBLANK(E6)),"",IF(E6="Long",(L6-H6),(H6-L6))/VLOOKUP(C6,設定!$B$9:$D$23,2,FALSE)),"")</f>
        <v/>
      </c>
      <c r="Q6" s="41">
        <f>IFERROR(IF(OR(ISBLANK(P6),N6=0),"",P6/N6),"")</f>
        <v/>
      </c>
      <c r="R6" s="41">
        <f>IFERROR(IF(ISBLANK(Q6),R5,IF(ISNUMBER(R5),R5,0)+Q6),"")</f>
        <v/>
      </c>
      <c r="S6" s="42">
        <f>IFERROR(IF(OR(ISBLANK(P6),ISBLANK(K6)),"",P6*K6*VLOOKUP(C6,設定!$B$9:$D$23,3,FALSE)),"")</f>
        <v/>
      </c>
      <c r="T6" s="35" t="n"/>
    </row>
    <row r="7">
      <c r="A7" s="43">
        <f>IF(ISBLANK(B7),"",COUNTA($B$2:B7))</f>
        <v/>
      </c>
      <c r="B7" s="44" t="n"/>
      <c r="C7" s="45" t="n"/>
      <c r="D7" s="45" t="n"/>
      <c r="E7" s="45" t="n"/>
      <c r="F7" s="43" t="n"/>
      <c r="G7" s="46" t="n"/>
      <c r="H7" s="47" t="n"/>
      <c r="I7" s="47" t="n"/>
      <c r="J7" s="47" t="n"/>
      <c r="K7" s="48" t="n"/>
      <c r="L7" s="47" t="n"/>
      <c r="M7" s="45" t="n"/>
      <c r="N7" s="49">
        <f>IFERROR(IF(ISBLANK(H7),"",ABS(H7-I7)/VLOOKUP(C7,設定!$B$9:$D$23,2,FALSE)),"")</f>
        <v/>
      </c>
      <c r="O7" s="48">
        <f>IFERROR(IF(ISBLANK(J7),"",ABS(J7-H7)/ABS(H7-I7)),"")</f>
        <v/>
      </c>
      <c r="P7" s="50">
        <f>IFERROR(IF(OR(ISBLANK(L7),ISBLANK(E7)),"",IF(E7="Long",(L7-H7),(H7-L7))/VLOOKUP(C7,設定!$B$9:$D$23,2,FALSE)),"")</f>
        <v/>
      </c>
      <c r="Q7" s="51">
        <f>IFERROR(IF(OR(ISBLANK(P7),N7=0),"",P7/N7),"")</f>
        <v/>
      </c>
      <c r="R7" s="51">
        <f>IFERROR(IF(ISBLANK(Q7),R6,IF(ISNUMBER(R6),R6,0)+Q7),"")</f>
        <v/>
      </c>
      <c r="S7" s="52">
        <f>IFERROR(IF(OR(ISBLANK(P7),ISBLANK(K7)),"",P7*K7*VLOOKUP(C7,設定!$B$9:$D$23,3,FALSE)),"")</f>
        <v/>
      </c>
      <c r="T7" s="45" t="n"/>
    </row>
    <row r="8">
      <c r="A8" s="33">
        <f>IF(ISBLANK(B8),"",COUNTA($B$2:B8))</f>
        <v/>
      </c>
      <c r="B8" s="34" t="n"/>
      <c r="C8" s="35" t="n"/>
      <c r="D8" s="35" t="n"/>
      <c r="E8" s="35" t="n"/>
      <c r="F8" s="33" t="n"/>
      <c r="G8" s="36" t="n"/>
      <c r="H8" s="37" t="n"/>
      <c r="I8" s="37" t="n"/>
      <c r="J8" s="37" t="n"/>
      <c r="K8" s="38" t="n"/>
      <c r="L8" s="37" t="n"/>
      <c r="M8" s="35" t="n"/>
      <c r="N8" s="39">
        <f>IFERROR(IF(ISBLANK(H8),"",ABS(H8-I8)/VLOOKUP(C8,設定!$B$9:$D$23,2,FALSE)),"")</f>
        <v/>
      </c>
      <c r="O8" s="38">
        <f>IFERROR(IF(ISBLANK(J8),"",ABS(J8-H8)/ABS(H8-I8)),"")</f>
        <v/>
      </c>
      <c r="P8" s="40">
        <f>IFERROR(IF(OR(ISBLANK(L8),ISBLANK(E8)),"",IF(E8="Long",(L8-H8),(H8-L8))/VLOOKUP(C8,設定!$B$9:$D$23,2,FALSE)),"")</f>
        <v/>
      </c>
      <c r="Q8" s="41">
        <f>IFERROR(IF(OR(ISBLANK(P8),N8=0),"",P8/N8),"")</f>
        <v/>
      </c>
      <c r="R8" s="41">
        <f>IFERROR(IF(ISBLANK(Q8),R7,IF(ISNUMBER(R7),R7,0)+Q8),"")</f>
        <v/>
      </c>
      <c r="S8" s="42">
        <f>IFERROR(IF(OR(ISBLANK(P8),ISBLANK(K8)),"",P8*K8*VLOOKUP(C8,設定!$B$9:$D$23,3,FALSE)),"")</f>
        <v/>
      </c>
      <c r="T8" s="35" t="n"/>
    </row>
    <row r="9">
      <c r="A9" s="43">
        <f>IF(ISBLANK(B9),"",COUNTA($B$2:B9))</f>
        <v/>
      </c>
      <c r="B9" s="44" t="n"/>
      <c r="C9" s="45" t="n"/>
      <c r="D9" s="45" t="n"/>
      <c r="E9" s="45" t="n"/>
      <c r="F9" s="43" t="n"/>
      <c r="G9" s="46" t="n"/>
      <c r="H9" s="47" t="n"/>
      <c r="I9" s="47" t="n"/>
      <c r="J9" s="47" t="n"/>
      <c r="K9" s="48" t="n"/>
      <c r="L9" s="47" t="n"/>
      <c r="M9" s="45" t="n"/>
      <c r="N9" s="49">
        <f>IFERROR(IF(ISBLANK(H9),"",ABS(H9-I9)/VLOOKUP(C9,設定!$B$9:$D$23,2,FALSE)),"")</f>
        <v/>
      </c>
      <c r="O9" s="48">
        <f>IFERROR(IF(ISBLANK(J9),"",ABS(J9-H9)/ABS(H9-I9)),"")</f>
        <v/>
      </c>
      <c r="P9" s="50">
        <f>IFERROR(IF(OR(ISBLANK(L9),ISBLANK(E9)),"",IF(E9="Long",(L9-H9),(H9-L9))/VLOOKUP(C9,設定!$B$9:$D$23,2,FALSE)),"")</f>
        <v/>
      </c>
      <c r="Q9" s="51">
        <f>IFERROR(IF(OR(ISBLANK(P9),N9=0),"",P9/N9),"")</f>
        <v/>
      </c>
      <c r="R9" s="51">
        <f>IFERROR(IF(ISBLANK(Q9),R8,IF(ISNUMBER(R8),R8,0)+Q9),"")</f>
        <v/>
      </c>
      <c r="S9" s="52">
        <f>IFERROR(IF(OR(ISBLANK(P9),ISBLANK(K9)),"",P9*K9*VLOOKUP(C9,設定!$B$9:$D$23,3,FALSE)),"")</f>
        <v/>
      </c>
      <c r="T9" s="45" t="n"/>
    </row>
    <row r="10">
      <c r="A10" s="33">
        <f>IF(ISBLANK(B10),"",COUNTA($B$2:B10))</f>
        <v/>
      </c>
      <c r="B10" s="34" t="n"/>
      <c r="C10" s="35" t="n"/>
      <c r="D10" s="35" t="n"/>
      <c r="E10" s="35" t="n"/>
      <c r="F10" s="33" t="n"/>
      <c r="G10" s="36" t="n"/>
      <c r="H10" s="37" t="n"/>
      <c r="I10" s="37" t="n"/>
      <c r="J10" s="37" t="n"/>
      <c r="K10" s="38" t="n"/>
      <c r="L10" s="37" t="n"/>
      <c r="M10" s="35" t="n"/>
      <c r="N10" s="39">
        <f>IFERROR(IF(ISBLANK(H10),"",ABS(H10-I10)/VLOOKUP(C10,設定!$B$9:$D$23,2,FALSE)),"")</f>
        <v/>
      </c>
      <c r="O10" s="38">
        <f>IFERROR(IF(ISBLANK(J10),"",ABS(J10-H10)/ABS(H10-I10)),"")</f>
        <v/>
      </c>
      <c r="P10" s="40">
        <f>IFERROR(IF(OR(ISBLANK(L10),ISBLANK(E10)),"",IF(E10="Long",(L10-H10),(H10-L10))/VLOOKUP(C10,設定!$B$9:$D$23,2,FALSE)),"")</f>
        <v/>
      </c>
      <c r="Q10" s="41">
        <f>IFERROR(IF(OR(ISBLANK(P10),N10=0),"",P10/N10),"")</f>
        <v/>
      </c>
      <c r="R10" s="41">
        <f>IFERROR(IF(ISBLANK(Q10),R9,IF(ISNUMBER(R9),R9,0)+Q10),"")</f>
        <v/>
      </c>
      <c r="S10" s="42">
        <f>IFERROR(IF(OR(ISBLANK(P10),ISBLANK(K10)),"",P10*K10*VLOOKUP(C10,設定!$B$9:$D$23,3,FALSE)),"")</f>
        <v/>
      </c>
      <c r="T10" s="35" t="n"/>
    </row>
    <row r="11">
      <c r="A11" s="43">
        <f>IF(ISBLANK(B11),"",COUNTA($B$2:B11))</f>
        <v/>
      </c>
      <c r="B11" s="44" t="n"/>
      <c r="C11" s="45" t="n"/>
      <c r="D11" s="45" t="n"/>
      <c r="E11" s="45" t="n"/>
      <c r="F11" s="43" t="n"/>
      <c r="G11" s="46" t="n"/>
      <c r="H11" s="47" t="n"/>
      <c r="I11" s="47" t="n"/>
      <c r="J11" s="47" t="n"/>
      <c r="K11" s="48" t="n"/>
      <c r="L11" s="47" t="n"/>
      <c r="M11" s="45" t="n"/>
      <c r="N11" s="49">
        <f>IFERROR(IF(ISBLANK(H11),"",ABS(H11-I11)/VLOOKUP(C11,設定!$B$9:$D$23,2,FALSE)),"")</f>
        <v/>
      </c>
      <c r="O11" s="48">
        <f>IFERROR(IF(ISBLANK(J11),"",ABS(J11-H11)/ABS(H11-I11)),"")</f>
        <v/>
      </c>
      <c r="P11" s="50">
        <f>IFERROR(IF(OR(ISBLANK(L11),ISBLANK(E11)),"",IF(E11="Long",(L11-H11),(H11-L11))/VLOOKUP(C11,設定!$B$9:$D$23,2,FALSE)),"")</f>
        <v/>
      </c>
      <c r="Q11" s="51">
        <f>IFERROR(IF(OR(ISBLANK(P11),N11=0),"",P11/N11),"")</f>
        <v/>
      </c>
      <c r="R11" s="51">
        <f>IFERROR(IF(ISBLANK(Q11),R10,IF(ISNUMBER(R10),R10,0)+Q11),"")</f>
        <v/>
      </c>
      <c r="S11" s="52">
        <f>IFERROR(IF(OR(ISBLANK(P11),ISBLANK(K11)),"",P11*K11*VLOOKUP(C11,設定!$B$9:$D$23,3,FALSE)),"")</f>
        <v/>
      </c>
      <c r="T11" s="45" t="n"/>
    </row>
    <row r="12">
      <c r="A12" s="33">
        <f>IF(ISBLANK(B12),"",COUNTA($B$2:B12))</f>
        <v/>
      </c>
      <c r="B12" s="34" t="n"/>
      <c r="C12" s="35" t="n"/>
      <c r="D12" s="35" t="n"/>
      <c r="E12" s="35" t="n"/>
      <c r="F12" s="33" t="n"/>
      <c r="G12" s="36" t="n"/>
      <c r="H12" s="37" t="n"/>
      <c r="I12" s="37" t="n"/>
      <c r="J12" s="37" t="n"/>
      <c r="K12" s="38" t="n"/>
      <c r="L12" s="37" t="n"/>
      <c r="M12" s="35" t="n"/>
      <c r="N12" s="39">
        <f>IFERROR(IF(ISBLANK(H12),"",ABS(H12-I12)/VLOOKUP(C12,設定!$B$9:$D$23,2,FALSE)),"")</f>
        <v/>
      </c>
      <c r="O12" s="38">
        <f>IFERROR(IF(ISBLANK(J12),"",ABS(J12-H12)/ABS(H12-I12)),"")</f>
        <v/>
      </c>
      <c r="P12" s="40">
        <f>IFERROR(IF(OR(ISBLANK(L12),ISBLANK(E12)),"",IF(E12="Long",(L12-H12),(H12-L12))/VLOOKUP(C12,設定!$B$9:$D$23,2,FALSE)),"")</f>
        <v/>
      </c>
      <c r="Q12" s="41">
        <f>IFERROR(IF(OR(ISBLANK(P12),N12=0),"",P12/N12),"")</f>
        <v/>
      </c>
      <c r="R12" s="41">
        <f>IFERROR(IF(ISBLANK(Q12),R11,IF(ISNUMBER(R11),R11,0)+Q12),"")</f>
        <v/>
      </c>
      <c r="S12" s="42">
        <f>IFERROR(IF(OR(ISBLANK(P12),ISBLANK(K12)),"",P12*K12*VLOOKUP(C12,設定!$B$9:$D$23,3,FALSE)),"")</f>
        <v/>
      </c>
      <c r="T12" s="35" t="n"/>
    </row>
    <row r="13">
      <c r="A13" s="43">
        <f>IF(ISBLANK(B13),"",COUNTA($B$2:B13))</f>
        <v/>
      </c>
      <c r="B13" s="44" t="n"/>
      <c r="C13" s="45" t="n"/>
      <c r="D13" s="45" t="n"/>
      <c r="E13" s="45" t="n"/>
      <c r="F13" s="43" t="n"/>
      <c r="G13" s="46" t="n"/>
      <c r="H13" s="47" t="n"/>
      <c r="I13" s="47" t="n"/>
      <c r="J13" s="47" t="n"/>
      <c r="K13" s="48" t="n"/>
      <c r="L13" s="47" t="n"/>
      <c r="M13" s="45" t="n"/>
      <c r="N13" s="49">
        <f>IFERROR(IF(ISBLANK(H13),"",ABS(H13-I13)/VLOOKUP(C13,設定!$B$9:$D$23,2,FALSE)),"")</f>
        <v/>
      </c>
      <c r="O13" s="48">
        <f>IFERROR(IF(ISBLANK(J13),"",ABS(J13-H13)/ABS(H13-I13)),"")</f>
        <v/>
      </c>
      <c r="P13" s="50">
        <f>IFERROR(IF(OR(ISBLANK(L13),ISBLANK(E13)),"",IF(E13="Long",(L13-H13),(H13-L13))/VLOOKUP(C13,設定!$B$9:$D$23,2,FALSE)),"")</f>
        <v/>
      </c>
      <c r="Q13" s="51">
        <f>IFERROR(IF(OR(ISBLANK(P13),N13=0),"",P13/N13),"")</f>
        <v/>
      </c>
      <c r="R13" s="51">
        <f>IFERROR(IF(ISBLANK(Q13),R12,IF(ISNUMBER(R12),R12,0)+Q13),"")</f>
        <v/>
      </c>
      <c r="S13" s="52">
        <f>IFERROR(IF(OR(ISBLANK(P13),ISBLANK(K13)),"",P13*K13*VLOOKUP(C13,設定!$B$9:$D$23,3,FALSE)),"")</f>
        <v/>
      </c>
      <c r="T13" s="45" t="n"/>
    </row>
    <row r="14">
      <c r="A14" s="33">
        <f>IF(ISBLANK(B14),"",COUNTA($B$2:B14))</f>
        <v/>
      </c>
      <c r="B14" s="34" t="n"/>
      <c r="C14" s="35" t="n"/>
      <c r="D14" s="35" t="n"/>
      <c r="E14" s="35" t="n"/>
      <c r="F14" s="33" t="n"/>
      <c r="G14" s="36" t="n"/>
      <c r="H14" s="37" t="n"/>
      <c r="I14" s="37" t="n"/>
      <c r="J14" s="37" t="n"/>
      <c r="K14" s="38" t="n"/>
      <c r="L14" s="37" t="n"/>
      <c r="M14" s="35" t="n"/>
      <c r="N14" s="39">
        <f>IFERROR(IF(ISBLANK(H14),"",ABS(H14-I14)/VLOOKUP(C14,設定!$B$9:$D$23,2,FALSE)),"")</f>
        <v/>
      </c>
      <c r="O14" s="38">
        <f>IFERROR(IF(ISBLANK(J14),"",ABS(J14-H14)/ABS(H14-I14)),"")</f>
        <v/>
      </c>
      <c r="P14" s="40">
        <f>IFERROR(IF(OR(ISBLANK(L14),ISBLANK(E14)),"",IF(E14="Long",(L14-H14),(H14-L14))/VLOOKUP(C14,設定!$B$9:$D$23,2,FALSE)),"")</f>
        <v/>
      </c>
      <c r="Q14" s="41">
        <f>IFERROR(IF(OR(ISBLANK(P14),N14=0),"",P14/N14),"")</f>
        <v/>
      </c>
      <c r="R14" s="41">
        <f>IFERROR(IF(ISBLANK(Q14),R13,IF(ISNUMBER(R13),R13,0)+Q14),"")</f>
        <v/>
      </c>
      <c r="S14" s="42">
        <f>IFERROR(IF(OR(ISBLANK(P14),ISBLANK(K14)),"",P14*K14*VLOOKUP(C14,設定!$B$9:$D$23,3,FALSE)),"")</f>
        <v/>
      </c>
      <c r="T14" s="35" t="n"/>
    </row>
    <row r="15">
      <c r="A15" s="43">
        <f>IF(ISBLANK(B15),"",COUNTA($B$2:B15))</f>
        <v/>
      </c>
      <c r="B15" s="44" t="n"/>
      <c r="C15" s="45" t="n"/>
      <c r="D15" s="45" t="n"/>
      <c r="E15" s="45" t="n"/>
      <c r="F15" s="43" t="n"/>
      <c r="G15" s="46" t="n"/>
      <c r="H15" s="47" t="n"/>
      <c r="I15" s="47" t="n"/>
      <c r="J15" s="47" t="n"/>
      <c r="K15" s="48" t="n"/>
      <c r="L15" s="47" t="n"/>
      <c r="M15" s="45" t="n"/>
      <c r="N15" s="49">
        <f>IFERROR(IF(ISBLANK(H15),"",ABS(H15-I15)/VLOOKUP(C15,設定!$B$9:$D$23,2,FALSE)),"")</f>
        <v/>
      </c>
      <c r="O15" s="48">
        <f>IFERROR(IF(ISBLANK(J15),"",ABS(J15-H15)/ABS(H15-I15)),"")</f>
        <v/>
      </c>
      <c r="P15" s="50">
        <f>IFERROR(IF(OR(ISBLANK(L15),ISBLANK(E15)),"",IF(E15="Long",(L15-H15),(H15-L15))/VLOOKUP(C15,設定!$B$9:$D$23,2,FALSE)),"")</f>
        <v/>
      </c>
      <c r="Q15" s="51">
        <f>IFERROR(IF(OR(ISBLANK(P15),N15=0),"",P15/N15),"")</f>
        <v/>
      </c>
      <c r="R15" s="51">
        <f>IFERROR(IF(ISBLANK(Q15),R14,IF(ISNUMBER(R14),R14,0)+Q15),"")</f>
        <v/>
      </c>
      <c r="S15" s="52">
        <f>IFERROR(IF(OR(ISBLANK(P15),ISBLANK(K15)),"",P15*K15*VLOOKUP(C15,設定!$B$9:$D$23,3,FALSE)),"")</f>
        <v/>
      </c>
      <c r="T15" s="45" t="n"/>
    </row>
    <row r="16">
      <c r="A16" s="33">
        <f>IF(ISBLANK(B16),"",COUNTA($B$2:B16))</f>
        <v/>
      </c>
      <c r="B16" s="34" t="n"/>
      <c r="C16" s="35" t="n"/>
      <c r="D16" s="35" t="n"/>
      <c r="E16" s="35" t="n"/>
      <c r="F16" s="33" t="n"/>
      <c r="G16" s="36" t="n"/>
      <c r="H16" s="37" t="n"/>
      <c r="I16" s="37" t="n"/>
      <c r="J16" s="37" t="n"/>
      <c r="K16" s="38" t="n"/>
      <c r="L16" s="37" t="n"/>
      <c r="M16" s="35" t="n"/>
      <c r="N16" s="39">
        <f>IFERROR(IF(ISBLANK(H16),"",ABS(H16-I16)/VLOOKUP(C16,設定!$B$9:$D$23,2,FALSE)),"")</f>
        <v/>
      </c>
      <c r="O16" s="38">
        <f>IFERROR(IF(ISBLANK(J16),"",ABS(J16-H16)/ABS(H16-I16)),"")</f>
        <v/>
      </c>
      <c r="P16" s="40">
        <f>IFERROR(IF(OR(ISBLANK(L16),ISBLANK(E16)),"",IF(E16="Long",(L16-H16),(H16-L16))/VLOOKUP(C16,設定!$B$9:$D$23,2,FALSE)),"")</f>
        <v/>
      </c>
      <c r="Q16" s="41">
        <f>IFERROR(IF(OR(ISBLANK(P16),N16=0),"",P16/N16),"")</f>
        <v/>
      </c>
      <c r="R16" s="41">
        <f>IFERROR(IF(ISBLANK(Q16),R15,IF(ISNUMBER(R15),R15,0)+Q16),"")</f>
        <v/>
      </c>
      <c r="S16" s="42">
        <f>IFERROR(IF(OR(ISBLANK(P16),ISBLANK(K16)),"",P16*K16*VLOOKUP(C16,設定!$B$9:$D$23,3,FALSE)),"")</f>
        <v/>
      </c>
      <c r="T16" s="35" t="n"/>
    </row>
    <row r="17">
      <c r="A17" s="43">
        <f>IF(ISBLANK(B17),"",COUNTA($B$2:B17))</f>
        <v/>
      </c>
      <c r="B17" s="44" t="n"/>
      <c r="C17" s="45" t="n"/>
      <c r="D17" s="45" t="n"/>
      <c r="E17" s="45" t="n"/>
      <c r="F17" s="43" t="n"/>
      <c r="G17" s="46" t="n"/>
      <c r="H17" s="47" t="n"/>
      <c r="I17" s="47" t="n"/>
      <c r="J17" s="47" t="n"/>
      <c r="K17" s="48" t="n"/>
      <c r="L17" s="47" t="n"/>
      <c r="M17" s="45" t="n"/>
      <c r="N17" s="49">
        <f>IFERROR(IF(ISBLANK(H17),"",ABS(H17-I17)/VLOOKUP(C17,設定!$B$9:$D$23,2,FALSE)),"")</f>
        <v/>
      </c>
      <c r="O17" s="48">
        <f>IFERROR(IF(ISBLANK(J17),"",ABS(J17-H17)/ABS(H17-I17)),"")</f>
        <v/>
      </c>
      <c r="P17" s="50">
        <f>IFERROR(IF(OR(ISBLANK(L17),ISBLANK(E17)),"",IF(E17="Long",(L17-H17),(H17-L17))/VLOOKUP(C17,設定!$B$9:$D$23,2,FALSE)),"")</f>
        <v/>
      </c>
      <c r="Q17" s="51">
        <f>IFERROR(IF(OR(ISBLANK(P17),N17=0),"",P17/N17),"")</f>
        <v/>
      </c>
      <c r="R17" s="51">
        <f>IFERROR(IF(ISBLANK(Q17),R16,IF(ISNUMBER(R16),R16,0)+Q17),"")</f>
        <v/>
      </c>
      <c r="S17" s="52">
        <f>IFERROR(IF(OR(ISBLANK(P17),ISBLANK(K17)),"",P17*K17*VLOOKUP(C17,設定!$B$9:$D$23,3,FALSE)),"")</f>
        <v/>
      </c>
      <c r="T17" s="45" t="n"/>
    </row>
    <row r="18">
      <c r="A18" s="33">
        <f>IF(ISBLANK(B18),"",COUNTA($B$2:B18))</f>
        <v/>
      </c>
      <c r="B18" s="34" t="n"/>
      <c r="C18" s="35" t="n"/>
      <c r="D18" s="35" t="n"/>
      <c r="E18" s="35" t="n"/>
      <c r="F18" s="33" t="n"/>
      <c r="G18" s="36" t="n"/>
      <c r="H18" s="37" t="n"/>
      <c r="I18" s="37" t="n"/>
      <c r="J18" s="37" t="n"/>
      <c r="K18" s="38" t="n"/>
      <c r="L18" s="37" t="n"/>
      <c r="M18" s="35" t="n"/>
      <c r="N18" s="39">
        <f>IFERROR(IF(ISBLANK(H18),"",ABS(H18-I18)/VLOOKUP(C18,設定!$B$9:$D$23,2,FALSE)),"")</f>
        <v/>
      </c>
      <c r="O18" s="38">
        <f>IFERROR(IF(ISBLANK(J18),"",ABS(J18-H18)/ABS(H18-I18)),"")</f>
        <v/>
      </c>
      <c r="P18" s="40">
        <f>IFERROR(IF(OR(ISBLANK(L18),ISBLANK(E18)),"",IF(E18="Long",(L18-H18),(H18-L18))/VLOOKUP(C18,設定!$B$9:$D$23,2,FALSE)),"")</f>
        <v/>
      </c>
      <c r="Q18" s="41">
        <f>IFERROR(IF(OR(ISBLANK(P18),N18=0),"",P18/N18),"")</f>
        <v/>
      </c>
      <c r="R18" s="41">
        <f>IFERROR(IF(ISBLANK(Q18),R17,IF(ISNUMBER(R17),R17,0)+Q18),"")</f>
        <v/>
      </c>
      <c r="S18" s="42">
        <f>IFERROR(IF(OR(ISBLANK(P18),ISBLANK(K18)),"",P18*K18*VLOOKUP(C18,設定!$B$9:$D$23,3,FALSE)),"")</f>
        <v/>
      </c>
      <c r="T18" s="35" t="n"/>
    </row>
    <row r="19">
      <c r="A19" s="43">
        <f>IF(ISBLANK(B19),"",COUNTA($B$2:B19))</f>
        <v/>
      </c>
      <c r="B19" s="44" t="n"/>
      <c r="C19" s="45" t="n"/>
      <c r="D19" s="45" t="n"/>
      <c r="E19" s="45" t="n"/>
      <c r="F19" s="43" t="n"/>
      <c r="G19" s="46" t="n"/>
      <c r="H19" s="47" t="n"/>
      <c r="I19" s="47" t="n"/>
      <c r="J19" s="47" t="n"/>
      <c r="K19" s="48" t="n"/>
      <c r="L19" s="47" t="n"/>
      <c r="M19" s="45" t="n"/>
      <c r="N19" s="49">
        <f>IFERROR(IF(ISBLANK(H19),"",ABS(H19-I19)/VLOOKUP(C19,設定!$B$9:$D$23,2,FALSE)),"")</f>
        <v/>
      </c>
      <c r="O19" s="48">
        <f>IFERROR(IF(ISBLANK(J19),"",ABS(J19-H19)/ABS(H19-I19)),"")</f>
        <v/>
      </c>
      <c r="P19" s="50">
        <f>IFERROR(IF(OR(ISBLANK(L19),ISBLANK(E19)),"",IF(E19="Long",(L19-H19),(H19-L19))/VLOOKUP(C19,設定!$B$9:$D$23,2,FALSE)),"")</f>
        <v/>
      </c>
      <c r="Q19" s="51">
        <f>IFERROR(IF(OR(ISBLANK(P19),N19=0),"",P19/N19),"")</f>
        <v/>
      </c>
      <c r="R19" s="51">
        <f>IFERROR(IF(ISBLANK(Q19),R18,IF(ISNUMBER(R18),R18,0)+Q19),"")</f>
        <v/>
      </c>
      <c r="S19" s="52">
        <f>IFERROR(IF(OR(ISBLANK(P19),ISBLANK(K19)),"",P19*K19*VLOOKUP(C19,設定!$B$9:$D$23,3,FALSE)),"")</f>
        <v/>
      </c>
      <c r="T19" s="45" t="n"/>
    </row>
    <row r="20">
      <c r="A20" s="33">
        <f>IF(ISBLANK(B20),"",COUNTA($B$2:B20))</f>
        <v/>
      </c>
      <c r="B20" s="34" t="n"/>
      <c r="C20" s="35" t="n"/>
      <c r="D20" s="35" t="n"/>
      <c r="E20" s="35" t="n"/>
      <c r="F20" s="33" t="n"/>
      <c r="G20" s="36" t="n"/>
      <c r="H20" s="37" t="n"/>
      <c r="I20" s="37" t="n"/>
      <c r="J20" s="37" t="n"/>
      <c r="K20" s="38" t="n"/>
      <c r="L20" s="37" t="n"/>
      <c r="M20" s="35" t="n"/>
      <c r="N20" s="39">
        <f>IFERROR(IF(ISBLANK(H20),"",ABS(H20-I20)/VLOOKUP(C20,設定!$B$9:$D$23,2,FALSE)),"")</f>
        <v/>
      </c>
      <c r="O20" s="38">
        <f>IFERROR(IF(ISBLANK(J20),"",ABS(J20-H20)/ABS(H20-I20)),"")</f>
        <v/>
      </c>
      <c r="P20" s="40">
        <f>IFERROR(IF(OR(ISBLANK(L20),ISBLANK(E20)),"",IF(E20="Long",(L20-H20),(H20-L20))/VLOOKUP(C20,設定!$B$9:$D$23,2,FALSE)),"")</f>
        <v/>
      </c>
      <c r="Q20" s="41">
        <f>IFERROR(IF(OR(ISBLANK(P20),N20=0),"",P20/N20),"")</f>
        <v/>
      </c>
      <c r="R20" s="41">
        <f>IFERROR(IF(ISBLANK(Q20),R19,IF(ISNUMBER(R19),R19,0)+Q20),"")</f>
        <v/>
      </c>
      <c r="S20" s="42">
        <f>IFERROR(IF(OR(ISBLANK(P20),ISBLANK(K20)),"",P20*K20*VLOOKUP(C20,設定!$B$9:$D$23,3,FALSE)),"")</f>
        <v/>
      </c>
      <c r="T20" s="35" t="n"/>
    </row>
    <row r="21">
      <c r="A21" s="43">
        <f>IF(ISBLANK(B21),"",COUNTA($B$2:B21))</f>
        <v/>
      </c>
      <c r="B21" s="44" t="n"/>
      <c r="C21" s="45" t="n"/>
      <c r="D21" s="45" t="n"/>
      <c r="E21" s="45" t="n"/>
      <c r="F21" s="43" t="n"/>
      <c r="G21" s="46" t="n"/>
      <c r="H21" s="47" t="n"/>
      <c r="I21" s="47" t="n"/>
      <c r="J21" s="47" t="n"/>
      <c r="K21" s="48" t="n"/>
      <c r="L21" s="47" t="n"/>
      <c r="M21" s="45" t="n"/>
      <c r="N21" s="49">
        <f>IFERROR(IF(ISBLANK(H21),"",ABS(H21-I21)/VLOOKUP(C21,設定!$B$9:$D$23,2,FALSE)),"")</f>
        <v/>
      </c>
      <c r="O21" s="48">
        <f>IFERROR(IF(ISBLANK(J21),"",ABS(J21-H21)/ABS(H21-I21)),"")</f>
        <v/>
      </c>
      <c r="P21" s="50">
        <f>IFERROR(IF(OR(ISBLANK(L21),ISBLANK(E21)),"",IF(E21="Long",(L21-H21),(H21-L21))/VLOOKUP(C21,設定!$B$9:$D$23,2,FALSE)),"")</f>
        <v/>
      </c>
      <c r="Q21" s="51">
        <f>IFERROR(IF(OR(ISBLANK(P21),N21=0),"",P21/N21),"")</f>
        <v/>
      </c>
      <c r="R21" s="51">
        <f>IFERROR(IF(ISBLANK(Q21),R20,IF(ISNUMBER(R20),R20,0)+Q21),"")</f>
        <v/>
      </c>
      <c r="S21" s="52">
        <f>IFERROR(IF(OR(ISBLANK(P21),ISBLANK(K21)),"",P21*K21*VLOOKUP(C21,設定!$B$9:$D$23,3,FALSE)),"")</f>
        <v/>
      </c>
      <c r="T21" s="45" t="n"/>
    </row>
    <row r="22">
      <c r="A22" s="33">
        <f>IF(ISBLANK(B22),"",COUNTA($B$2:B22))</f>
        <v/>
      </c>
      <c r="B22" s="34" t="n"/>
      <c r="C22" s="35" t="n"/>
      <c r="D22" s="35" t="n"/>
      <c r="E22" s="35" t="n"/>
      <c r="F22" s="33" t="n"/>
      <c r="G22" s="36" t="n"/>
      <c r="H22" s="37" t="n"/>
      <c r="I22" s="37" t="n"/>
      <c r="J22" s="37" t="n"/>
      <c r="K22" s="38" t="n"/>
      <c r="L22" s="37" t="n"/>
      <c r="M22" s="35" t="n"/>
      <c r="N22" s="39">
        <f>IFERROR(IF(ISBLANK(H22),"",ABS(H22-I22)/VLOOKUP(C22,設定!$B$9:$D$23,2,FALSE)),"")</f>
        <v/>
      </c>
      <c r="O22" s="38">
        <f>IFERROR(IF(ISBLANK(J22),"",ABS(J22-H22)/ABS(H22-I22)),"")</f>
        <v/>
      </c>
      <c r="P22" s="40">
        <f>IFERROR(IF(OR(ISBLANK(L22),ISBLANK(E22)),"",IF(E22="Long",(L22-H22),(H22-L22))/VLOOKUP(C22,設定!$B$9:$D$23,2,FALSE)),"")</f>
        <v/>
      </c>
      <c r="Q22" s="41">
        <f>IFERROR(IF(OR(ISBLANK(P22),N22=0),"",P22/N22),"")</f>
        <v/>
      </c>
      <c r="R22" s="41">
        <f>IFERROR(IF(ISBLANK(Q22),R21,IF(ISNUMBER(R21),R21,0)+Q22),"")</f>
        <v/>
      </c>
      <c r="S22" s="42">
        <f>IFERROR(IF(OR(ISBLANK(P22),ISBLANK(K22)),"",P22*K22*VLOOKUP(C22,設定!$B$9:$D$23,3,FALSE)),"")</f>
        <v/>
      </c>
      <c r="T22" s="35" t="n"/>
    </row>
    <row r="23">
      <c r="A23" s="43">
        <f>IF(ISBLANK(B23),"",COUNTA($B$2:B23))</f>
        <v/>
      </c>
      <c r="B23" s="44" t="n"/>
      <c r="C23" s="45" t="n"/>
      <c r="D23" s="45" t="n"/>
      <c r="E23" s="45" t="n"/>
      <c r="F23" s="43" t="n"/>
      <c r="G23" s="46" t="n"/>
      <c r="H23" s="47" t="n"/>
      <c r="I23" s="47" t="n"/>
      <c r="J23" s="47" t="n"/>
      <c r="K23" s="48" t="n"/>
      <c r="L23" s="47" t="n"/>
      <c r="M23" s="45" t="n"/>
      <c r="N23" s="49">
        <f>IFERROR(IF(ISBLANK(H23),"",ABS(H23-I23)/VLOOKUP(C23,設定!$B$9:$D$23,2,FALSE)),"")</f>
        <v/>
      </c>
      <c r="O23" s="48">
        <f>IFERROR(IF(ISBLANK(J23),"",ABS(J23-H23)/ABS(H23-I23)),"")</f>
        <v/>
      </c>
      <c r="P23" s="50">
        <f>IFERROR(IF(OR(ISBLANK(L23),ISBLANK(E23)),"",IF(E23="Long",(L23-H23),(H23-L23))/VLOOKUP(C23,設定!$B$9:$D$23,2,FALSE)),"")</f>
        <v/>
      </c>
      <c r="Q23" s="51">
        <f>IFERROR(IF(OR(ISBLANK(P23),N23=0),"",P23/N23),"")</f>
        <v/>
      </c>
      <c r="R23" s="51">
        <f>IFERROR(IF(ISBLANK(Q23),R22,IF(ISNUMBER(R22),R22,0)+Q23),"")</f>
        <v/>
      </c>
      <c r="S23" s="52">
        <f>IFERROR(IF(OR(ISBLANK(P23),ISBLANK(K23)),"",P23*K23*VLOOKUP(C23,設定!$B$9:$D$23,3,FALSE)),"")</f>
        <v/>
      </c>
      <c r="T23" s="45" t="n"/>
    </row>
    <row r="24">
      <c r="A24" s="33">
        <f>IF(ISBLANK(B24),"",COUNTA($B$2:B24))</f>
        <v/>
      </c>
      <c r="B24" s="34" t="n"/>
      <c r="C24" s="35" t="n"/>
      <c r="D24" s="35" t="n"/>
      <c r="E24" s="35" t="n"/>
      <c r="F24" s="33" t="n"/>
      <c r="G24" s="36" t="n"/>
      <c r="H24" s="37" t="n"/>
      <c r="I24" s="37" t="n"/>
      <c r="J24" s="37" t="n"/>
      <c r="K24" s="38" t="n"/>
      <c r="L24" s="37" t="n"/>
      <c r="M24" s="35" t="n"/>
      <c r="N24" s="39">
        <f>IFERROR(IF(ISBLANK(H24),"",ABS(H24-I24)/VLOOKUP(C24,設定!$B$9:$D$23,2,FALSE)),"")</f>
        <v/>
      </c>
      <c r="O24" s="38">
        <f>IFERROR(IF(ISBLANK(J24),"",ABS(J24-H24)/ABS(H24-I24)),"")</f>
        <v/>
      </c>
      <c r="P24" s="40">
        <f>IFERROR(IF(OR(ISBLANK(L24),ISBLANK(E24)),"",IF(E24="Long",(L24-H24),(H24-L24))/VLOOKUP(C24,設定!$B$9:$D$23,2,FALSE)),"")</f>
        <v/>
      </c>
      <c r="Q24" s="41">
        <f>IFERROR(IF(OR(ISBLANK(P24),N24=0),"",P24/N24),"")</f>
        <v/>
      </c>
      <c r="R24" s="41">
        <f>IFERROR(IF(ISBLANK(Q24),R23,IF(ISNUMBER(R23),R23,0)+Q24),"")</f>
        <v/>
      </c>
      <c r="S24" s="42">
        <f>IFERROR(IF(OR(ISBLANK(P24),ISBLANK(K24)),"",P24*K24*VLOOKUP(C24,設定!$B$9:$D$23,3,FALSE)),"")</f>
        <v/>
      </c>
      <c r="T24" s="35" t="n"/>
    </row>
    <row r="25">
      <c r="A25" s="43">
        <f>IF(ISBLANK(B25),"",COUNTA($B$2:B25))</f>
        <v/>
      </c>
      <c r="B25" s="44" t="n"/>
      <c r="C25" s="45" t="n"/>
      <c r="D25" s="45" t="n"/>
      <c r="E25" s="45" t="n"/>
      <c r="F25" s="43" t="n"/>
      <c r="G25" s="46" t="n"/>
      <c r="H25" s="47" t="n"/>
      <c r="I25" s="47" t="n"/>
      <c r="J25" s="47" t="n"/>
      <c r="K25" s="48" t="n"/>
      <c r="L25" s="47" t="n"/>
      <c r="M25" s="45" t="n"/>
      <c r="N25" s="49">
        <f>IFERROR(IF(ISBLANK(H25),"",ABS(H25-I25)/VLOOKUP(C25,設定!$B$9:$D$23,2,FALSE)),"")</f>
        <v/>
      </c>
      <c r="O25" s="48">
        <f>IFERROR(IF(ISBLANK(J25),"",ABS(J25-H25)/ABS(H25-I25)),"")</f>
        <v/>
      </c>
      <c r="P25" s="50">
        <f>IFERROR(IF(OR(ISBLANK(L25),ISBLANK(E25)),"",IF(E25="Long",(L25-H25),(H25-L25))/VLOOKUP(C25,設定!$B$9:$D$23,2,FALSE)),"")</f>
        <v/>
      </c>
      <c r="Q25" s="51">
        <f>IFERROR(IF(OR(ISBLANK(P25),N25=0),"",P25/N25),"")</f>
        <v/>
      </c>
      <c r="R25" s="51">
        <f>IFERROR(IF(ISBLANK(Q25),R24,IF(ISNUMBER(R24),R24,0)+Q25),"")</f>
        <v/>
      </c>
      <c r="S25" s="52">
        <f>IFERROR(IF(OR(ISBLANK(P25),ISBLANK(K25)),"",P25*K25*VLOOKUP(C25,設定!$B$9:$D$23,3,FALSE)),"")</f>
        <v/>
      </c>
      <c r="T25" s="45" t="n"/>
    </row>
    <row r="26">
      <c r="A26" s="33">
        <f>IF(ISBLANK(B26),"",COUNTA($B$2:B26))</f>
        <v/>
      </c>
      <c r="B26" s="34" t="n"/>
      <c r="C26" s="35" t="n"/>
      <c r="D26" s="35" t="n"/>
      <c r="E26" s="35" t="n"/>
      <c r="F26" s="33" t="n"/>
      <c r="G26" s="36" t="n"/>
      <c r="H26" s="37" t="n"/>
      <c r="I26" s="37" t="n"/>
      <c r="J26" s="37" t="n"/>
      <c r="K26" s="38" t="n"/>
      <c r="L26" s="37" t="n"/>
      <c r="M26" s="35" t="n"/>
      <c r="N26" s="39">
        <f>IFERROR(IF(ISBLANK(H26),"",ABS(H26-I26)/VLOOKUP(C26,設定!$B$9:$D$23,2,FALSE)),"")</f>
        <v/>
      </c>
      <c r="O26" s="38">
        <f>IFERROR(IF(ISBLANK(J26),"",ABS(J26-H26)/ABS(H26-I26)),"")</f>
        <v/>
      </c>
      <c r="P26" s="40">
        <f>IFERROR(IF(OR(ISBLANK(L26),ISBLANK(E26)),"",IF(E26="Long",(L26-H26),(H26-L26))/VLOOKUP(C26,設定!$B$9:$D$23,2,FALSE)),"")</f>
        <v/>
      </c>
      <c r="Q26" s="41">
        <f>IFERROR(IF(OR(ISBLANK(P26),N26=0),"",P26/N26),"")</f>
        <v/>
      </c>
      <c r="R26" s="41">
        <f>IFERROR(IF(ISBLANK(Q26),R25,IF(ISNUMBER(R25),R25,0)+Q26),"")</f>
        <v/>
      </c>
      <c r="S26" s="42">
        <f>IFERROR(IF(OR(ISBLANK(P26),ISBLANK(K26)),"",P26*K26*VLOOKUP(C26,設定!$B$9:$D$23,3,FALSE)),"")</f>
        <v/>
      </c>
      <c r="T26" s="35" t="n"/>
    </row>
    <row r="27">
      <c r="A27" s="43">
        <f>IF(ISBLANK(B27),"",COUNTA($B$2:B27))</f>
        <v/>
      </c>
      <c r="B27" s="44" t="n"/>
      <c r="C27" s="45" t="n"/>
      <c r="D27" s="45" t="n"/>
      <c r="E27" s="45" t="n"/>
      <c r="F27" s="43" t="n"/>
      <c r="G27" s="46" t="n"/>
      <c r="H27" s="47" t="n"/>
      <c r="I27" s="47" t="n"/>
      <c r="J27" s="47" t="n"/>
      <c r="K27" s="48" t="n"/>
      <c r="L27" s="47" t="n"/>
      <c r="M27" s="45" t="n"/>
      <c r="N27" s="49">
        <f>IFERROR(IF(ISBLANK(H27),"",ABS(H27-I27)/VLOOKUP(C27,設定!$B$9:$D$23,2,FALSE)),"")</f>
        <v/>
      </c>
      <c r="O27" s="48">
        <f>IFERROR(IF(ISBLANK(J27),"",ABS(J27-H27)/ABS(H27-I27)),"")</f>
        <v/>
      </c>
      <c r="P27" s="50">
        <f>IFERROR(IF(OR(ISBLANK(L27),ISBLANK(E27)),"",IF(E27="Long",(L27-H27),(H27-L27))/VLOOKUP(C27,設定!$B$9:$D$23,2,FALSE)),"")</f>
        <v/>
      </c>
      <c r="Q27" s="51">
        <f>IFERROR(IF(OR(ISBLANK(P27),N27=0),"",P27/N27),"")</f>
        <v/>
      </c>
      <c r="R27" s="51">
        <f>IFERROR(IF(ISBLANK(Q27),R26,IF(ISNUMBER(R26),R26,0)+Q27),"")</f>
        <v/>
      </c>
      <c r="S27" s="52">
        <f>IFERROR(IF(OR(ISBLANK(P27),ISBLANK(K27)),"",P27*K27*VLOOKUP(C27,設定!$B$9:$D$23,3,FALSE)),"")</f>
        <v/>
      </c>
      <c r="T27" s="45" t="n"/>
    </row>
    <row r="28">
      <c r="A28" s="33">
        <f>IF(ISBLANK(B28),"",COUNTA($B$2:B28))</f>
        <v/>
      </c>
      <c r="B28" s="34" t="n"/>
      <c r="C28" s="35" t="n"/>
      <c r="D28" s="35" t="n"/>
      <c r="E28" s="35" t="n"/>
      <c r="F28" s="33" t="n"/>
      <c r="G28" s="36" t="n"/>
      <c r="H28" s="37" t="n"/>
      <c r="I28" s="37" t="n"/>
      <c r="J28" s="37" t="n"/>
      <c r="K28" s="38" t="n"/>
      <c r="L28" s="37" t="n"/>
      <c r="M28" s="35" t="n"/>
      <c r="N28" s="39">
        <f>IFERROR(IF(ISBLANK(H28),"",ABS(H28-I28)/VLOOKUP(C28,設定!$B$9:$D$23,2,FALSE)),"")</f>
        <v/>
      </c>
      <c r="O28" s="38">
        <f>IFERROR(IF(ISBLANK(J28),"",ABS(J28-H28)/ABS(H28-I28)),"")</f>
        <v/>
      </c>
      <c r="P28" s="40">
        <f>IFERROR(IF(OR(ISBLANK(L28),ISBLANK(E28)),"",IF(E28="Long",(L28-H28),(H28-L28))/VLOOKUP(C28,設定!$B$9:$D$23,2,FALSE)),"")</f>
        <v/>
      </c>
      <c r="Q28" s="41">
        <f>IFERROR(IF(OR(ISBLANK(P28),N28=0),"",P28/N28),"")</f>
        <v/>
      </c>
      <c r="R28" s="41">
        <f>IFERROR(IF(ISBLANK(Q28),R27,IF(ISNUMBER(R27),R27,0)+Q28),"")</f>
        <v/>
      </c>
      <c r="S28" s="42">
        <f>IFERROR(IF(OR(ISBLANK(P28),ISBLANK(K28)),"",P28*K28*VLOOKUP(C28,設定!$B$9:$D$23,3,FALSE)),"")</f>
        <v/>
      </c>
      <c r="T28" s="35" t="n"/>
    </row>
    <row r="29">
      <c r="A29" s="43">
        <f>IF(ISBLANK(B29),"",COUNTA($B$2:B29))</f>
        <v/>
      </c>
      <c r="B29" s="44" t="n"/>
      <c r="C29" s="45" t="n"/>
      <c r="D29" s="45" t="n"/>
      <c r="E29" s="45" t="n"/>
      <c r="F29" s="43" t="n"/>
      <c r="G29" s="46" t="n"/>
      <c r="H29" s="47" t="n"/>
      <c r="I29" s="47" t="n"/>
      <c r="J29" s="47" t="n"/>
      <c r="K29" s="48" t="n"/>
      <c r="L29" s="47" t="n"/>
      <c r="M29" s="45" t="n"/>
      <c r="N29" s="49">
        <f>IFERROR(IF(ISBLANK(H29),"",ABS(H29-I29)/VLOOKUP(C29,設定!$B$9:$D$23,2,FALSE)),"")</f>
        <v/>
      </c>
      <c r="O29" s="48">
        <f>IFERROR(IF(ISBLANK(J29),"",ABS(J29-H29)/ABS(H29-I29)),"")</f>
        <v/>
      </c>
      <c r="P29" s="50">
        <f>IFERROR(IF(OR(ISBLANK(L29),ISBLANK(E29)),"",IF(E29="Long",(L29-H29),(H29-L29))/VLOOKUP(C29,設定!$B$9:$D$23,2,FALSE)),"")</f>
        <v/>
      </c>
      <c r="Q29" s="51">
        <f>IFERROR(IF(OR(ISBLANK(P29),N29=0),"",P29/N29),"")</f>
        <v/>
      </c>
      <c r="R29" s="51">
        <f>IFERROR(IF(ISBLANK(Q29),R28,IF(ISNUMBER(R28),R28,0)+Q29),"")</f>
        <v/>
      </c>
      <c r="S29" s="52">
        <f>IFERROR(IF(OR(ISBLANK(P29),ISBLANK(K29)),"",P29*K29*VLOOKUP(C29,設定!$B$9:$D$23,3,FALSE)),"")</f>
        <v/>
      </c>
      <c r="T29" s="45" t="n"/>
    </row>
    <row r="30">
      <c r="A30" s="33">
        <f>IF(ISBLANK(B30),"",COUNTA($B$2:B30))</f>
        <v/>
      </c>
      <c r="B30" s="34" t="n"/>
      <c r="C30" s="35" t="n"/>
      <c r="D30" s="35" t="n"/>
      <c r="E30" s="35" t="n"/>
      <c r="F30" s="33" t="n"/>
      <c r="G30" s="36" t="n"/>
      <c r="H30" s="37" t="n"/>
      <c r="I30" s="37" t="n"/>
      <c r="J30" s="37" t="n"/>
      <c r="K30" s="38" t="n"/>
      <c r="L30" s="37" t="n"/>
      <c r="M30" s="35" t="n"/>
      <c r="N30" s="39">
        <f>IFERROR(IF(ISBLANK(H30),"",ABS(H30-I30)/VLOOKUP(C30,設定!$B$9:$D$23,2,FALSE)),"")</f>
        <v/>
      </c>
      <c r="O30" s="38">
        <f>IFERROR(IF(ISBLANK(J30),"",ABS(J30-H30)/ABS(H30-I30)),"")</f>
        <v/>
      </c>
      <c r="P30" s="40">
        <f>IFERROR(IF(OR(ISBLANK(L30),ISBLANK(E30)),"",IF(E30="Long",(L30-H30),(H30-L30))/VLOOKUP(C30,設定!$B$9:$D$23,2,FALSE)),"")</f>
        <v/>
      </c>
      <c r="Q30" s="41">
        <f>IFERROR(IF(OR(ISBLANK(P30),N30=0),"",P30/N30),"")</f>
        <v/>
      </c>
      <c r="R30" s="41">
        <f>IFERROR(IF(ISBLANK(Q30),R29,IF(ISNUMBER(R29),R29,0)+Q30),"")</f>
        <v/>
      </c>
      <c r="S30" s="42">
        <f>IFERROR(IF(OR(ISBLANK(P30),ISBLANK(K30)),"",P30*K30*VLOOKUP(C30,設定!$B$9:$D$23,3,FALSE)),"")</f>
        <v/>
      </c>
      <c r="T30" s="35" t="n"/>
    </row>
    <row r="31">
      <c r="A31" s="43">
        <f>IF(ISBLANK(B31),"",COUNTA($B$2:B31))</f>
        <v/>
      </c>
      <c r="B31" s="44" t="n"/>
      <c r="C31" s="45" t="n"/>
      <c r="D31" s="45" t="n"/>
      <c r="E31" s="45" t="n"/>
      <c r="F31" s="43" t="n"/>
      <c r="G31" s="46" t="n"/>
      <c r="H31" s="47" t="n"/>
      <c r="I31" s="47" t="n"/>
      <c r="J31" s="47" t="n"/>
      <c r="K31" s="48" t="n"/>
      <c r="L31" s="47" t="n"/>
      <c r="M31" s="45" t="n"/>
      <c r="N31" s="49">
        <f>IFERROR(IF(ISBLANK(H31),"",ABS(H31-I31)/VLOOKUP(C31,設定!$B$9:$D$23,2,FALSE)),"")</f>
        <v/>
      </c>
      <c r="O31" s="48">
        <f>IFERROR(IF(ISBLANK(J31),"",ABS(J31-H31)/ABS(H31-I31)),"")</f>
        <v/>
      </c>
      <c r="P31" s="50">
        <f>IFERROR(IF(OR(ISBLANK(L31),ISBLANK(E31)),"",IF(E31="Long",(L31-H31),(H31-L31))/VLOOKUP(C31,設定!$B$9:$D$23,2,FALSE)),"")</f>
        <v/>
      </c>
      <c r="Q31" s="51">
        <f>IFERROR(IF(OR(ISBLANK(P31),N31=0),"",P31/N31),"")</f>
        <v/>
      </c>
      <c r="R31" s="51">
        <f>IFERROR(IF(ISBLANK(Q31),R30,IF(ISNUMBER(R30),R30,0)+Q31),"")</f>
        <v/>
      </c>
      <c r="S31" s="52">
        <f>IFERROR(IF(OR(ISBLANK(P31),ISBLANK(K31)),"",P31*K31*VLOOKUP(C31,設定!$B$9:$D$23,3,FALSE)),"")</f>
        <v/>
      </c>
      <c r="T31" s="45" t="n"/>
    </row>
    <row r="32">
      <c r="A32" s="33">
        <f>IF(ISBLANK(B32),"",COUNTA($B$2:B32))</f>
        <v/>
      </c>
      <c r="B32" s="34" t="n"/>
      <c r="C32" s="35" t="n"/>
      <c r="D32" s="35" t="n"/>
      <c r="E32" s="35" t="n"/>
      <c r="F32" s="33" t="n"/>
      <c r="G32" s="36" t="n"/>
      <c r="H32" s="37" t="n"/>
      <c r="I32" s="37" t="n"/>
      <c r="J32" s="37" t="n"/>
      <c r="K32" s="38" t="n"/>
      <c r="L32" s="37" t="n"/>
      <c r="M32" s="35" t="n"/>
      <c r="N32" s="39">
        <f>IFERROR(IF(ISBLANK(H32),"",ABS(H32-I32)/VLOOKUP(C32,設定!$B$9:$D$23,2,FALSE)),"")</f>
        <v/>
      </c>
      <c r="O32" s="38">
        <f>IFERROR(IF(ISBLANK(J32),"",ABS(J32-H32)/ABS(H32-I32)),"")</f>
        <v/>
      </c>
      <c r="P32" s="40">
        <f>IFERROR(IF(OR(ISBLANK(L32),ISBLANK(E32)),"",IF(E32="Long",(L32-H32),(H32-L32))/VLOOKUP(C32,設定!$B$9:$D$23,2,FALSE)),"")</f>
        <v/>
      </c>
      <c r="Q32" s="41">
        <f>IFERROR(IF(OR(ISBLANK(P32),N32=0),"",P32/N32),"")</f>
        <v/>
      </c>
      <c r="R32" s="41">
        <f>IFERROR(IF(ISBLANK(Q32),R31,IF(ISNUMBER(R31),R31,0)+Q32),"")</f>
        <v/>
      </c>
      <c r="S32" s="42">
        <f>IFERROR(IF(OR(ISBLANK(P32),ISBLANK(K32)),"",P32*K32*VLOOKUP(C32,設定!$B$9:$D$23,3,FALSE)),"")</f>
        <v/>
      </c>
      <c r="T32" s="35" t="n"/>
    </row>
    <row r="33">
      <c r="A33" s="43">
        <f>IF(ISBLANK(B33),"",COUNTA($B$2:B33))</f>
        <v/>
      </c>
      <c r="B33" s="44" t="n"/>
      <c r="C33" s="45" t="n"/>
      <c r="D33" s="45" t="n"/>
      <c r="E33" s="45" t="n"/>
      <c r="F33" s="43" t="n"/>
      <c r="G33" s="46" t="n"/>
      <c r="H33" s="47" t="n"/>
      <c r="I33" s="47" t="n"/>
      <c r="J33" s="47" t="n"/>
      <c r="K33" s="48" t="n"/>
      <c r="L33" s="47" t="n"/>
      <c r="M33" s="45" t="n"/>
      <c r="N33" s="49">
        <f>IFERROR(IF(ISBLANK(H33),"",ABS(H33-I33)/VLOOKUP(C33,設定!$B$9:$D$23,2,FALSE)),"")</f>
        <v/>
      </c>
      <c r="O33" s="48">
        <f>IFERROR(IF(ISBLANK(J33),"",ABS(J33-H33)/ABS(H33-I33)),"")</f>
        <v/>
      </c>
      <c r="P33" s="50">
        <f>IFERROR(IF(OR(ISBLANK(L33),ISBLANK(E33)),"",IF(E33="Long",(L33-H33),(H33-L33))/VLOOKUP(C33,設定!$B$9:$D$23,2,FALSE)),"")</f>
        <v/>
      </c>
      <c r="Q33" s="51">
        <f>IFERROR(IF(OR(ISBLANK(P33),N33=0),"",P33/N33),"")</f>
        <v/>
      </c>
      <c r="R33" s="51">
        <f>IFERROR(IF(ISBLANK(Q33),R32,IF(ISNUMBER(R32),R32,0)+Q33),"")</f>
        <v/>
      </c>
      <c r="S33" s="52">
        <f>IFERROR(IF(OR(ISBLANK(P33),ISBLANK(K33)),"",P33*K33*VLOOKUP(C33,設定!$B$9:$D$23,3,FALSE)),"")</f>
        <v/>
      </c>
      <c r="T33" s="45" t="n"/>
    </row>
    <row r="34">
      <c r="A34" s="33">
        <f>IF(ISBLANK(B34),"",COUNTA($B$2:B34))</f>
        <v/>
      </c>
      <c r="B34" s="34" t="n"/>
      <c r="C34" s="35" t="n"/>
      <c r="D34" s="35" t="n"/>
      <c r="E34" s="35" t="n"/>
      <c r="F34" s="33" t="n"/>
      <c r="G34" s="36" t="n"/>
      <c r="H34" s="37" t="n"/>
      <c r="I34" s="37" t="n"/>
      <c r="J34" s="37" t="n"/>
      <c r="K34" s="38" t="n"/>
      <c r="L34" s="37" t="n"/>
      <c r="M34" s="35" t="n"/>
      <c r="N34" s="39">
        <f>IFERROR(IF(ISBLANK(H34),"",ABS(H34-I34)/VLOOKUP(C34,設定!$B$9:$D$23,2,FALSE)),"")</f>
        <v/>
      </c>
      <c r="O34" s="38">
        <f>IFERROR(IF(ISBLANK(J34),"",ABS(J34-H34)/ABS(H34-I34)),"")</f>
        <v/>
      </c>
      <c r="P34" s="40">
        <f>IFERROR(IF(OR(ISBLANK(L34),ISBLANK(E34)),"",IF(E34="Long",(L34-H34),(H34-L34))/VLOOKUP(C34,設定!$B$9:$D$23,2,FALSE)),"")</f>
        <v/>
      </c>
      <c r="Q34" s="41">
        <f>IFERROR(IF(OR(ISBLANK(P34),N34=0),"",P34/N34),"")</f>
        <v/>
      </c>
      <c r="R34" s="41">
        <f>IFERROR(IF(ISBLANK(Q34),R33,IF(ISNUMBER(R33),R33,0)+Q34),"")</f>
        <v/>
      </c>
      <c r="S34" s="42">
        <f>IFERROR(IF(OR(ISBLANK(P34),ISBLANK(K34)),"",P34*K34*VLOOKUP(C34,設定!$B$9:$D$23,3,FALSE)),"")</f>
        <v/>
      </c>
      <c r="T34" s="35" t="n"/>
    </row>
    <row r="35">
      <c r="A35" s="43">
        <f>IF(ISBLANK(B35),"",COUNTA($B$2:B35))</f>
        <v/>
      </c>
      <c r="B35" s="44" t="n"/>
      <c r="C35" s="45" t="n"/>
      <c r="D35" s="45" t="n"/>
      <c r="E35" s="45" t="n"/>
      <c r="F35" s="43" t="n"/>
      <c r="G35" s="46" t="n"/>
      <c r="H35" s="47" t="n"/>
      <c r="I35" s="47" t="n"/>
      <c r="J35" s="47" t="n"/>
      <c r="K35" s="48" t="n"/>
      <c r="L35" s="47" t="n"/>
      <c r="M35" s="45" t="n"/>
      <c r="N35" s="49">
        <f>IFERROR(IF(ISBLANK(H35),"",ABS(H35-I35)/VLOOKUP(C35,設定!$B$9:$D$23,2,FALSE)),"")</f>
        <v/>
      </c>
      <c r="O35" s="48">
        <f>IFERROR(IF(ISBLANK(J35),"",ABS(J35-H35)/ABS(H35-I35)),"")</f>
        <v/>
      </c>
      <c r="P35" s="50">
        <f>IFERROR(IF(OR(ISBLANK(L35),ISBLANK(E35)),"",IF(E35="Long",(L35-H35),(H35-L35))/VLOOKUP(C35,設定!$B$9:$D$23,2,FALSE)),"")</f>
        <v/>
      </c>
      <c r="Q35" s="51">
        <f>IFERROR(IF(OR(ISBLANK(P35),N35=0),"",P35/N35),"")</f>
        <v/>
      </c>
      <c r="R35" s="51">
        <f>IFERROR(IF(ISBLANK(Q35),R34,IF(ISNUMBER(R34),R34,0)+Q35),"")</f>
        <v/>
      </c>
      <c r="S35" s="52">
        <f>IFERROR(IF(OR(ISBLANK(P35),ISBLANK(K35)),"",P35*K35*VLOOKUP(C35,設定!$B$9:$D$23,3,FALSE)),"")</f>
        <v/>
      </c>
      <c r="T35" s="45" t="n"/>
    </row>
    <row r="36">
      <c r="A36" s="33">
        <f>IF(ISBLANK(B36),"",COUNTA($B$2:B36))</f>
        <v/>
      </c>
      <c r="B36" s="34" t="n"/>
      <c r="C36" s="35" t="n"/>
      <c r="D36" s="35" t="n"/>
      <c r="E36" s="35" t="n"/>
      <c r="F36" s="33" t="n"/>
      <c r="G36" s="36" t="n"/>
      <c r="H36" s="37" t="n"/>
      <c r="I36" s="37" t="n"/>
      <c r="J36" s="37" t="n"/>
      <c r="K36" s="38" t="n"/>
      <c r="L36" s="37" t="n"/>
      <c r="M36" s="35" t="n"/>
      <c r="N36" s="39">
        <f>IFERROR(IF(ISBLANK(H36),"",ABS(H36-I36)/VLOOKUP(C36,設定!$B$9:$D$23,2,FALSE)),"")</f>
        <v/>
      </c>
      <c r="O36" s="38">
        <f>IFERROR(IF(ISBLANK(J36),"",ABS(J36-H36)/ABS(H36-I36)),"")</f>
        <v/>
      </c>
      <c r="P36" s="40">
        <f>IFERROR(IF(OR(ISBLANK(L36),ISBLANK(E36)),"",IF(E36="Long",(L36-H36),(H36-L36))/VLOOKUP(C36,設定!$B$9:$D$23,2,FALSE)),"")</f>
        <v/>
      </c>
      <c r="Q36" s="41">
        <f>IFERROR(IF(OR(ISBLANK(P36),N36=0),"",P36/N36),"")</f>
        <v/>
      </c>
      <c r="R36" s="41">
        <f>IFERROR(IF(ISBLANK(Q36),R35,IF(ISNUMBER(R35),R35,0)+Q36),"")</f>
        <v/>
      </c>
      <c r="S36" s="42">
        <f>IFERROR(IF(OR(ISBLANK(P36),ISBLANK(K36)),"",P36*K36*VLOOKUP(C36,設定!$B$9:$D$23,3,FALSE)),"")</f>
        <v/>
      </c>
      <c r="T36" s="35" t="n"/>
    </row>
    <row r="37">
      <c r="A37" s="43">
        <f>IF(ISBLANK(B37),"",COUNTA($B$2:B37))</f>
        <v/>
      </c>
      <c r="B37" s="44" t="n"/>
      <c r="C37" s="45" t="n"/>
      <c r="D37" s="45" t="n"/>
      <c r="E37" s="45" t="n"/>
      <c r="F37" s="43" t="n"/>
      <c r="G37" s="46" t="n"/>
      <c r="H37" s="47" t="n"/>
      <c r="I37" s="47" t="n"/>
      <c r="J37" s="47" t="n"/>
      <c r="K37" s="48" t="n"/>
      <c r="L37" s="47" t="n"/>
      <c r="M37" s="45" t="n"/>
      <c r="N37" s="49">
        <f>IFERROR(IF(ISBLANK(H37),"",ABS(H37-I37)/VLOOKUP(C37,設定!$B$9:$D$23,2,FALSE)),"")</f>
        <v/>
      </c>
      <c r="O37" s="48">
        <f>IFERROR(IF(ISBLANK(J37),"",ABS(J37-H37)/ABS(H37-I37)),"")</f>
        <v/>
      </c>
      <c r="P37" s="50">
        <f>IFERROR(IF(OR(ISBLANK(L37),ISBLANK(E37)),"",IF(E37="Long",(L37-H37),(H37-L37))/VLOOKUP(C37,設定!$B$9:$D$23,2,FALSE)),"")</f>
        <v/>
      </c>
      <c r="Q37" s="51">
        <f>IFERROR(IF(OR(ISBLANK(P37),N37=0),"",P37/N37),"")</f>
        <v/>
      </c>
      <c r="R37" s="51">
        <f>IFERROR(IF(ISBLANK(Q37),R36,IF(ISNUMBER(R36),R36,0)+Q37),"")</f>
        <v/>
      </c>
      <c r="S37" s="52">
        <f>IFERROR(IF(OR(ISBLANK(P37),ISBLANK(K37)),"",P37*K37*VLOOKUP(C37,設定!$B$9:$D$23,3,FALSE)),"")</f>
        <v/>
      </c>
      <c r="T37" s="45" t="n"/>
    </row>
    <row r="38">
      <c r="A38" s="33">
        <f>IF(ISBLANK(B38),"",COUNTA($B$2:B38))</f>
        <v/>
      </c>
      <c r="B38" s="34" t="n"/>
      <c r="C38" s="35" t="n"/>
      <c r="D38" s="35" t="n"/>
      <c r="E38" s="35" t="n"/>
      <c r="F38" s="33" t="n"/>
      <c r="G38" s="36" t="n"/>
      <c r="H38" s="37" t="n"/>
      <c r="I38" s="37" t="n"/>
      <c r="J38" s="37" t="n"/>
      <c r="K38" s="38" t="n"/>
      <c r="L38" s="37" t="n"/>
      <c r="M38" s="35" t="n"/>
      <c r="N38" s="39">
        <f>IFERROR(IF(ISBLANK(H38),"",ABS(H38-I38)/VLOOKUP(C38,設定!$B$9:$D$23,2,FALSE)),"")</f>
        <v/>
      </c>
      <c r="O38" s="38">
        <f>IFERROR(IF(ISBLANK(J38),"",ABS(J38-H38)/ABS(H38-I38)),"")</f>
        <v/>
      </c>
      <c r="P38" s="40">
        <f>IFERROR(IF(OR(ISBLANK(L38),ISBLANK(E38)),"",IF(E38="Long",(L38-H38),(H38-L38))/VLOOKUP(C38,設定!$B$9:$D$23,2,FALSE)),"")</f>
        <v/>
      </c>
      <c r="Q38" s="41">
        <f>IFERROR(IF(OR(ISBLANK(P38),N38=0),"",P38/N38),"")</f>
        <v/>
      </c>
      <c r="R38" s="41">
        <f>IFERROR(IF(ISBLANK(Q38),R37,IF(ISNUMBER(R37),R37,0)+Q38),"")</f>
        <v/>
      </c>
      <c r="S38" s="42">
        <f>IFERROR(IF(OR(ISBLANK(P38),ISBLANK(K38)),"",P38*K38*VLOOKUP(C38,設定!$B$9:$D$23,3,FALSE)),"")</f>
        <v/>
      </c>
      <c r="T38" s="35" t="n"/>
    </row>
    <row r="39">
      <c r="A39" s="43">
        <f>IF(ISBLANK(B39),"",COUNTA($B$2:B39))</f>
        <v/>
      </c>
      <c r="B39" s="44" t="n"/>
      <c r="C39" s="45" t="n"/>
      <c r="D39" s="45" t="n"/>
      <c r="E39" s="45" t="n"/>
      <c r="F39" s="43" t="n"/>
      <c r="G39" s="46" t="n"/>
      <c r="H39" s="47" t="n"/>
      <c r="I39" s="47" t="n"/>
      <c r="J39" s="47" t="n"/>
      <c r="K39" s="48" t="n"/>
      <c r="L39" s="47" t="n"/>
      <c r="M39" s="45" t="n"/>
      <c r="N39" s="49">
        <f>IFERROR(IF(ISBLANK(H39),"",ABS(H39-I39)/VLOOKUP(C39,設定!$B$9:$D$23,2,FALSE)),"")</f>
        <v/>
      </c>
      <c r="O39" s="48">
        <f>IFERROR(IF(ISBLANK(J39),"",ABS(J39-H39)/ABS(H39-I39)),"")</f>
        <v/>
      </c>
      <c r="P39" s="50">
        <f>IFERROR(IF(OR(ISBLANK(L39),ISBLANK(E39)),"",IF(E39="Long",(L39-H39),(H39-L39))/VLOOKUP(C39,設定!$B$9:$D$23,2,FALSE)),"")</f>
        <v/>
      </c>
      <c r="Q39" s="51">
        <f>IFERROR(IF(OR(ISBLANK(P39),N39=0),"",P39/N39),"")</f>
        <v/>
      </c>
      <c r="R39" s="51">
        <f>IFERROR(IF(ISBLANK(Q39),R38,IF(ISNUMBER(R38),R38,0)+Q39),"")</f>
        <v/>
      </c>
      <c r="S39" s="52">
        <f>IFERROR(IF(OR(ISBLANK(P39),ISBLANK(K39)),"",P39*K39*VLOOKUP(C39,設定!$B$9:$D$23,3,FALSE)),"")</f>
        <v/>
      </c>
      <c r="T39" s="45" t="n"/>
    </row>
    <row r="40">
      <c r="A40" s="33">
        <f>IF(ISBLANK(B40),"",COUNTA($B$2:B40))</f>
        <v/>
      </c>
      <c r="B40" s="34" t="n"/>
      <c r="C40" s="35" t="n"/>
      <c r="D40" s="35" t="n"/>
      <c r="E40" s="35" t="n"/>
      <c r="F40" s="33" t="n"/>
      <c r="G40" s="36" t="n"/>
      <c r="H40" s="37" t="n"/>
      <c r="I40" s="37" t="n"/>
      <c r="J40" s="37" t="n"/>
      <c r="K40" s="38" t="n"/>
      <c r="L40" s="37" t="n"/>
      <c r="M40" s="35" t="n"/>
      <c r="N40" s="39">
        <f>IFERROR(IF(ISBLANK(H40),"",ABS(H40-I40)/VLOOKUP(C40,設定!$B$9:$D$23,2,FALSE)),"")</f>
        <v/>
      </c>
      <c r="O40" s="38">
        <f>IFERROR(IF(ISBLANK(J40),"",ABS(J40-H40)/ABS(H40-I40)),"")</f>
        <v/>
      </c>
      <c r="P40" s="40">
        <f>IFERROR(IF(OR(ISBLANK(L40),ISBLANK(E40)),"",IF(E40="Long",(L40-H40),(H40-L40))/VLOOKUP(C40,設定!$B$9:$D$23,2,FALSE)),"")</f>
        <v/>
      </c>
      <c r="Q40" s="41">
        <f>IFERROR(IF(OR(ISBLANK(P40),N40=0),"",P40/N40),"")</f>
        <v/>
      </c>
      <c r="R40" s="41">
        <f>IFERROR(IF(ISBLANK(Q40),R39,IF(ISNUMBER(R39),R39,0)+Q40),"")</f>
        <v/>
      </c>
      <c r="S40" s="42">
        <f>IFERROR(IF(OR(ISBLANK(P40),ISBLANK(K40)),"",P40*K40*VLOOKUP(C40,設定!$B$9:$D$23,3,FALSE)),"")</f>
        <v/>
      </c>
      <c r="T40" s="35" t="n"/>
    </row>
    <row r="41">
      <c r="A41" s="43">
        <f>IF(ISBLANK(B41),"",COUNTA($B$2:B41))</f>
        <v/>
      </c>
      <c r="B41" s="44" t="n"/>
      <c r="C41" s="45" t="n"/>
      <c r="D41" s="45" t="n"/>
      <c r="E41" s="45" t="n"/>
      <c r="F41" s="43" t="n"/>
      <c r="G41" s="46" t="n"/>
      <c r="H41" s="47" t="n"/>
      <c r="I41" s="47" t="n"/>
      <c r="J41" s="47" t="n"/>
      <c r="K41" s="48" t="n"/>
      <c r="L41" s="47" t="n"/>
      <c r="M41" s="45" t="n"/>
      <c r="N41" s="49">
        <f>IFERROR(IF(ISBLANK(H41),"",ABS(H41-I41)/VLOOKUP(C41,設定!$B$9:$D$23,2,FALSE)),"")</f>
        <v/>
      </c>
      <c r="O41" s="48">
        <f>IFERROR(IF(ISBLANK(J41),"",ABS(J41-H41)/ABS(H41-I41)),"")</f>
        <v/>
      </c>
      <c r="P41" s="50">
        <f>IFERROR(IF(OR(ISBLANK(L41),ISBLANK(E41)),"",IF(E41="Long",(L41-H41),(H41-L41))/VLOOKUP(C41,設定!$B$9:$D$23,2,FALSE)),"")</f>
        <v/>
      </c>
      <c r="Q41" s="51">
        <f>IFERROR(IF(OR(ISBLANK(P41),N41=0),"",P41/N41),"")</f>
        <v/>
      </c>
      <c r="R41" s="51">
        <f>IFERROR(IF(ISBLANK(Q41),R40,IF(ISNUMBER(R40),R40,0)+Q41),"")</f>
        <v/>
      </c>
      <c r="S41" s="52">
        <f>IFERROR(IF(OR(ISBLANK(P41),ISBLANK(K41)),"",P41*K41*VLOOKUP(C41,設定!$B$9:$D$23,3,FALSE)),"")</f>
        <v/>
      </c>
      <c r="T41" s="45" t="n"/>
    </row>
    <row r="42">
      <c r="A42" s="33">
        <f>IF(ISBLANK(B42),"",COUNTA($B$2:B42))</f>
        <v/>
      </c>
      <c r="B42" s="34" t="n"/>
      <c r="C42" s="35" t="n"/>
      <c r="D42" s="35" t="n"/>
      <c r="E42" s="35" t="n"/>
      <c r="F42" s="33" t="n"/>
      <c r="G42" s="36" t="n"/>
      <c r="H42" s="37" t="n"/>
      <c r="I42" s="37" t="n"/>
      <c r="J42" s="37" t="n"/>
      <c r="K42" s="38" t="n"/>
      <c r="L42" s="37" t="n"/>
      <c r="M42" s="35" t="n"/>
      <c r="N42" s="39">
        <f>IFERROR(IF(ISBLANK(H42),"",ABS(H42-I42)/VLOOKUP(C42,設定!$B$9:$D$23,2,FALSE)),"")</f>
        <v/>
      </c>
      <c r="O42" s="38">
        <f>IFERROR(IF(ISBLANK(J42),"",ABS(J42-H42)/ABS(H42-I42)),"")</f>
        <v/>
      </c>
      <c r="P42" s="40">
        <f>IFERROR(IF(OR(ISBLANK(L42),ISBLANK(E42)),"",IF(E42="Long",(L42-H42),(H42-L42))/VLOOKUP(C42,設定!$B$9:$D$23,2,FALSE)),"")</f>
        <v/>
      </c>
      <c r="Q42" s="41">
        <f>IFERROR(IF(OR(ISBLANK(P42),N42=0),"",P42/N42),"")</f>
        <v/>
      </c>
      <c r="R42" s="41">
        <f>IFERROR(IF(ISBLANK(Q42),R41,IF(ISNUMBER(R41),R41,0)+Q42),"")</f>
        <v/>
      </c>
      <c r="S42" s="42">
        <f>IFERROR(IF(OR(ISBLANK(P42),ISBLANK(K42)),"",P42*K42*VLOOKUP(C42,設定!$B$9:$D$23,3,FALSE)),"")</f>
        <v/>
      </c>
      <c r="T42" s="35" t="n"/>
    </row>
    <row r="43">
      <c r="A43" s="43">
        <f>IF(ISBLANK(B43),"",COUNTA($B$2:B43))</f>
        <v/>
      </c>
      <c r="B43" s="44" t="n"/>
      <c r="C43" s="45" t="n"/>
      <c r="D43" s="45" t="n"/>
      <c r="E43" s="45" t="n"/>
      <c r="F43" s="43" t="n"/>
      <c r="G43" s="46" t="n"/>
      <c r="H43" s="47" t="n"/>
      <c r="I43" s="47" t="n"/>
      <c r="J43" s="47" t="n"/>
      <c r="K43" s="48" t="n"/>
      <c r="L43" s="47" t="n"/>
      <c r="M43" s="45" t="n"/>
      <c r="N43" s="49">
        <f>IFERROR(IF(ISBLANK(H43),"",ABS(H43-I43)/VLOOKUP(C43,設定!$B$9:$D$23,2,FALSE)),"")</f>
        <v/>
      </c>
      <c r="O43" s="48">
        <f>IFERROR(IF(ISBLANK(J43),"",ABS(J43-H43)/ABS(H43-I43)),"")</f>
        <v/>
      </c>
      <c r="P43" s="50">
        <f>IFERROR(IF(OR(ISBLANK(L43),ISBLANK(E43)),"",IF(E43="Long",(L43-H43),(H43-L43))/VLOOKUP(C43,設定!$B$9:$D$23,2,FALSE)),"")</f>
        <v/>
      </c>
      <c r="Q43" s="51">
        <f>IFERROR(IF(OR(ISBLANK(P43),N43=0),"",P43/N43),"")</f>
        <v/>
      </c>
      <c r="R43" s="51">
        <f>IFERROR(IF(ISBLANK(Q43),R42,IF(ISNUMBER(R42),R42,0)+Q43),"")</f>
        <v/>
      </c>
      <c r="S43" s="52">
        <f>IFERROR(IF(OR(ISBLANK(P43),ISBLANK(K43)),"",P43*K43*VLOOKUP(C43,設定!$B$9:$D$23,3,FALSE)),"")</f>
        <v/>
      </c>
      <c r="T43" s="45" t="n"/>
    </row>
    <row r="44">
      <c r="A44" s="33">
        <f>IF(ISBLANK(B44),"",COUNTA($B$2:B44))</f>
        <v/>
      </c>
      <c r="B44" s="34" t="n"/>
      <c r="C44" s="35" t="n"/>
      <c r="D44" s="35" t="n"/>
      <c r="E44" s="35" t="n"/>
      <c r="F44" s="33" t="n"/>
      <c r="G44" s="36" t="n"/>
      <c r="H44" s="37" t="n"/>
      <c r="I44" s="37" t="n"/>
      <c r="J44" s="37" t="n"/>
      <c r="K44" s="38" t="n"/>
      <c r="L44" s="37" t="n"/>
      <c r="M44" s="35" t="n"/>
      <c r="N44" s="39">
        <f>IFERROR(IF(ISBLANK(H44),"",ABS(H44-I44)/VLOOKUP(C44,設定!$B$9:$D$23,2,FALSE)),"")</f>
        <v/>
      </c>
      <c r="O44" s="38">
        <f>IFERROR(IF(ISBLANK(J44),"",ABS(J44-H44)/ABS(H44-I44)),"")</f>
        <v/>
      </c>
      <c r="P44" s="40">
        <f>IFERROR(IF(OR(ISBLANK(L44),ISBLANK(E44)),"",IF(E44="Long",(L44-H44),(H44-L44))/VLOOKUP(C44,設定!$B$9:$D$23,2,FALSE)),"")</f>
        <v/>
      </c>
      <c r="Q44" s="41">
        <f>IFERROR(IF(OR(ISBLANK(P44),N44=0),"",P44/N44),"")</f>
        <v/>
      </c>
      <c r="R44" s="41">
        <f>IFERROR(IF(ISBLANK(Q44),R43,IF(ISNUMBER(R43),R43,0)+Q44),"")</f>
        <v/>
      </c>
      <c r="S44" s="42">
        <f>IFERROR(IF(OR(ISBLANK(P44),ISBLANK(K44)),"",P44*K44*VLOOKUP(C44,設定!$B$9:$D$23,3,FALSE)),"")</f>
        <v/>
      </c>
      <c r="T44" s="35" t="n"/>
    </row>
    <row r="45">
      <c r="A45" s="43">
        <f>IF(ISBLANK(B45),"",COUNTA($B$2:B45))</f>
        <v/>
      </c>
      <c r="B45" s="44" t="n"/>
      <c r="C45" s="45" t="n"/>
      <c r="D45" s="45" t="n"/>
      <c r="E45" s="45" t="n"/>
      <c r="F45" s="43" t="n"/>
      <c r="G45" s="46" t="n"/>
      <c r="H45" s="47" t="n"/>
      <c r="I45" s="47" t="n"/>
      <c r="J45" s="47" t="n"/>
      <c r="K45" s="48" t="n"/>
      <c r="L45" s="47" t="n"/>
      <c r="M45" s="45" t="n"/>
      <c r="N45" s="49">
        <f>IFERROR(IF(ISBLANK(H45),"",ABS(H45-I45)/VLOOKUP(C45,設定!$B$9:$D$23,2,FALSE)),"")</f>
        <v/>
      </c>
      <c r="O45" s="48">
        <f>IFERROR(IF(ISBLANK(J45),"",ABS(J45-H45)/ABS(H45-I45)),"")</f>
        <v/>
      </c>
      <c r="P45" s="50">
        <f>IFERROR(IF(OR(ISBLANK(L45),ISBLANK(E45)),"",IF(E45="Long",(L45-H45),(H45-L45))/VLOOKUP(C45,設定!$B$9:$D$23,2,FALSE)),"")</f>
        <v/>
      </c>
      <c r="Q45" s="51">
        <f>IFERROR(IF(OR(ISBLANK(P45),N45=0),"",P45/N45),"")</f>
        <v/>
      </c>
      <c r="R45" s="51">
        <f>IFERROR(IF(ISBLANK(Q45),R44,IF(ISNUMBER(R44),R44,0)+Q45),"")</f>
        <v/>
      </c>
      <c r="S45" s="52">
        <f>IFERROR(IF(OR(ISBLANK(P45),ISBLANK(K45)),"",P45*K45*VLOOKUP(C45,設定!$B$9:$D$23,3,FALSE)),"")</f>
        <v/>
      </c>
      <c r="T45" s="45" t="n"/>
    </row>
    <row r="46">
      <c r="A46" s="33">
        <f>IF(ISBLANK(B46),"",COUNTA($B$2:B46))</f>
        <v/>
      </c>
      <c r="B46" s="34" t="n"/>
      <c r="C46" s="35" t="n"/>
      <c r="D46" s="35" t="n"/>
      <c r="E46" s="35" t="n"/>
      <c r="F46" s="33" t="n"/>
      <c r="G46" s="36" t="n"/>
      <c r="H46" s="37" t="n"/>
      <c r="I46" s="37" t="n"/>
      <c r="J46" s="37" t="n"/>
      <c r="K46" s="38" t="n"/>
      <c r="L46" s="37" t="n"/>
      <c r="M46" s="35" t="n"/>
      <c r="N46" s="39">
        <f>IFERROR(IF(ISBLANK(H46),"",ABS(H46-I46)/VLOOKUP(C46,設定!$B$9:$D$23,2,FALSE)),"")</f>
        <v/>
      </c>
      <c r="O46" s="38">
        <f>IFERROR(IF(ISBLANK(J46),"",ABS(J46-H46)/ABS(H46-I46)),"")</f>
        <v/>
      </c>
      <c r="P46" s="40">
        <f>IFERROR(IF(OR(ISBLANK(L46),ISBLANK(E46)),"",IF(E46="Long",(L46-H46),(H46-L46))/VLOOKUP(C46,設定!$B$9:$D$23,2,FALSE)),"")</f>
        <v/>
      </c>
      <c r="Q46" s="41">
        <f>IFERROR(IF(OR(ISBLANK(P46),N46=0),"",P46/N46),"")</f>
        <v/>
      </c>
      <c r="R46" s="41">
        <f>IFERROR(IF(ISBLANK(Q46),R45,IF(ISNUMBER(R45),R45,0)+Q46),"")</f>
        <v/>
      </c>
      <c r="S46" s="42">
        <f>IFERROR(IF(OR(ISBLANK(P46),ISBLANK(K46)),"",P46*K46*VLOOKUP(C46,設定!$B$9:$D$23,3,FALSE)),"")</f>
        <v/>
      </c>
      <c r="T46" s="35" t="n"/>
    </row>
    <row r="47">
      <c r="A47" s="43">
        <f>IF(ISBLANK(B47),"",COUNTA($B$2:B47))</f>
        <v/>
      </c>
      <c r="B47" s="44" t="n"/>
      <c r="C47" s="45" t="n"/>
      <c r="D47" s="45" t="n"/>
      <c r="E47" s="45" t="n"/>
      <c r="F47" s="43" t="n"/>
      <c r="G47" s="46" t="n"/>
      <c r="H47" s="47" t="n"/>
      <c r="I47" s="47" t="n"/>
      <c r="J47" s="47" t="n"/>
      <c r="K47" s="48" t="n"/>
      <c r="L47" s="47" t="n"/>
      <c r="M47" s="45" t="n"/>
      <c r="N47" s="49">
        <f>IFERROR(IF(ISBLANK(H47),"",ABS(H47-I47)/VLOOKUP(C47,設定!$B$9:$D$23,2,FALSE)),"")</f>
        <v/>
      </c>
      <c r="O47" s="48">
        <f>IFERROR(IF(ISBLANK(J47),"",ABS(J47-H47)/ABS(H47-I47)),"")</f>
        <v/>
      </c>
      <c r="P47" s="50">
        <f>IFERROR(IF(OR(ISBLANK(L47),ISBLANK(E47)),"",IF(E47="Long",(L47-H47),(H47-L47))/VLOOKUP(C47,設定!$B$9:$D$23,2,FALSE)),"")</f>
        <v/>
      </c>
      <c r="Q47" s="51">
        <f>IFERROR(IF(OR(ISBLANK(P47),N47=0),"",P47/N47),"")</f>
        <v/>
      </c>
      <c r="R47" s="51">
        <f>IFERROR(IF(ISBLANK(Q47),R46,IF(ISNUMBER(R46),R46,0)+Q47),"")</f>
        <v/>
      </c>
      <c r="S47" s="52">
        <f>IFERROR(IF(OR(ISBLANK(P47),ISBLANK(K47)),"",P47*K47*VLOOKUP(C47,設定!$B$9:$D$23,3,FALSE)),"")</f>
        <v/>
      </c>
      <c r="T47" s="45" t="n"/>
    </row>
    <row r="48">
      <c r="A48" s="33">
        <f>IF(ISBLANK(B48),"",COUNTA($B$2:B48))</f>
        <v/>
      </c>
      <c r="B48" s="34" t="n"/>
      <c r="C48" s="35" t="n"/>
      <c r="D48" s="35" t="n"/>
      <c r="E48" s="35" t="n"/>
      <c r="F48" s="33" t="n"/>
      <c r="G48" s="36" t="n"/>
      <c r="H48" s="37" t="n"/>
      <c r="I48" s="37" t="n"/>
      <c r="J48" s="37" t="n"/>
      <c r="K48" s="38" t="n"/>
      <c r="L48" s="37" t="n"/>
      <c r="M48" s="35" t="n"/>
      <c r="N48" s="39">
        <f>IFERROR(IF(ISBLANK(H48),"",ABS(H48-I48)/VLOOKUP(C48,設定!$B$9:$D$23,2,FALSE)),"")</f>
        <v/>
      </c>
      <c r="O48" s="38">
        <f>IFERROR(IF(ISBLANK(J48),"",ABS(J48-H48)/ABS(H48-I48)),"")</f>
        <v/>
      </c>
      <c r="P48" s="40">
        <f>IFERROR(IF(OR(ISBLANK(L48),ISBLANK(E48)),"",IF(E48="Long",(L48-H48),(H48-L48))/VLOOKUP(C48,設定!$B$9:$D$23,2,FALSE)),"")</f>
        <v/>
      </c>
      <c r="Q48" s="41">
        <f>IFERROR(IF(OR(ISBLANK(P48),N48=0),"",P48/N48),"")</f>
        <v/>
      </c>
      <c r="R48" s="41">
        <f>IFERROR(IF(ISBLANK(Q48),R47,IF(ISNUMBER(R47),R47,0)+Q48),"")</f>
        <v/>
      </c>
      <c r="S48" s="42">
        <f>IFERROR(IF(OR(ISBLANK(P48),ISBLANK(K48)),"",P48*K48*VLOOKUP(C48,設定!$B$9:$D$23,3,FALSE)),"")</f>
        <v/>
      </c>
      <c r="T48" s="35" t="n"/>
    </row>
    <row r="49">
      <c r="A49" s="43">
        <f>IF(ISBLANK(B49),"",COUNTA($B$2:B49))</f>
        <v/>
      </c>
      <c r="B49" s="44" t="n"/>
      <c r="C49" s="45" t="n"/>
      <c r="D49" s="45" t="n"/>
      <c r="E49" s="45" t="n"/>
      <c r="F49" s="43" t="n"/>
      <c r="G49" s="46" t="n"/>
      <c r="H49" s="47" t="n"/>
      <c r="I49" s="47" t="n"/>
      <c r="J49" s="47" t="n"/>
      <c r="K49" s="48" t="n"/>
      <c r="L49" s="47" t="n"/>
      <c r="M49" s="45" t="n"/>
      <c r="N49" s="49">
        <f>IFERROR(IF(ISBLANK(H49),"",ABS(H49-I49)/VLOOKUP(C49,設定!$B$9:$D$23,2,FALSE)),"")</f>
        <v/>
      </c>
      <c r="O49" s="48">
        <f>IFERROR(IF(ISBLANK(J49),"",ABS(J49-H49)/ABS(H49-I49)),"")</f>
        <v/>
      </c>
      <c r="P49" s="50">
        <f>IFERROR(IF(OR(ISBLANK(L49),ISBLANK(E49)),"",IF(E49="Long",(L49-H49),(H49-L49))/VLOOKUP(C49,設定!$B$9:$D$23,2,FALSE)),"")</f>
        <v/>
      </c>
      <c r="Q49" s="51">
        <f>IFERROR(IF(OR(ISBLANK(P49),N49=0),"",P49/N49),"")</f>
        <v/>
      </c>
      <c r="R49" s="51">
        <f>IFERROR(IF(ISBLANK(Q49),R48,IF(ISNUMBER(R48),R48,0)+Q49),"")</f>
        <v/>
      </c>
      <c r="S49" s="52">
        <f>IFERROR(IF(OR(ISBLANK(P49),ISBLANK(K49)),"",P49*K49*VLOOKUP(C49,設定!$B$9:$D$23,3,FALSE)),"")</f>
        <v/>
      </c>
      <c r="T49" s="45" t="n"/>
    </row>
    <row r="50">
      <c r="A50" s="33">
        <f>IF(ISBLANK(B50),"",COUNTA($B$2:B50))</f>
        <v/>
      </c>
      <c r="B50" s="34" t="n"/>
      <c r="C50" s="35" t="n"/>
      <c r="D50" s="35" t="n"/>
      <c r="E50" s="35" t="n"/>
      <c r="F50" s="33" t="n"/>
      <c r="G50" s="36" t="n"/>
      <c r="H50" s="37" t="n"/>
      <c r="I50" s="37" t="n"/>
      <c r="J50" s="37" t="n"/>
      <c r="K50" s="38" t="n"/>
      <c r="L50" s="37" t="n"/>
      <c r="M50" s="35" t="n"/>
      <c r="N50" s="39">
        <f>IFERROR(IF(ISBLANK(H50),"",ABS(H50-I50)/VLOOKUP(C50,設定!$B$9:$D$23,2,FALSE)),"")</f>
        <v/>
      </c>
      <c r="O50" s="38">
        <f>IFERROR(IF(ISBLANK(J50),"",ABS(J50-H50)/ABS(H50-I50)),"")</f>
        <v/>
      </c>
      <c r="P50" s="40">
        <f>IFERROR(IF(OR(ISBLANK(L50),ISBLANK(E50)),"",IF(E50="Long",(L50-H50),(H50-L50))/VLOOKUP(C50,設定!$B$9:$D$23,2,FALSE)),"")</f>
        <v/>
      </c>
      <c r="Q50" s="41">
        <f>IFERROR(IF(OR(ISBLANK(P50),N50=0),"",P50/N50),"")</f>
        <v/>
      </c>
      <c r="R50" s="41">
        <f>IFERROR(IF(ISBLANK(Q50),R49,IF(ISNUMBER(R49),R49,0)+Q50),"")</f>
        <v/>
      </c>
      <c r="S50" s="42">
        <f>IFERROR(IF(OR(ISBLANK(P50),ISBLANK(K50)),"",P50*K50*VLOOKUP(C50,設定!$B$9:$D$23,3,FALSE)),"")</f>
        <v/>
      </c>
      <c r="T50" s="35" t="n"/>
    </row>
    <row r="51">
      <c r="A51" s="43">
        <f>IF(ISBLANK(B51),"",COUNTA($B$2:B51))</f>
        <v/>
      </c>
      <c r="B51" s="44" t="n"/>
      <c r="C51" s="45" t="n"/>
      <c r="D51" s="45" t="n"/>
      <c r="E51" s="45" t="n"/>
      <c r="F51" s="43" t="n"/>
      <c r="G51" s="46" t="n"/>
      <c r="H51" s="47" t="n"/>
      <c r="I51" s="47" t="n"/>
      <c r="J51" s="47" t="n"/>
      <c r="K51" s="48" t="n"/>
      <c r="L51" s="47" t="n"/>
      <c r="M51" s="45" t="n"/>
      <c r="N51" s="49">
        <f>IFERROR(IF(ISBLANK(H51),"",ABS(H51-I51)/VLOOKUP(C51,設定!$B$9:$D$23,2,FALSE)),"")</f>
        <v/>
      </c>
      <c r="O51" s="48">
        <f>IFERROR(IF(ISBLANK(J51),"",ABS(J51-H51)/ABS(H51-I51)),"")</f>
        <v/>
      </c>
      <c r="P51" s="50">
        <f>IFERROR(IF(OR(ISBLANK(L51),ISBLANK(E51)),"",IF(E51="Long",(L51-H51),(H51-L51))/VLOOKUP(C51,設定!$B$9:$D$23,2,FALSE)),"")</f>
        <v/>
      </c>
      <c r="Q51" s="51">
        <f>IFERROR(IF(OR(ISBLANK(P51),N51=0),"",P51/N51),"")</f>
        <v/>
      </c>
      <c r="R51" s="51">
        <f>IFERROR(IF(ISBLANK(Q51),R50,IF(ISNUMBER(R50),R50,0)+Q51),"")</f>
        <v/>
      </c>
      <c r="S51" s="52">
        <f>IFERROR(IF(OR(ISBLANK(P51),ISBLANK(K51)),"",P51*K51*VLOOKUP(C51,設定!$B$9:$D$23,3,FALSE)),"")</f>
        <v/>
      </c>
      <c r="T51" s="45" t="n"/>
    </row>
    <row r="52">
      <c r="A52" s="33">
        <f>IF(ISBLANK(B52),"",COUNTA($B$2:B52))</f>
        <v/>
      </c>
      <c r="B52" s="34" t="n"/>
      <c r="C52" s="35" t="n"/>
      <c r="D52" s="35" t="n"/>
      <c r="E52" s="35" t="n"/>
      <c r="F52" s="33" t="n"/>
      <c r="G52" s="36" t="n"/>
      <c r="H52" s="37" t="n"/>
      <c r="I52" s="37" t="n"/>
      <c r="J52" s="37" t="n"/>
      <c r="K52" s="38" t="n"/>
      <c r="L52" s="37" t="n"/>
      <c r="M52" s="35" t="n"/>
      <c r="N52" s="39">
        <f>IFERROR(IF(ISBLANK(H52),"",ABS(H52-I52)/VLOOKUP(C52,設定!$B$9:$D$23,2,FALSE)),"")</f>
        <v/>
      </c>
      <c r="O52" s="38">
        <f>IFERROR(IF(ISBLANK(J52),"",ABS(J52-H52)/ABS(H52-I52)),"")</f>
        <v/>
      </c>
      <c r="P52" s="40">
        <f>IFERROR(IF(OR(ISBLANK(L52),ISBLANK(E52)),"",IF(E52="Long",(L52-H52),(H52-L52))/VLOOKUP(C52,設定!$B$9:$D$23,2,FALSE)),"")</f>
        <v/>
      </c>
      <c r="Q52" s="41">
        <f>IFERROR(IF(OR(ISBLANK(P52),N52=0),"",P52/N52),"")</f>
        <v/>
      </c>
      <c r="R52" s="41">
        <f>IFERROR(IF(ISBLANK(Q52),R51,IF(ISNUMBER(R51),R51,0)+Q52),"")</f>
        <v/>
      </c>
      <c r="S52" s="42">
        <f>IFERROR(IF(OR(ISBLANK(P52),ISBLANK(K52)),"",P52*K52*VLOOKUP(C52,設定!$B$9:$D$23,3,FALSE)),"")</f>
        <v/>
      </c>
      <c r="T52" s="35" t="n"/>
    </row>
    <row r="53">
      <c r="A53" s="43">
        <f>IF(ISBLANK(B53),"",COUNTA($B$2:B53))</f>
        <v/>
      </c>
      <c r="B53" s="44" t="n"/>
      <c r="C53" s="45" t="n"/>
      <c r="D53" s="45" t="n"/>
      <c r="E53" s="45" t="n"/>
      <c r="F53" s="43" t="n"/>
      <c r="G53" s="46" t="n"/>
      <c r="H53" s="47" t="n"/>
      <c r="I53" s="47" t="n"/>
      <c r="J53" s="47" t="n"/>
      <c r="K53" s="48" t="n"/>
      <c r="L53" s="47" t="n"/>
      <c r="M53" s="45" t="n"/>
      <c r="N53" s="49">
        <f>IFERROR(IF(ISBLANK(H53),"",ABS(H53-I53)/VLOOKUP(C53,設定!$B$9:$D$23,2,FALSE)),"")</f>
        <v/>
      </c>
      <c r="O53" s="48">
        <f>IFERROR(IF(ISBLANK(J53),"",ABS(J53-H53)/ABS(H53-I53)),"")</f>
        <v/>
      </c>
      <c r="P53" s="50">
        <f>IFERROR(IF(OR(ISBLANK(L53),ISBLANK(E53)),"",IF(E53="Long",(L53-H53),(H53-L53))/VLOOKUP(C53,設定!$B$9:$D$23,2,FALSE)),"")</f>
        <v/>
      </c>
      <c r="Q53" s="51">
        <f>IFERROR(IF(OR(ISBLANK(P53),N53=0),"",P53/N53),"")</f>
        <v/>
      </c>
      <c r="R53" s="51">
        <f>IFERROR(IF(ISBLANK(Q53),R52,IF(ISNUMBER(R52),R52,0)+Q53),"")</f>
        <v/>
      </c>
      <c r="S53" s="52">
        <f>IFERROR(IF(OR(ISBLANK(P53),ISBLANK(K53)),"",P53*K53*VLOOKUP(C53,設定!$B$9:$D$23,3,FALSE)),"")</f>
        <v/>
      </c>
      <c r="T53" s="45" t="n"/>
    </row>
    <row r="54">
      <c r="A54" s="33">
        <f>IF(ISBLANK(B54),"",COUNTA($B$2:B54))</f>
        <v/>
      </c>
      <c r="B54" s="34" t="n"/>
      <c r="C54" s="35" t="n"/>
      <c r="D54" s="35" t="n"/>
      <c r="E54" s="35" t="n"/>
      <c r="F54" s="33" t="n"/>
      <c r="G54" s="36" t="n"/>
      <c r="H54" s="37" t="n"/>
      <c r="I54" s="37" t="n"/>
      <c r="J54" s="37" t="n"/>
      <c r="K54" s="38" t="n"/>
      <c r="L54" s="37" t="n"/>
      <c r="M54" s="35" t="n"/>
      <c r="N54" s="39">
        <f>IFERROR(IF(ISBLANK(H54),"",ABS(H54-I54)/VLOOKUP(C54,設定!$B$9:$D$23,2,FALSE)),"")</f>
        <v/>
      </c>
      <c r="O54" s="38">
        <f>IFERROR(IF(ISBLANK(J54),"",ABS(J54-H54)/ABS(H54-I54)),"")</f>
        <v/>
      </c>
      <c r="P54" s="40">
        <f>IFERROR(IF(OR(ISBLANK(L54),ISBLANK(E54)),"",IF(E54="Long",(L54-H54),(H54-L54))/VLOOKUP(C54,設定!$B$9:$D$23,2,FALSE)),"")</f>
        <v/>
      </c>
      <c r="Q54" s="41">
        <f>IFERROR(IF(OR(ISBLANK(P54),N54=0),"",P54/N54),"")</f>
        <v/>
      </c>
      <c r="R54" s="41">
        <f>IFERROR(IF(ISBLANK(Q54),R53,IF(ISNUMBER(R53),R53,0)+Q54),"")</f>
        <v/>
      </c>
      <c r="S54" s="42">
        <f>IFERROR(IF(OR(ISBLANK(P54),ISBLANK(K54)),"",P54*K54*VLOOKUP(C54,設定!$B$9:$D$23,3,FALSE)),"")</f>
        <v/>
      </c>
      <c r="T54" s="35" t="n"/>
    </row>
    <row r="55">
      <c r="A55" s="43">
        <f>IF(ISBLANK(B55),"",COUNTA($B$2:B55))</f>
        <v/>
      </c>
      <c r="B55" s="44" t="n"/>
      <c r="C55" s="45" t="n"/>
      <c r="D55" s="45" t="n"/>
      <c r="E55" s="45" t="n"/>
      <c r="F55" s="43" t="n"/>
      <c r="G55" s="46" t="n"/>
      <c r="H55" s="47" t="n"/>
      <c r="I55" s="47" t="n"/>
      <c r="J55" s="47" t="n"/>
      <c r="K55" s="48" t="n"/>
      <c r="L55" s="47" t="n"/>
      <c r="M55" s="45" t="n"/>
      <c r="N55" s="49">
        <f>IFERROR(IF(ISBLANK(H55),"",ABS(H55-I55)/VLOOKUP(C55,設定!$B$9:$D$23,2,FALSE)),"")</f>
        <v/>
      </c>
      <c r="O55" s="48">
        <f>IFERROR(IF(ISBLANK(J55),"",ABS(J55-H55)/ABS(H55-I55)),"")</f>
        <v/>
      </c>
      <c r="P55" s="50">
        <f>IFERROR(IF(OR(ISBLANK(L55),ISBLANK(E55)),"",IF(E55="Long",(L55-H55),(H55-L55))/VLOOKUP(C55,設定!$B$9:$D$23,2,FALSE)),"")</f>
        <v/>
      </c>
      <c r="Q55" s="51">
        <f>IFERROR(IF(OR(ISBLANK(P55),N55=0),"",P55/N55),"")</f>
        <v/>
      </c>
      <c r="R55" s="51">
        <f>IFERROR(IF(ISBLANK(Q55),R54,IF(ISNUMBER(R54),R54,0)+Q55),"")</f>
        <v/>
      </c>
      <c r="S55" s="52">
        <f>IFERROR(IF(OR(ISBLANK(P55),ISBLANK(K55)),"",P55*K55*VLOOKUP(C55,設定!$B$9:$D$23,3,FALSE)),"")</f>
        <v/>
      </c>
      <c r="T55" s="45" t="n"/>
    </row>
    <row r="56">
      <c r="A56" s="33">
        <f>IF(ISBLANK(B56),"",COUNTA($B$2:B56))</f>
        <v/>
      </c>
      <c r="B56" s="34" t="n"/>
      <c r="C56" s="35" t="n"/>
      <c r="D56" s="35" t="n"/>
      <c r="E56" s="35" t="n"/>
      <c r="F56" s="33" t="n"/>
      <c r="G56" s="36" t="n"/>
      <c r="H56" s="37" t="n"/>
      <c r="I56" s="37" t="n"/>
      <c r="J56" s="37" t="n"/>
      <c r="K56" s="38" t="n"/>
      <c r="L56" s="37" t="n"/>
      <c r="M56" s="35" t="n"/>
      <c r="N56" s="39">
        <f>IFERROR(IF(ISBLANK(H56),"",ABS(H56-I56)/VLOOKUP(C56,設定!$B$9:$D$23,2,FALSE)),"")</f>
        <v/>
      </c>
      <c r="O56" s="38">
        <f>IFERROR(IF(ISBLANK(J56),"",ABS(J56-H56)/ABS(H56-I56)),"")</f>
        <v/>
      </c>
      <c r="P56" s="40">
        <f>IFERROR(IF(OR(ISBLANK(L56),ISBLANK(E56)),"",IF(E56="Long",(L56-H56),(H56-L56))/VLOOKUP(C56,設定!$B$9:$D$23,2,FALSE)),"")</f>
        <v/>
      </c>
      <c r="Q56" s="41">
        <f>IFERROR(IF(OR(ISBLANK(P56),N56=0),"",P56/N56),"")</f>
        <v/>
      </c>
      <c r="R56" s="41">
        <f>IFERROR(IF(ISBLANK(Q56),R55,IF(ISNUMBER(R55),R55,0)+Q56),"")</f>
        <v/>
      </c>
      <c r="S56" s="42">
        <f>IFERROR(IF(OR(ISBLANK(P56),ISBLANK(K56)),"",P56*K56*VLOOKUP(C56,設定!$B$9:$D$23,3,FALSE)),"")</f>
        <v/>
      </c>
      <c r="T56" s="35" t="n"/>
    </row>
    <row r="57">
      <c r="A57" s="43">
        <f>IF(ISBLANK(B57),"",COUNTA($B$2:B57))</f>
        <v/>
      </c>
      <c r="B57" s="44" t="n"/>
      <c r="C57" s="45" t="n"/>
      <c r="D57" s="45" t="n"/>
      <c r="E57" s="45" t="n"/>
      <c r="F57" s="43" t="n"/>
      <c r="G57" s="46" t="n"/>
      <c r="H57" s="47" t="n"/>
      <c r="I57" s="47" t="n"/>
      <c r="J57" s="47" t="n"/>
      <c r="K57" s="48" t="n"/>
      <c r="L57" s="47" t="n"/>
      <c r="M57" s="45" t="n"/>
      <c r="N57" s="49">
        <f>IFERROR(IF(ISBLANK(H57),"",ABS(H57-I57)/VLOOKUP(C57,設定!$B$9:$D$23,2,FALSE)),"")</f>
        <v/>
      </c>
      <c r="O57" s="48">
        <f>IFERROR(IF(ISBLANK(J57),"",ABS(J57-H57)/ABS(H57-I57)),"")</f>
        <v/>
      </c>
      <c r="P57" s="50">
        <f>IFERROR(IF(OR(ISBLANK(L57),ISBLANK(E57)),"",IF(E57="Long",(L57-H57),(H57-L57))/VLOOKUP(C57,設定!$B$9:$D$23,2,FALSE)),"")</f>
        <v/>
      </c>
      <c r="Q57" s="51">
        <f>IFERROR(IF(OR(ISBLANK(P57),N57=0),"",P57/N57),"")</f>
        <v/>
      </c>
      <c r="R57" s="51">
        <f>IFERROR(IF(ISBLANK(Q57),R56,IF(ISNUMBER(R56),R56,0)+Q57),"")</f>
        <v/>
      </c>
      <c r="S57" s="52">
        <f>IFERROR(IF(OR(ISBLANK(P57),ISBLANK(K57)),"",P57*K57*VLOOKUP(C57,設定!$B$9:$D$23,3,FALSE)),"")</f>
        <v/>
      </c>
      <c r="T57" s="45" t="n"/>
    </row>
    <row r="58">
      <c r="A58" s="33">
        <f>IF(ISBLANK(B58),"",COUNTA($B$2:B58))</f>
        <v/>
      </c>
      <c r="B58" s="34" t="n"/>
      <c r="C58" s="35" t="n"/>
      <c r="D58" s="35" t="n"/>
      <c r="E58" s="35" t="n"/>
      <c r="F58" s="33" t="n"/>
      <c r="G58" s="36" t="n"/>
      <c r="H58" s="37" t="n"/>
      <c r="I58" s="37" t="n"/>
      <c r="J58" s="37" t="n"/>
      <c r="K58" s="38" t="n"/>
      <c r="L58" s="37" t="n"/>
      <c r="M58" s="35" t="n"/>
      <c r="N58" s="39">
        <f>IFERROR(IF(ISBLANK(H58),"",ABS(H58-I58)/VLOOKUP(C58,設定!$B$9:$D$23,2,FALSE)),"")</f>
        <v/>
      </c>
      <c r="O58" s="38">
        <f>IFERROR(IF(ISBLANK(J58),"",ABS(J58-H58)/ABS(H58-I58)),"")</f>
        <v/>
      </c>
      <c r="P58" s="40">
        <f>IFERROR(IF(OR(ISBLANK(L58),ISBLANK(E58)),"",IF(E58="Long",(L58-H58),(H58-L58))/VLOOKUP(C58,設定!$B$9:$D$23,2,FALSE)),"")</f>
        <v/>
      </c>
      <c r="Q58" s="41">
        <f>IFERROR(IF(OR(ISBLANK(P58),N58=0),"",P58/N58),"")</f>
        <v/>
      </c>
      <c r="R58" s="41">
        <f>IFERROR(IF(ISBLANK(Q58),R57,IF(ISNUMBER(R57),R57,0)+Q58),"")</f>
        <v/>
      </c>
      <c r="S58" s="42">
        <f>IFERROR(IF(OR(ISBLANK(P58),ISBLANK(K58)),"",P58*K58*VLOOKUP(C58,設定!$B$9:$D$23,3,FALSE)),"")</f>
        <v/>
      </c>
      <c r="T58" s="35" t="n"/>
    </row>
    <row r="59">
      <c r="A59" s="43">
        <f>IF(ISBLANK(B59),"",COUNTA($B$2:B59))</f>
        <v/>
      </c>
      <c r="B59" s="44" t="n"/>
      <c r="C59" s="45" t="n"/>
      <c r="D59" s="45" t="n"/>
      <c r="E59" s="45" t="n"/>
      <c r="F59" s="43" t="n"/>
      <c r="G59" s="46" t="n"/>
      <c r="H59" s="47" t="n"/>
      <c r="I59" s="47" t="n"/>
      <c r="J59" s="47" t="n"/>
      <c r="K59" s="48" t="n"/>
      <c r="L59" s="47" t="n"/>
      <c r="M59" s="45" t="n"/>
      <c r="N59" s="49">
        <f>IFERROR(IF(ISBLANK(H59),"",ABS(H59-I59)/VLOOKUP(C59,設定!$B$9:$D$23,2,FALSE)),"")</f>
        <v/>
      </c>
      <c r="O59" s="48">
        <f>IFERROR(IF(ISBLANK(J59),"",ABS(J59-H59)/ABS(H59-I59)),"")</f>
        <v/>
      </c>
      <c r="P59" s="50">
        <f>IFERROR(IF(OR(ISBLANK(L59),ISBLANK(E59)),"",IF(E59="Long",(L59-H59),(H59-L59))/VLOOKUP(C59,設定!$B$9:$D$23,2,FALSE)),"")</f>
        <v/>
      </c>
      <c r="Q59" s="51">
        <f>IFERROR(IF(OR(ISBLANK(P59),N59=0),"",P59/N59),"")</f>
        <v/>
      </c>
      <c r="R59" s="51">
        <f>IFERROR(IF(ISBLANK(Q59),R58,IF(ISNUMBER(R58),R58,0)+Q59),"")</f>
        <v/>
      </c>
      <c r="S59" s="52">
        <f>IFERROR(IF(OR(ISBLANK(P59),ISBLANK(K59)),"",P59*K59*VLOOKUP(C59,設定!$B$9:$D$23,3,FALSE)),"")</f>
        <v/>
      </c>
      <c r="T59" s="45" t="n"/>
    </row>
    <row r="60">
      <c r="A60" s="33">
        <f>IF(ISBLANK(B60),"",COUNTA($B$2:B60))</f>
        <v/>
      </c>
      <c r="B60" s="34" t="n"/>
      <c r="C60" s="35" t="n"/>
      <c r="D60" s="35" t="n"/>
      <c r="E60" s="35" t="n"/>
      <c r="F60" s="33" t="n"/>
      <c r="G60" s="36" t="n"/>
      <c r="H60" s="37" t="n"/>
      <c r="I60" s="37" t="n"/>
      <c r="J60" s="37" t="n"/>
      <c r="K60" s="38" t="n"/>
      <c r="L60" s="37" t="n"/>
      <c r="M60" s="35" t="n"/>
      <c r="N60" s="39">
        <f>IFERROR(IF(ISBLANK(H60),"",ABS(H60-I60)/VLOOKUP(C60,設定!$B$9:$D$23,2,FALSE)),"")</f>
        <v/>
      </c>
      <c r="O60" s="38">
        <f>IFERROR(IF(ISBLANK(J60),"",ABS(J60-H60)/ABS(H60-I60)),"")</f>
        <v/>
      </c>
      <c r="P60" s="40">
        <f>IFERROR(IF(OR(ISBLANK(L60),ISBLANK(E60)),"",IF(E60="Long",(L60-H60),(H60-L60))/VLOOKUP(C60,設定!$B$9:$D$23,2,FALSE)),"")</f>
        <v/>
      </c>
      <c r="Q60" s="41">
        <f>IFERROR(IF(OR(ISBLANK(P60),N60=0),"",P60/N60),"")</f>
        <v/>
      </c>
      <c r="R60" s="41">
        <f>IFERROR(IF(ISBLANK(Q60),R59,IF(ISNUMBER(R59),R59,0)+Q60),"")</f>
        <v/>
      </c>
      <c r="S60" s="42">
        <f>IFERROR(IF(OR(ISBLANK(P60),ISBLANK(K60)),"",P60*K60*VLOOKUP(C60,設定!$B$9:$D$23,3,FALSE)),"")</f>
        <v/>
      </c>
      <c r="T60" s="35" t="n"/>
    </row>
    <row r="61">
      <c r="A61" s="43">
        <f>IF(ISBLANK(B61),"",COUNTA($B$2:B61))</f>
        <v/>
      </c>
      <c r="B61" s="44" t="n"/>
      <c r="C61" s="45" t="n"/>
      <c r="D61" s="45" t="n"/>
      <c r="E61" s="45" t="n"/>
      <c r="F61" s="43" t="n"/>
      <c r="G61" s="46" t="n"/>
      <c r="H61" s="47" t="n"/>
      <c r="I61" s="47" t="n"/>
      <c r="J61" s="47" t="n"/>
      <c r="K61" s="48" t="n"/>
      <c r="L61" s="47" t="n"/>
      <c r="M61" s="45" t="n"/>
      <c r="N61" s="49">
        <f>IFERROR(IF(ISBLANK(H61),"",ABS(H61-I61)/VLOOKUP(C61,設定!$B$9:$D$23,2,FALSE)),"")</f>
        <v/>
      </c>
      <c r="O61" s="48">
        <f>IFERROR(IF(ISBLANK(J61),"",ABS(J61-H61)/ABS(H61-I61)),"")</f>
        <v/>
      </c>
      <c r="P61" s="50">
        <f>IFERROR(IF(OR(ISBLANK(L61),ISBLANK(E61)),"",IF(E61="Long",(L61-H61),(H61-L61))/VLOOKUP(C61,設定!$B$9:$D$23,2,FALSE)),"")</f>
        <v/>
      </c>
      <c r="Q61" s="51">
        <f>IFERROR(IF(OR(ISBLANK(P61),N61=0),"",P61/N61),"")</f>
        <v/>
      </c>
      <c r="R61" s="51">
        <f>IFERROR(IF(ISBLANK(Q61),R60,IF(ISNUMBER(R60),R60,0)+Q61),"")</f>
        <v/>
      </c>
      <c r="S61" s="52">
        <f>IFERROR(IF(OR(ISBLANK(P61),ISBLANK(K61)),"",P61*K61*VLOOKUP(C61,設定!$B$9:$D$23,3,FALSE)),"")</f>
        <v/>
      </c>
      <c r="T61" s="45" t="n"/>
    </row>
    <row r="62">
      <c r="A62" s="33">
        <f>IF(ISBLANK(B62),"",COUNTA($B$2:B62))</f>
        <v/>
      </c>
      <c r="B62" s="34" t="n"/>
      <c r="C62" s="35" t="n"/>
      <c r="D62" s="35" t="n"/>
      <c r="E62" s="35" t="n"/>
      <c r="F62" s="33" t="n"/>
      <c r="G62" s="36" t="n"/>
      <c r="H62" s="37" t="n"/>
      <c r="I62" s="37" t="n"/>
      <c r="J62" s="37" t="n"/>
      <c r="K62" s="38" t="n"/>
      <c r="L62" s="37" t="n"/>
      <c r="M62" s="35" t="n"/>
      <c r="N62" s="39">
        <f>IFERROR(IF(ISBLANK(H62),"",ABS(H62-I62)/VLOOKUP(C62,設定!$B$9:$D$23,2,FALSE)),"")</f>
        <v/>
      </c>
      <c r="O62" s="38">
        <f>IFERROR(IF(ISBLANK(J62),"",ABS(J62-H62)/ABS(H62-I62)),"")</f>
        <v/>
      </c>
      <c r="P62" s="40">
        <f>IFERROR(IF(OR(ISBLANK(L62),ISBLANK(E62)),"",IF(E62="Long",(L62-H62),(H62-L62))/VLOOKUP(C62,設定!$B$9:$D$23,2,FALSE)),"")</f>
        <v/>
      </c>
      <c r="Q62" s="41">
        <f>IFERROR(IF(OR(ISBLANK(P62),N62=0),"",P62/N62),"")</f>
        <v/>
      </c>
      <c r="R62" s="41">
        <f>IFERROR(IF(ISBLANK(Q62),R61,IF(ISNUMBER(R61),R61,0)+Q62),"")</f>
        <v/>
      </c>
      <c r="S62" s="42">
        <f>IFERROR(IF(OR(ISBLANK(P62),ISBLANK(K62)),"",P62*K62*VLOOKUP(C62,設定!$B$9:$D$23,3,FALSE)),"")</f>
        <v/>
      </c>
      <c r="T62" s="35" t="n"/>
    </row>
    <row r="63">
      <c r="A63" s="43">
        <f>IF(ISBLANK(B63),"",COUNTA($B$2:B63))</f>
        <v/>
      </c>
      <c r="B63" s="44" t="n"/>
      <c r="C63" s="45" t="n"/>
      <c r="D63" s="45" t="n"/>
      <c r="E63" s="45" t="n"/>
      <c r="F63" s="43" t="n"/>
      <c r="G63" s="46" t="n"/>
      <c r="H63" s="47" t="n"/>
      <c r="I63" s="47" t="n"/>
      <c r="J63" s="47" t="n"/>
      <c r="K63" s="48" t="n"/>
      <c r="L63" s="47" t="n"/>
      <c r="M63" s="45" t="n"/>
      <c r="N63" s="49">
        <f>IFERROR(IF(ISBLANK(H63),"",ABS(H63-I63)/VLOOKUP(C63,設定!$B$9:$D$23,2,FALSE)),"")</f>
        <v/>
      </c>
      <c r="O63" s="48">
        <f>IFERROR(IF(ISBLANK(J63),"",ABS(J63-H63)/ABS(H63-I63)),"")</f>
        <v/>
      </c>
      <c r="P63" s="50">
        <f>IFERROR(IF(OR(ISBLANK(L63),ISBLANK(E63)),"",IF(E63="Long",(L63-H63),(H63-L63))/VLOOKUP(C63,設定!$B$9:$D$23,2,FALSE)),"")</f>
        <v/>
      </c>
      <c r="Q63" s="51">
        <f>IFERROR(IF(OR(ISBLANK(P63),N63=0),"",P63/N63),"")</f>
        <v/>
      </c>
      <c r="R63" s="51">
        <f>IFERROR(IF(ISBLANK(Q63),R62,IF(ISNUMBER(R62),R62,0)+Q63),"")</f>
        <v/>
      </c>
      <c r="S63" s="52">
        <f>IFERROR(IF(OR(ISBLANK(P63),ISBLANK(K63)),"",P63*K63*VLOOKUP(C63,設定!$B$9:$D$23,3,FALSE)),"")</f>
        <v/>
      </c>
      <c r="T63" s="45" t="n"/>
    </row>
    <row r="64">
      <c r="A64" s="33">
        <f>IF(ISBLANK(B64),"",COUNTA($B$2:B64))</f>
        <v/>
      </c>
      <c r="B64" s="34" t="n"/>
      <c r="C64" s="35" t="n"/>
      <c r="D64" s="35" t="n"/>
      <c r="E64" s="35" t="n"/>
      <c r="F64" s="33" t="n"/>
      <c r="G64" s="36" t="n"/>
      <c r="H64" s="37" t="n"/>
      <c r="I64" s="37" t="n"/>
      <c r="J64" s="37" t="n"/>
      <c r="K64" s="38" t="n"/>
      <c r="L64" s="37" t="n"/>
      <c r="M64" s="35" t="n"/>
      <c r="N64" s="39">
        <f>IFERROR(IF(ISBLANK(H64),"",ABS(H64-I64)/VLOOKUP(C64,設定!$B$9:$D$23,2,FALSE)),"")</f>
        <v/>
      </c>
      <c r="O64" s="38">
        <f>IFERROR(IF(ISBLANK(J64),"",ABS(J64-H64)/ABS(H64-I64)),"")</f>
        <v/>
      </c>
      <c r="P64" s="40">
        <f>IFERROR(IF(OR(ISBLANK(L64),ISBLANK(E64)),"",IF(E64="Long",(L64-H64),(H64-L64))/VLOOKUP(C64,設定!$B$9:$D$23,2,FALSE)),"")</f>
        <v/>
      </c>
      <c r="Q64" s="41">
        <f>IFERROR(IF(OR(ISBLANK(P64),N64=0),"",P64/N64),"")</f>
        <v/>
      </c>
      <c r="R64" s="41">
        <f>IFERROR(IF(ISBLANK(Q64),R63,IF(ISNUMBER(R63),R63,0)+Q64),"")</f>
        <v/>
      </c>
      <c r="S64" s="42">
        <f>IFERROR(IF(OR(ISBLANK(P64),ISBLANK(K64)),"",P64*K64*VLOOKUP(C64,設定!$B$9:$D$23,3,FALSE)),"")</f>
        <v/>
      </c>
      <c r="T64" s="35" t="n"/>
    </row>
    <row r="65">
      <c r="A65" s="43">
        <f>IF(ISBLANK(B65),"",COUNTA($B$2:B65))</f>
        <v/>
      </c>
      <c r="B65" s="44" t="n"/>
      <c r="C65" s="45" t="n"/>
      <c r="D65" s="45" t="n"/>
      <c r="E65" s="45" t="n"/>
      <c r="F65" s="43" t="n"/>
      <c r="G65" s="46" t="n"/>
      <c r="H65" s="47" t="n"/>
      <c r="I65" s="47" t="n"/>
      <c r="J65" s="47" t="n"/>
      <c r="K65" s="48" t="n"/>
      <c r="L65" s="47" t="n"/>
      <c r="M65" s="45" t="n"/>
      <c r="N65" s="49">
        <f>IFERROR(IF(ISBLANK(H65),"",ABS(H65-I65)/VLOOKUP(C65,設定!$B$9:$D$23,2,FALSE)),"")</f>
        <v/>
      </c>
      <c r="O65" s="48">
        <f>IFERROR(IF(ISBLANK(J65),"",ABS(J65-H65)/ABS(H65-I65)),"")</f>
        <v/>
      </c>
      <c r="P65" s="50">
        <f>IFERROR(IF(OR(ISBLANK(L65),ISBLANK(E65)),"",IF(E65="Long",(L65-H65),(H65-L65))/VLOOKUP(C65,設定!$B$9:$D$23,2,FALSE)),"")</f>
        <v/>
      </c>
      <c r="Q65" s="51">
        <f>IFERROR(IF(OR(ISBLANK(P65),N65=0),"",P65/N65),"")</f>
        <v/>
      </c>
      <c r="R65" s="51">
        <f>IFERROR(IF(ISBLANK(Q65),R64,IF(ISNUMBER(R64),R64,0)+Q65),"")</f>
        <v/>
      </c>
      <c r="S65" s="52">
        <f>IFERROR(IF(OR(ISBLANK(P65),ISBLANK(K65)),"",P65*K65*VLOOKUP(C65,設定!$B$9:$D$23,3,FALSE)),"")</f>
        <v/>
      </c>
      <c r="T65" s="45" t="n"/>
    </row>
    <row r="66">
      <c r="A66" s="33">
        <f>IF(ISBLANK(B66),"",COUNTA($B$2:B66))</f>
        <v/>
      </c>
      <c r="B66" s="34" t="n"/>
      <c r="C66" s="35" t="n"/>
      <c r="D66" s="35" t="n"/>
      <c r="E66" s="35" t="n"/>
      <c r="F66" s="33" t="n"/>
      <c r="G66" s="36" t="n"/>
      <c r="H66" s="37" t="n"/>
      <c r="I66" s="37" t="n"/>
      <c r="J66" s="37" t="n"/>
      <c r="K66" s="38" t="n"/>
      <c r="L66" s="37" t="n"/>
      <c r="M66" s="35" t="n"/>
      <c r="N66" s="39">
        <f>IFERROR(IF(ISBLANK(H66),"",ABS(H66-I66)/VLOOKUP(C66,設定!$B$9:$D$23,2,FALSE)),"")</f>
        <v/>
      </c>
      <c r="O66" s="38">
        <f>IFERROR(IF(ISBLANK(J66),"",ABS(J66-H66)/ABS(H66-I66)),"")</f>
        <v/>
      </c>
      <c r="P66" s="40">
        <f>IFERROR(IF(OR(ISBLANK(L66),ISBLANK(E66)),"",IF(E66="Long",(L66-H66),(H66-L66))/VLOOKUP(C66,設定!$B$9:$D$23,2,FALSE)),"")</f>
        <v/>
      </c>
      <c r="Q66" s="41">
        <f>IFERROR(IF(OR(ISBLANK(P66),N66=0),"",P66/N66),"")</f>
        <v/>
      </c>
      <c r="R66" s="41">
        <f>IFERROR(IF(ISBLANK(Q66),R65,IF(ISNUMBER(R65),R65,0)+Q66),"")</f>
        <v/>
      </c>
      <c r="S66" s="42">
        <f>IFERROR(IF(OR(ISBLANK(P66),ISBLANK(K66)),"",P66*K66*VLOOKUP(C66,設定!$B$9:$D$23,3,FALSE)),"")</f>
        <v/>
      </c>
      <c r="T66" s="35" t="n"/>
    </row>
    <row r="67">
      <c r="A67" s="43">
        <f>IF(ISBLANK(B67),"",COUNTA($B$2:B67))</f>
        <v/>
      </c>
      <c r="B67" s="44" t="n"/>
      <c r="C67" s="45" t="n"/>
      <c r="D67" s="45" t="n"/>
      <c r="E67" s="45" t="n"/>
      <c r="F67" s="43" t="n"/>
      <c r="G67" s="46" t="n"/>
      <c r="H67" s="47" t="n"/>
      <c r="I67" s="47" t="n"/>
      <c r="J67" s="47" t="n"/>
      <c r="K67" s="48" t="n"/>
      <c r="L67" s="47" t="n"/>
      <c r="M67" s="45" t="n"/>
      <c r="N67" s="49">
        <f>IFERROR(IF(ISBLANK(H67),"",ABS(H67-I67)/VLOOKUP(C67,設定!$B$9:$D$23,2,FALSE)),"")</f>
        <v/>
      </c>
      <c r="O67" s="48">
        <f>IFERROR(IF(ISBLANK(J67),"",ABS(J67-H67)/ABS(H67-I67)),"")</f>
        <v/>
      </c>
      <c r="P67" s="50">
        <f>IFERROR(IF(OR(ISBLANK(L67),ISBLANK(E67)),"",IF(E67="Long",(L67-H67),(H67-L67))/VLOOKUP(C67,設定!$B$9:$D$23,2,FALSE)),"")</f>
        <v/>
      </c>
      <c r="Q67" s="51">
        <f>IFERROR(IF(OR(ISBLANK(P67),N67=0),"",P67/N67),"")</f>
        <v/>
      </c>
      <c r="R67" s="51">
        <f>IFERROR(IF(ISBLANK(Q67),R66,IF(ISNUMBER(R66),R66,0)+Q67),"")</f>
        <v/>
      </c>
      <c r="S67" s="52">
        <f>IFERROR(IF(OR(ISBLANK(P67),ISBLANK(K67)),"",P67*K67*VLOOKUP(C67,設定!$B$9:$D$23,3,FALSE)),"")</f>
        <v/>
      </c>
      <c r="T67" s="45" t="n"/>
    </row>
    <row r="68">
      <c r="A68" s="33">
        <f>IF(ISBLANK(B68),"",COUNTA($B$2:B68))</f>
        <v/>
      </c>
      <c r="B68" s="34" t="n"/>
      <c r="C68" s="35" t="n"/>
      <c r="D68" s="35" t="n"/>
      <c r="E68" s="35" t="n"/>
      <c r="F68" s="33" t="n"/>
      <c r="G68" s="36" t="n"/>
      <c r="H68" s="37" t="n"/>
      <c r="I68" s="37" t="n"/>
      <c r="J68" s="37" t="n"/>
      <c r="K68" s="38" t="n"/>
      <c r="L68" s="37" t="n"/>
      <c r="M68" s="35" t="n"/>
      <c r="N68" s="39">
        <f>IFERROR(IF(ISBLANK(H68),"",ABS(H68-I68)/VLOOKUP(C68,設定!$B$9:$D$23,2,FALSE)),"")</f>
        <v/>
      </c>
      <c r="O68" s="38">
        <f>IFERROR(IF(ISBLANK(J68),"",ABS(J68-H68)/ABS(H68-I68)),"")</f>
        <v/>
      </c>
      <c r="P68" s="40">
        <f>IFERROR(IF(OR(ISBLANK(L68),ISBLANK(E68)),"",IF(E68="Long",(L68-H68),(H68-L68))/VLOOKUP(C68,設定!$B$9:$D$23,2,FALSE)),"")</f>
        <v/>
      </c>
      <c r="Q68" s="41">
        <f>IFERROR(IF(OR(ISBLANK(P68),N68=0),"",P68/N68),"")</f>
        <v/>
      </c>
      <c r="R68" s="41">
        <f>IFERROR(IF(ISBLANK(Q68),R67,IF(ISNUMBER(R67),R67,0)+Q68),"")</f>
        <v/>
      </c>
      <c r="S68" s="42">
        <f>IFERROR(IF(OR(ISBLANK(P68),ISBLANK(K68)),"",P68*K68*VLOOKUP(C68,設定!$B$9:$D$23,3,FALSE)),"")</f>
        <v/>
      </c>
      <c r="T68" s="35" t="n"/>
    </row>
    <row r="69">
      <c r="A69" s="43">
        <f>IF(ISBLANK(B69),"",COUNTA($B$2:B69))</f>
        <v/>
      </c>
      <c r="B69" s="44" t="n"/>
      <c r="C69" s="45" t="n"/>
      <c r="D69" s="45" t="n"/>
      <c r="E69" s="45" t="n"/>
      <c r="F69" s="43" t="n"/>
      <c r="G69" s="46" t="n"/>
      <c r="H69" s="47" t="n"/>
      <c r="I69" s="47" t="n"/>
      <c r="J69" s="47" t="n"/>
      <c r="K69" s="48" t="n"/>
      <c r="L69" s="47" t="n"/>
      <c r="M69" s="45" t="n"/>
      <c r="N69" s="49">
        <f>IFERROR(IF(ISBLANK(H69),"",ABS(H69-I69)/VLOOKUP(C69,設定!$B$9:$D$23,2,FALSE)),"")</f>
        <v/>
      </c>
      <c r="O69" s="48">
        <f>IFERROR(IF(ISBLANK(J69),"",ABS(J69-H69)/ABS(H69-I69)),"")</f>
        <v/>
      </c>
      <c r="P69" s="50">
        <f>IFERROR(IF(OR(ISBLANK(L69),ISBLANK(E69)),"",IF(E69="Long",(L69-H69),(H69-L69))/VLOOKUP(C69,設定!$B$9:$D$23,2,FALSE)),"")</f>
        <v/>
      </c>
      <c r="Q69" s="51">
        <f>IFERROR(IF(OR(ISBLANK(P69),N69=0),"",P69/N69),"")</f>
        <v/>
      </c>
      <c r="R69" s="51">
        <f>IFERROR(IF(ISBLANK(Q69),R68,IF(ISNUMBER(R68),R68,0)+Q69),"")</f>
        <v/>
      </c>
      <c r="S69" s="52">
        <f>IFERROR(IF(OR(ISBLANK(P69),ISBLANK(K69)),"",P69*K69*VLOOKUP(C69,設定!$B$9:$D$23,3,FALSE)),"")</f>
        <v/>
      </c>
      <c r="T69" s="45" t="n"/>
    </row>
    <row r="70">
      <c r="A70" s="33">
        <f>IF(ISBLANK(B70),"",COUNTA($B$2:B70))</f>
        <v/>
      </c>
      <c r="B70" s="34" t="n"/>
      <c r="C70" s="35" t="n"/>
      <c r="D70" s="35" t="n"/>
      <c r="E70" s="35" t="n"/>
      <c r="F70" s="33" t="n"/>
      <c r="G70" s="36" t="n"/>
      <c r="H70" s="37" t="n"/>
      <c r="I70" s="37" t="n"/>
      <c r="J70" s="37" t="n"/>
      <c r="K70" s="38" t="n"/>
      <c r="L70" s="37" t="n"/>
      <c r="M70" s="35" t="n"/>
      <c r="N70" s="39">
        <f>IFERROR(IF(ISBLANK(H70),"",ABS(H70-I70)/VLOOKUP(C70,設定!$B$9:$D$23,2,FALSE)),"")</f>
        <v/>
      </c>
      <c r="O70" s="38">
        <f>IFERROR(IF(ISBLANK(J70),"",ABS(J70-H70)/ABS(H70-I70)),"")</f>
        <v/>
      </c>
      <c r="P70" s="40">
        <f>IFERROR(IF(OR(ISBLANK(L70),ISBLANK(E70)),"",IF(E70="Long",(L70-H70),(H70-L70))/VLOOKUP(C70,設定!$B$9:$D$23,2,FALSE)),"")</f>
        <v/>
      </c>
      <c r="Q70" s="41">
        <f>IFERROR(IF(OR(ISBLANK(P70),N70=0),"",P70/N70),"")</f>
        <v/>
      </c>
      <c r="R70" s="41">
        <f>IFERROR(IF(ISBLANK(Q70),R69,IF(ISNUMBER(R69),R69,0)+Q70),"")</f>
        <v/>
      </c>
      <c r="S70" s="42">
        <f>IFERROR(IF(OR(ISBLANK(P70),ISBLANK(K70)),"",P70*K70*VLOOKUP(C70,設定!$B$9:$D$23,3,FALSE)),"")</f>
        <v/>
      </c>
      <c r="T70" s="35" t="n"/>
    </row>
    <row r="71">
      <c r="A71" s="43">
        <f>IF(ISBLANK(B71),"",COUNTA($B$2:B71))</f>
        <v/>
      </c>
      <c r="B71" s="44" t="n"/>
      <c r="C71" s="45" t="n"/>
      <c r="D71" s="45" t="n"/>
      <c r="E71" s="45" t="n"/>
      <c r="F71" s="43" t="n"/>
      <c r="G71" s="46" t="n"/>
      <c r="H71" s="47" t="n"/>
      <c r="I71" s="47" t="n"/>
      <c r="J71" s="47" t="n"/>
      <c r="K71" s="48" t="n"/>
      <c r="L71" s="47" t="n"/>
      <c r="M71" s="45" t="n"/>
      <c r="N71" s="49">
        <f>IFERROR(IF(ISBLANK(H71),"",ABS(H71-I71)/VLOOKUP(C71,設定!$B$9:$D$23,2,FALSE)),"")</f>
        <v/>
      </c>
      <c r="O71" s="48">
        <f>IFERROR(IF(ISBLANK(J71),"",ABS(J71-H71)/ABS(H71-I71)),"")</f>
        <v/>
      </c>
      <c r="P71" s="50">
        <f>IFERROR(IF(OR(ISBLANK(L71),ISBLANK(E71)),"",IF(E71="Long",(L71-H71),(H71-L71))/VLOOKUP(C71,設定!$B$9:$D$23,2,FALSE)),"")</f>
        <v/>
      </c>
      <c r="Q71" s="51">
        <f>IFERROR(IF(OR(ISBLANK(P71),N71=0),"",P71/N71),"")</f>
        <v/>
      </c>
      <c r="R71" s="51">
        <f>IFERROR(IF(ISBLANK(Q71),R70,IF(ISNUMBER(R70),R70,0)+Q71),"")</f>
        <v/>
      </c>
      <c r="S71" s="52">
        <f>IFERROR(IF(OR(ISBLANK(P71),ISBLANK(K71)),"",P71*K71*VLOOKUP(C71,設定!$B$9:$D$23,3,FALSE)),"")</f>
        <v/>
      </c>
      <c r="T71" s="45" t="n"/>
    </row>
    <row r="72">
      <c r="A72" s="33">
        <f>IF(ISBLANK(B72),"",COUNTA($B$2:B72))</f>
        <v/>
      </c>
      <c r="B72" s="34" t="n"/>
      <c r="C72" s="35" t="n"/>
      <c r="D72" s="35" t="n"/>
      <c r="E72" s="35" t="n"/>
      <c r="F72" s="33" t="n"/>
      <c r="G72" s="36" t="n"/>
      <c r="H72" s="37" t="n"/>
      <c r="I72" s="37" t="n"/>
      <c r="J72" s="37" t="n"/>
      <c r="K72" s="38" t="n"/>
      <c r="L72" s="37" t="n"/>
      <c r="M72" s="35" t="n"/>
      <c r="N72" s="39">
        <f>IFERROR(IF(ISBLANK(H72),"",ABS(H72-I72)/VLOOKUP(C72,設定!$B$9:$D$23,2,FALSE)),"")</f>
        <v/>
      </c>
      <c r="O72" s="38">
        <f>IFERROR(IF(ISBLANK(J72),"",ABS(J72-H72)/ABS(H72-I72)),"")</f>
        <v/>
      </c>
      <c r="P72" s="40">
        <f>IFERROR(IF(OR(ISBLANK(L72),ISBLANK(E72)),"",IF(E72="Long",(L72-H72),(H72-L72))/VLOOKUP(C72,設定!$B$9:$D$23,2,FALSE)),"")</f>
        <v/>
      </c>
      <c r="Q72" s="41">
        <f>IFERROR(IF(OR(ISBLANK(P72),N72=0),"",P72/N72),"")</f>
        <v/>
      </c>
      <c r="R72" s="41">
        <f>IFERROR(IF(ISBLANK(Q72),R71,IF(ISNUMBER(R71),R71,0)+Q72),"")</f>
        <v/>
      </c>
      <c r="S72" s="42">
        <f>IFERROR(IF(OR(ISBLANK(P72),ISBLANK(K72)),"",P72*K72*VLOOKUP(C72,設定!$B$9:$D$23,3,FALSE)),"")</f>
        <v/>
      </c>
      <c r="T72" s="35" t="n"/>
    </row>
    <row r="73">
      <c r="A73" s="43">
        <f>IF(ISBLANK(B73),"",COUNTA($B$2:B73))</f>
        <v/>
      </c>
      <c r="B73" s="44" t="n"/>
      <c r="C73" s="45" t="n"/>
      <c r="D73" s="45" t="n"/>
      <c r="E73" s="45" t="n"/>
      <c r="F73" s="43" t="n"/>
      <c r="G73" s="46" t="n"/>
      <c r="H73" s="47" t="n"/>
      <c r="I73" s="47" t="n"/>
      <c r="J73" s="47" t="n"/>
      <c r="K73" s="48" t="n"/>
      <c r="L73" s="47" t="n"/>
      <c r="M73" s="45" t="n"/>
      <c r="N73" s="49">
        <f>IFERROR(IF(ISBLANK(H73),"",ABS(H73-I73)/VLOOKUP(C73,設定!$B$9:$D$23,2,FALSE)),"")</f>
        <v/>
      </c>
      <c r="O73" s="48">
        <f>IFERROR(IF(ISBLANK(J73),"",ABS(J73-H73)/ABS(H73-I73)),"")</f>
        <v/>
      </c>
      <c r="P73" s="50">
        <f>IFERROR(IF(OR(ISBLANK(L73),ISBLANK(E73)),"",IF(E73="Long",(L73-H73),(H73-L73))/VLOOKUP(C73,設定!$B$9:$D$23,2,FALSE)),"")</f>
        <v/>
      </c>
      <c r="Q73" s="51">
        <f>IFERROR(IF(OR(ISBLANK(P73),N73=0),"",P73/N73),"")</f>
        <v/>
      </c>
      <c r="R73" s="51">
        <f>IFERROR(IF(ISBLANK(Q73),R72,IF(ISNUMBER(R72),R72,0)+Q73),"")</f>
        <v/>
      </c>
      <c r="S73" s="52">
        <f>IFERROR(IF(OR(ISBLANK(P73),ISBLANK(K73)),"",P73*K73*VLOOKUP(C73,設定!$B$9:$D$23,3,FALSE)),"")</f>
        <v/>
      </c>
      <c r="T73" s="45" t="n"/>
    </row>
    <row r="74">
      <c r="A74" s="33">
        <f>IF(ISBLANK(B74),"",COUNTA($B$2:B74))</f>
        <v/>
      </c>
      <c r="B74" s="34" t="n"/>
      <c r="C74" s="35" t="n"/>
      <c r="D74" s="35" t="n"/>
      <c r="E74" s="35" t="n"/>
      <c r="F74" s="33" t="n"/>
      <c r="G74" s="36" t="n"/>
      <c r="H74" s="37" t="n"/>
      <c r="I74" s="37" t="n"/>
      <c r="J74" s="37" t="n"/>
      <c r="K74" s="38" t="n"/>
      <c r="L74" s="37" t="n"/>
      <c r="M74" s="35" t="n"/>
      <c r="N74" s="39">
        <f>IFERROR(IF(ISBLANK(H74),"",ABS(H74-I74)/VLOOKUP(C74,設定!$B$9:$D$23,2,FALSE)),"")</f>
        <v/>
      </c>
      <c r="O74" s="38">
        <f>IFERROR(IF(ISBLANK(J74),"",ABS(J74-H74)/ABS(H74-I74)),"")</f>
        <v/>
      </c>
      <c r="P74" s="40">
        <f>IFERROR(IF(OR(ISBLANK(L74),ISBLANK(E74)),"",IF(E74="Long",(L74-H74),(H74-L74))/VLOOKUP(C74,設定!$B$9:$D$23,2,FALSE)),"")</f>
        <v/>
      </c>
      <c r="Q74" s="41">
        <f>IFERROR(IF(OR(ISBLANK(P74),N74=0),"",P74/N74),"")</f>
        <v/>
      </c>
      <c r="R74" s="41">
        <f>IFERROR(IF(ISBLANK(Q74),R73,IF(ISNUMBER(R73),R73,0)+Q74),"")</f>
        <v/>
      </c>
      <c r="S74" s="42">
        <f>IFERROR(IF(OR(ISBLANK(P74),ISBLANK(K74)),"",P74*K74*VLOOKUP(C74,設定!$B$9:$D$23,3,FALSE)),"")</f>
        <v/>
      </c>
      <c r="T74" s="35" t="n"/>
    </row>
    <row r="75">
      <c r="A75" s="43">
        <f>IF(ISBLANK(B75),"",COUNTA($B$2:B75))</f>
        <v/>
      </c>
      <c r="B75" s="44" t="n"/>
      <c r="C75" s="45" t="n"/>
      <c r="D75" s="45" t="n"/>
      <c r="E75" s="45" t="n"/>
      <c r="F75" s="43" t="n"/>
      <c r="G75" s="46" t="n"/>
      <c r="H75" s="47" t="n"/>
      <c r="I75" s="47" t="n"/>
      <c r="J75" s="47" t="n"/>
      <c r="K75" s="48" t="n"/>
      <c r="L75" s="47" t="n"/>
      <c r="M75" s="45" t="n"/>
      <c r="N75" s="49">
        <f>IFERROR(IF(ISBLANK(H75),"",ABS(H75-I75)/VLOOKUP(C75,設定!$B$9:$D$23,2,FALSE)),"")</f>
        <v/>
      </c>
      <c r="O75" s="48">
        <f>IFERROR(IF(ISBLANK(J75),"",ABS(J75-H75)/ABS(H75-I75)),"")</f>
        <v/>
      </c>
      <c r="P75" s="50">
        <f>IFERROR(IF(OR(ISBLANK(L75),ISBLANK(E75)),"",IF(E75="Long",(L75-H75),(H75-L75))/VLOOKUP(C75,設定!$B$9:$D$23,2,FALSE)),"")</f>
        <v/>
      </c>
      <c r="Q75" s="51">
        <f>IFERROR(IF(OR(ISBLANK(P75),N75=0),"",P75/N75),"")</f>
        <v/>
      </c>
      <c r="R75" s="51">
        <f>IFERROR(IF(ISBLANK(Q75),R74,IF(ISNUMBER(R74),R74,0)+Q75),"")</f>
        <v/>
      </c>
      <c r="S75" s="52">
        <f>IFERROR(IF(OR(ISBLANK(P75),ISBLANK(K75)),"",P75*K75*VLOOKUP(C75,設定!$B$9:$D$23,3,FALSE)),"")</f>
        <v/>
      </c>
      <c r="T75" s="45" t="n"/>
    </row>
    <row r="76">
      <c r="A76" s="33">
        <f>IF(ISBLANK(B76),"",COUNTA($B$2:B76))</f>
        <v/>
      </c>
      <c r="B76" s="34" t="n"/>
      <c r="C76" s="35" t="n"/>
      <c r="D76" s="35" t="n"/>
      <c r="E76" s="35" t="n"/>
      <c r="F76" s="33" t="n"/>
      <c r="G76" s="36" t="n"/>
      <c r="H76" s="37" t="n"/>
      <c r="I76" s="37" t="n"/>
      <c r="J76" s="37" t="n"/>
      <c r="K76" s="38" t="n"/>
      <c r="L76" s="37" t="n"/>
      <c r="M76" s="35" t="n"/>
      <c r="N76" s="39">
        <f>IFERROR(IF(ISBLANK(H76),"",ABS(H76-I76)/VLOOKUP(C76,設定!$B$9:$D$23,2,FALSE)),"")</f>
        <v/>
      </c>
      <c r="O76" s="38">
        <f>IFERROR(IF(ISBLANK(J76),"",ABS(J76-H76)/ABS(H76-I76)),"")</f>
        <v/>
      </c>
      <c r="P76" s="40">
        <f>IFERROR(IF(OR(ISBLANK(L76),ISBLANK(E76)),"",IF(E76="Long",(L76-H76),(H76-L76))/VLOOKUP(C76,設定!$B$9:$D$23,2,FALSE)),"")</f>
        <v/>
      </c>
      <c r="Q76" s="41">
        <f>IFERROR(IF(OR(ISBLANK(P76),N76=0),"",P76/N76),"")</f>
        <v/>
      </c>
      <c r="R76" s="41">
        <f>IFERROR(IF(ISBLANK(Q76),R75,IF(ISNUMBER(R75),R75,0)+Q76),"")</f>
        <v/>
      </c>
      <c r="S76" s="42">
        <f>IFERROR(IF(OR(ISBLANK(P76),ISBLANK(K76)),"",P76*K76*VLOOKUP(C76,設定!$B$9:$D$23,3,FALSE)),"")</f>
        <v/>
      </c>
      <c r="T76" s="35" t="n"/>
    </row>
    <row r="77">
      <c r="A77" s="43">
        <f>IF(ISBLANK(B77),"",COUNTA($B$2:B77))</f>
        <v/>
      </c>
      <c r="B77" s="44" t="n"/>
      <c r="C77" s="45" t="n"/>
      <c r="D77" s="45" t="n"/>
      <c r="E77" s="45" t="n"/>
      <c r="F77" s="43" t="n"/>
      <c r="G77" s="46" t="n"/>
      <c r="H77" s="47" t="n"/>
      <c r="I77" s="47" t="n"/>
      <c r="J77" s="47" t="n"/>
      <c r="K77" s="48" t="n"/>
      <c r="L77" s="47" t="n"/>
      <c r="M77" s="45" t="n"/>
      <c r="N77" s="49">
        <f>IFERROR(IF(ISBLANK(H77),"",ABS(H77-I77)/VLOOKUP(C77,設定!$B$9:$D$23,2,FALSE)),"")</f>
        <v/>
      </c>
      <c r="O77" s="48">
        <f>IFERROR(IF(ISBLANK(J77),"",ABS(J77-H77)/ABS(H77-I77)),"")</f>
        <v/>
      </c>
      <c r="P77" s="50">
        <f>IFERROR(IF(OR(ISBLANK(L77),ISBLANK(E77)),"",IF(E77="Long",(L77-H77),(H77-L77))/VLOOKUP(C77,設定!$B$9:$D$23,2,FALSE)),"")</f>
        <v/>
      </c>
      <c r="Q77" s="51">
        <f>IFERROR(IF(OR(ISBLANK(P77),N77=0),"",P77/N77),"")</f>
        <v/>
      </c>
      <c r="R77" s="51">
        <f>IFERROR(IF(ISBLANK(Q77),R76,IF(ISNUMBER(R76),R76,0)+Q77),"")</f>
        <v/>
      </c>
      <c r="S77" s="52">
        <f>IFERROR(IF(OR(ISBLANK(P77),ISBLANK(K77)),"",P77*K77*VLOOKUP(C77,設定!$B$9:$D$23,3,FALSE)),"")</f>
        <v/>
      </c>
      <c r="T77" s="45" t="n"/>
    </row>
    <row r="78">
      <c r="A78" s="33">
        <f>IF(ISBLANK(B78),"",COUNTA($B$2:B78))</f>
        <v/>
      </c>
      <c r="B78" s="34" t="n"/>
      <c r="C78" s="35" t="n"/>
      <c r="D78" s="35" t="n"/>
      <c r="E78" s="35" t="n"/>
      <c r="F78" s="33" t="n"/>
      <c r="G78" s="36" t="n"/>
      <c r="H78" s="37" t="n"/>
      <c r="I78" s="37" t="n"/>
      <c r="J78" s="37" t="n"/>
      <c r="K78" s="38" t="n"/>
      <c r="L78" s="37" t="n"/>
      <c r="M78" s="35" t="n"/>
      <c r="N78" s="39">
        <f>IFERROR(IF(ISBLANK(H78),"",ABS(H78-I78)/VLOOKUP(C78,設定!$B$9:$D$23,2,FALSE)),"")</f>
        <v/>
      </c>
      <c r="O78" s="38">
        <f>IFERROR(IF(ISBLANK(J78),"",ABS(J78-H78)/ABS(H78-I78)),"")</f>
        <v/>
      </c>
      <c r="P78" s="40">
        <f>IFERROR(IF(OR(ISBLANK(L78),ISBLANK(E78)),"",IF(E78="Long",(L78-H78),(H78-L78))/VLOOKUP(C78,設定!$B$9:$D$23,2,FALSE)),"")</f>
        <v/>
      </c>
      <c r="Q78" s="41">
        <f>IFERROR(IF(OR(ISBLANK(P78),N78=0),"",P78/N78),"")</f>
        <v/>
      </c>
      <c r="R78" s="41">
        <f>IFERROR(IF(ISBLANK(Q78),R77,IF(ISNUMBER(R77),R77,0)+Q78),"")</f>
        <v/>
      </c>
      <c r="S78" s="42">
        <f>IFERROR(IF(OR(ISBLANK(P78),ISBLANK(K78)),"",P78*K78*VLOOKUP(C78,設定!$B$9:$D$23,3,FALSE)),"")</f>
        <v/>
      </c>
      <c r="T78" s="35" t="n"/>
    </row>
    <row r="79">
      <c r="A79" s="43">
        <f>IF(ISBLANK(B79),"",COUNTA($B$2:B79))</f>
        <v/>
      </c>
      <c r="B79" s="44" t="n"/>
      <c r="C79" s="45" t="n"/>
      <c r="D79" s="45" t="n"/>
      <c r="E79" s="45" t="n"/>
      <c r="F79" s="43" t="n"/>
      <c r="G79" s="46" t="n"/>
      <c r="H79" s="47" t="n"/>
      <c r="I79" s="47" t="n"/>
      <c r="J79" s="47" t="n"/>
      <c r="K79" s="48" t="n"/>
      <c r="L79" s="47" t="n"/>
      <c r="M79" s="45" t="n"/>
      <c r="N79" s="49">
        <f>IFERROR(IF(ISBLANK(H79),"",ABS(H79-I79)/VLOOKUP(C79,設定!$B$9:$D$23,2,FALSE)),"")</f>
        <v/>
      </c>
      <c r="O79" s="48">
        <f>IFERROR(IF(ISBLANK(J79),"",ABS(J79-H79)/ABS(H79-I79)),"")</f>
        <v/>
      </c>
      <c r="P79" s="50">
        <f>IFERROR(IF(OR(ISBLANK(L79),ISBLANK(E79)),"",IF(E79="Long",(L79-H79),(H79-L79))/VLOOKUP(C79,設定!$B$9:$D$23,2,FALSE)),"")</f>
        <v/>
      </c>
      <c r="Q79" s="51">
        <f>IFERROR(IF(OR(ISBLANK(P79),N79=0),"",P79/N79),"")</f>
        <v/>
      </c>
      <c r="R79" s="51">
        <f>IFERROR(IF(ISBLANK(Q79),R78,IF(ISNUMBER(R78),R78,0)+Q79),"")</f>
        <v/>
      </c>
      <c r="S79" s="52">
        <f>IFERROR(IF(OR(ISBLANK(P79),ISBLANK(K79)),"",P79*K79*VLOOKUP(C79,設定!$B$9:$D$23,3,FALSE)),"")</f>
        <v/>
      </c>
      <c r="T79" s="45" t="n"/>
    </row>
    <row r="80">
      <c r="A80" s="33">
        <f>IF(ISBLANK(B80),"",COUNTA($B$2:B80))</f>
        <v/>
      </c>
      <c r="B80" s="34" t="n"/>
      <c r="C80" s="35" t="n"/>
      <c r="D80" s="35" t="n"/>
      <c r="E80" s="35" t="n"/>
      <c r="F80" s="33" t="n"/>
      <c r="G80" s="36" t="n"/>
      <c r="H80" s="37" t="n"/>
      <c r="I80" s="37" t="n"/>
      <c r="J80" s="37" t="n"/>
      <c r="K80" s="38" t="n"/>
      <c r="L80" s="37" t="n"/>
      <c r="M80" s="35" t="n"/>
      <c r="N80" s="39">
        <f>IFERROR(IF(ISBLANK(H80),"",ABS(H80-I80)/VLOOKUP(C80,設定!$B$9:$D$23,2,FALSE)),"")</f>
        <v/>
      </c>
      <c r="O80" s="38">
        <f>IFERROR(IF(ISBLANK(J80),"",ABS(J80-H80)/ABS(H80-I80)),"")</f>
        <v/>
      </c>
      <c r="P80" s="40">
        <f>IFERROR(IF(OR(ISBLANK(L80),ISBLANK(E80)),"",IF(E80="Long",(L80-H80),(H80-L80))/VLOOKUP(C80,設定!$B$9:$D$23,2,FALSE)),"")</f>
        <v/>
      </c>
      <c r="Q80" s="41">
        <f>IFERROR(IF(OR(ISBLANK(P80),N80=0),"",P80/N80),"")</f>
        <v/>
      </c>
      <c r="R80" s="41">
        <f>IFERROR(IF(ISBLANK(Q80),R79,IF(ISNUMBER(R79),R79,0)+Q80),"")</f>
        <v/>
      </c>
      <c r="S80" s="42">
        <f>IFERROR(IF(OR(ISBLANK(P80),ISBLANK(K80)),"",P80*K80*VLOOKUP(C80,設定!$B$9:$D$23,3,FALSE)),"")</f>
        <v/>
      </c>
      <c r="T80" s="35" t="n"/>
    </row>
    <row r="81">
      <c r="A81" s="43">
        <f>IF(ISBLANK(B81),"",COUNTA($B$2:B81))</f>
        <v/>
      </c>
      <c r="B81" s="44" t="n"/>
      <c r="C81" s="45" t="n"/>
      <c r="D81" s="45" t="n"/>
      <c r="E81" s="45" t="n"/>
      <c r="F81" s="43" t="n"/>
      <c r="G81" s="46" t="n"/>
      <c r="H81" s="47" t="n"/>
      <c r="I81" s="47" t="n"/>
      <c r="J81" s="47" t="n"/>
      <c r="K81" s="48" t="n"/>
      <c r="L81" s="47" t="n"/>
      <c r="M81" s="45" t="n"/>
      <c r="N81" s="49">
        <f>IFERROR(IF(ISBLANK(H81),"",ABS(H81-I81)/VLOOKUP(C81,設定!$B$9:$D$23,2,FALSE)),"")</f>
        <v/>
      </c>
      <c r="O81" s="48">
        <f>IFERROR(IF(ISBLANK(J81),"",ABS(J81-H81)/ABS(H81-I81)),"")</f>
        <v/>
      </c>
      <c r="P81" s="50">
        <f>IFERROR(IF(OR(ISBLANK(L81),ISBLANK(E81)),"",IF(E81="Long",(L81-H81),(H81-L81))/VLOOKUP(C81,設定!$B$9:$D$23,2,FALSE)),"")</f>
        <v/>
      </c>
      <c r="Q81" s="51">
        <f>IFERROR(IF(OR(ISBLANK(P81),N81=0),"",P81/N81),"")</f>
        <v/>
      </c>
      <c r="R81" s="51">
        <f>IFERROR(IF(ISBLANK(Q81),R80,IF(ISNUMBER(R80),R80,0)+Q81),"")</f>
        <v/>
      </c>
      <c r="S81" s="52">
        <f>IFERROR(IF(OR(ISBLANK(P81),ISBLANK(K81)),"",P81*K81*VLOOKUP(C81,設定!$B$9:$D$23,3,FALSE)),"")</f>
        <v/>
      </c>
      <c r="T81" s="45" t="n"/>
    </row>
    <row r="82">
      <c r="A82" s="33">
        <f>IF(ISBLANK(B82),"",COUNTA($B$2:B82))</f>
        <v/>
      </c>
      <c r="B82" s="34" t="n"/>
      <c r="C82" s="35" t="n"/>
      <c r="D82" s="35" t="n"/>
      <c r="E82" s="35" t="n"/>
      <c r="F82" s="33" t="n"/>
      <c r="G82" s="36" t="n"/>
      <c r="H82" s="37" t="n"/>
      <c r="I82" s="37" t="n"/>
      <c r="J82" s="37" t="n"/>
      <c r="K82" s="38" t="n"/>
      <c r="L82" s="37" t="n"/>
      <c r="M82" s="35" t="n"/>
      <c r="N82" s="39">
        <f>IFERROR(IF(ISBLANK(H82),"",ABS(H82-I82)/VLOOKUP(C82,設定!$B$9:$D$23,2,FALSE)),"")</f>
        <v/>
      </c>
      <c r="O82" s="38">
        <f>IFERROR(IF(ISBLANK(J82),"",ABS(J82-H82)/ABS(H82-I82)),"")</f>
        <v/>
      </c>
      <c r="P82" s="40">
        <f>IFERROR(IF(OR(ISBLANK(L82),ISBLANK(E82)),"",IF(E82="Long",(L82-H82),(H82-L82))/VLOOKUP(C82,設定!$B$9:$D$23,2,FALSE)),"")</f>
        <v/>
      </c>
      <c r="Q82" s="41">
        <f>IFERROR(IF(OR(ISBLANK(P82),N82=0),"",P82/N82),"")</f>
        <v/>
      </c>
      <c r="R82" s="41">
        <f>IFERROR(IF(ISBLANK(Q82),R81,IF(ISNUMBER(R81),R81,0)+Q82),"")</f>
        <v/>
      </c>
      <c r="S82" s="42">
        <f>IFERROR(IF(OR(ISBLANK(P82),ISBLANK(K82)),"",P82*K82*VLOOKUP(C82,設定!$B$9:$D$23,3,FALSE)),"")</f>
        <v/>
      </c>
      <c r="T82" s="35" t="n"/>
    </row>
    <row r="83">
      <c r="A83" s="43">
        <f>IF(ISBLANK(B83),"",COUNTA($B$2:B83))</f>
        <v/>
      </c>
      <c r="B83" s="44" t="n"/>
      <c r="C83" s="45" t="n"/>
      <c r="D83" s="45" t="n"/>
      <c r="E83" s="45" t="n"/>
      <c r="F83" s="43" t="n"/>
      <c r="G83" s="46" t="n"/>
      <c r="H83" s="47" t="n"/>
      <c r="I83" s="47" t="n"/>
      <c r="J83" s="47" t="n"/>
      <c r="K83" s="48" t="n"/>
      <c r="L83" s="47" t="n"/>
      <c r="M83" s="45" t="n"/>
      <c r="N83" s="49">
        <f>IFERROR(IF(ISBLANK(H83),"",ABS(H83-I83)/VLOOKUP(C83,設定!$B$9:$D$23,2,FALSE)),"")</f>
        <v/>
      </c>
      <c r="O83" s="48">
        <f>IFERROR(IF(ISBLANK(J83),"",ABS(J83-H83)/ABS(H83-I83)),"")</f>
        <v/>
      </c>
      <c r="P83" s="50">
        <f>IFERROR(IF(OR(ISBLANK(L83),ISBLANK(E83)),"",IF(E83="Long",(L83-H83),(H83-L83))/VLOOKUP(C83,設定!$B$9:$D$23,2,FALSE)),"")</f>
        <v/>
      </c>
      <c r="Q83" s="51">
        <f>IFERROR(IF(OR(ISBLANK(P83),N83=0),"",P83/N83),"")</f>
        <v/>
      </c>
      <c r="R83" s="51">
        <f>IFERROR(IF(ISBLANK(Q83),R82,IF(ISNUMBER(R82),R82,0)+Q83),"")</f>
        <v/>
      </c>
      <c r="S83" s="52">
        <f>IFERROR(IF(OR(ISBLANK(P83),ISBLANK(K83)),"",P83*K83*VLOOKUP(C83,設定!$B$9:$D$23,3,FALSE)),"")</f>
        <v/>
      </c>
      <c r="T83" s="45" t="n"/>
    </row>
    <row r="84">
      <c r="A84" s="33">
        <f>IF(ISBLANK(B84),"",COUNTA($B$2:B84))</f>
        <v/>
      </c>
      <c r="B84" s="34" t="n"/>
      <c r="C84" s="35" t="n"/>
      <c r="D84" s="35" t="n"/>
      <c r="E84" s="35" t="n"/>
      <c r="F84" s="33" t="n"/>
      <c r="G84" s="36" t="n"/>
      <c r="H84" s="37" t="n"/>
      <c r="I84" s="37" t="n"/>
      <c r="J84" s="37" t="n"/>
      <c r="K84" s="38" t="n"/>
      <c r="L84" s="37" t="n"/>
      <c r="M84" s="35" t="n"/>
      <c r="N84" s="39">
        <f>IFERROR(IF(ISBLANK(H84),"",ABS(H84-I84)/VLOOKUP(C84,設定!$B$9:$D$23,2,FALSE)),"")</f>
        <v/>
      </c>
      <c r="O84" s="38">
        <f>IFERROR(IF(ISBLANK(J84),"",ABS(J84-H84)/ABS(H84-I84)),"")</f>
        <v/>
      </c>
      <c r="P84" s="40">
        <f>IFERROR(IF(OR(ISBLANK(L84),ISBLANK(E84)),"",IF(E84="Long",(L84-H84),(H84-L84))/VLOOKUP(C84,設定!$B$9:$D$23,2,FALSE)),"")</f>
        <v/>
      </c>
      <c r="Q84" s="41">
        <f>IFERROR(IF(OR(ISBLANK(P84),N84=0),"",P84/N84),"")</f>
        <v/>
      </c>
      <c r="R84" s="41">
        <f>IFERROR(IF(ISBLANK(Q84),R83,IF(ISNUMBER(R83),R83,0)+Q84),"")</f>
        <v/>
      </c>
      <c r="S84" s="42">
        <f>IFERROR(IF(OR(ISBLANK(P84),ISBLANK(K84)),"",P84*K84*VLOOKUP(C84,設定!$B$9:$D$23,3,FALSE)),"")</f>
        <v/>
      </c>
      <c r="T84" s="35" t="n"/>
    </row>
    <row r="85">
      <c r="A85" s="43">
        <f>IF(ISBLANK(B85),"",COUNTA($B$2:B85))</f>
        <v/>
      </c>
      <c r="B85" s="44" t="n"/>
      <c r="C85" s="45" t="n"/>
      <c r="D85" s="45" t="n"/>
      <c r="E85" s="45" t="n"/>
      <c r="F85" s="43" t="n"/>
      <c r="G85" s="46" t="n"/>
      <c r="H85" s="47" t="n"/>
      <c r="I85" s="47" t="n"/>
      <c r="J85" s="47" t="n"/>
      <c r="K85" s="48" t="n"/>
      <c r="L85" s="47" t="n"/>
      <c r="M85" s="45" t="n"/>
      <c r="N85" s="49">
        <f>IFERROR(IF(ISBLANK(H85),"",ABS(H85-I85)/VLOOKUP(C85,設定!$B$9:$D$23,2,FALSE)),"")</f>
        <v/>
      </c>
      <c r="O85" s="48">
        <f>IFERROR(IF(ISBLANK(J85),"",ABS(J85-H85)/ABS(H85-I85)),"")</f>
        <v/>
      </c>
      <c r="P85" s="50">
        <f>IFERROR(IF(OR(ISBLANK(L85),ISBLANK(E85)),"",IF(E85="Long",(L85-H85),(H85-L85))/VLOOKUP(C85,設定!$B$9:$D$23,2,FALSE)),"")</f>
        <v/>
      </c>
      <c r="Q85" s="51">
        <f>IFERROR(IF(OR(ISBLANK(P85),N85=0),"",P85/N85),"")</f>
        <v/>
      </c>
      <c r="R85" s="51">
        <f>IFERROR(IF(ISBLANK(Q85),R84,IF(ISNUMBER(R84),R84,0)+Q85),"")</f>
        <v/>
      </c>
      <c r="S85" s="52">
        <f>IFERROR(IF(OR(ISBLANK(P85),ISBLANK(K85)),"",P85*K85*VLOOKUP(C85,設定!$B$9:$D$23,3,FALSE)),"")</f>
        <v/>
      </c>
      <c r="T85" s="45" t="n"/>
    </row>
    <row r="86">
      <c r="A86" s="33">
        <f>IF(ISBLANK(B86),"",COUNTA($B$2:B86))</f>
        <v/>
      </c>
      <c r="B86" s="34" t="n"/>
      <c r="C86" s="35" t="n"/>
      <c r="D86" s="35" t="n"/>
      <c r="E86" s="35" t="n"/>
      <c r="F86" s="33" t="n"/>
      <c r="G86" s="36" t="n"/>
      <c r="H86" s="37" t="n"/>
      <c r="I86" s="37" t="n"/>
      <c r="J86" s="37" t="n"/>
      <c r="K86" s="38" t="n"/>
      <c r="L86" s="37" t="n"/>
      <c r="M86" s="35" t="n"/>
      <c r="N86" s="39">
        <f>IFERROR(IF(ISBLANK(H86),"",ABS(H86-I86)/VLOOKUP(C86,設定!$B$9:$D$23,2,FALSE)),"")</f>
        <v/>
      </c>
      <c r="O86" s="38">
        <f>IFERROR(IF(ISBLANK(J86),"",ABS(J86-H86)/ABS(H86-I86)),"")</f>
        <v/>
      </c>
      <c r="P86" s="40">
        <f>IFERROR(IF(OR(ISBLANK(L86),ISBLANK(E86)),"",IF(E86="Long",(L86-H86),(H86-L86))/VLOOKUP(C86,設定!$B$9:$D$23,2,FALSE)),"")</f>
        <v/>
      </c>
      <c r="Q86" s="41">
        <f>IFERROR(IF(OR(ISBLANK(P86),N86=0),"",P86/N86),"")</f>
        <v/>
      </c>
      <c r="R86" s="41">
        <f>IFERROR(IF(ISBLANK(Q86),R85,IF(ISNUMBER(R85),R85,0)+Q86),"")</f>
        <v/>
      </c>
      <c r="S86" s="42">
        <f>IFERROR(IF(OR(ISBLANK(P86),ISBLANK(K86)),"",P86*K86*VLOOKUP(C86,設定!$B$9:$D$23,3,FALSE)),"")</f>
        <v/>
      </c>
      <c r="T86" s="35" t="n"/>
    </row>
    <row r="87">
      <c r="A87" s="43">
        <f>IF(ISBLANK(B87),"",COUNTA($B$2:B87))</f>
        <v/>
      </c>
      <c r="B87" s="44" t="n"/>
      <c r="C87" s="45" t="n"/>
      <c r="D87" s="45" t="n"/>
      <c r="E87" s="45" t="n"/>
      <c r="F87" s="43" t="n"/>
      <c r="G87" s="46" t="n"/>
      <c r="H87" s="47" t="n"/>
      <c r="I87" s="47" t="n"/>
      <c r="J87" s="47" t="n"/>
      <c r="K87" s="48" t="n"/>
      <c r="L87" s="47" t="n"/>
      <c r="M87" s="45" t="n"/>
      <c r="N87" s="49">
        <f>IFERROR(IF(ISBLANK(H87),"",ABS(H87-I87)/VLOOKUP(C87,設定!$B$9:$D$23,2,FALSE)),"")</f>
        <v/>
      </c>
      <c r="O87" s="48">
        <f>IFERROR(IF(ISBLANK(J87),"",ABS(J87-H87)/ABS(H87-I87)),"")</f>
        <v/>
      </c>
      <c r="P87" s="50">
        <f>IFERROR(IF(OR(ISBLANK(L87),ISBLANK(E87)),"",IF(E87="Long",(L87-H87),(H87-L87))/VLOOKUP(C87,設定!$B$9:$D$23,2,FALSE)),"")</f>
        <v/>
      </c>
      <c r="Q87" s="51">
        <f>IFERROR(IF(OR(ISBLANK(P87),N87=0),"",P87/N87),"")</f>
        <v/>
      </c>
      <c r="R87" s="51">
        <f>IFERROR(IF(ISBLANK(Q87),R86,IF(ISNUMBER(R86),R86,0)+Q87),"")</f>
        <v/>
      </c>
      <c r="S87" s="52">
        <f>IFERROR(IF(OR(ISBLANK(P87),ISBLANK(K87)),"",P87*K87*VLOOKUP(C87,設定!$B$9:$D$23,3,FALSE)),"")</f>
        <v/>
      </c>
      <c r="T87" s="45" t="n"/>
    </row>
    <row r="88">
      <c r="A88" s="33">
        <f>IF(ISBLANK(B88),"",COUNTA($B$2:B88))</f>
        <v/>
      </c>
      <c r="B88" s="34" t="n"/>
      <c r="C88" s="35" t="n"/>
      <c r="D88" s="35" t="n"/>
      <c r="E88" s="35" t="n"/>
      <c r="F88" s="33" t="n"/>
      <c r="G88" s="36" t="n"/>
      <c r="H88" s="37" t="n"/>
      <c r="I88" s="37" t="n"/>
      <c r="J88" s="37" t="n"/>
      <c r="K88" s="38" t="n"/>
      <c r="L88" s="37" t="n"/>
      <c r="M88" s="35" t="n"/>
      <c r="N88" s="39">
        <f>IFERROR(IF(ISBLANK(H88),"",ABS(H88-I88)/VLOOKUP(C88,設定!$B$9:$D$23,2,FALSE)),"")</f>
        <v/>
      </c>
      <c r="O88" s="38">
        <f>IFERROR(IF(ISBLANK(J88),"",ABS(J88-H88)/ABS(H88-I88)),"")</f>
        <v/>
      </c>
      <c r="P88" s="40">
        <f>IFERROR(IF(OR(ISBLANK(L88),ISBLANK(E88)),"",IF(E88="Long",(L88-H88),(H88-L88))/VLOOKUP(C88,設定!$B$9:$D$23,2,FALSE)),"")</f>
        <v/>
      </c>
      <c r="Q88" s="41">
        <f>IFERROR(IF(OR(ISBLANK(P88),N88=0),"",P88/N88),"")</f>
        <v/>
      </c>
      <c r="R88" s="41">
        <f>IFERROR(IF(ISBLANK(Q88),R87,IF(ISNUMBER(R87),R87,0)+Q88),"")</f>
        <v/>
      </c>
      <c r="S88" s="42">
        <f>IFERROR(IF(OR(ISBLANK(P88),ISBLANK(K88)),"",P88*K88*VLOOKUP(C88,設定!$B$9:$D$23,3,FALSE)),"")</f>
        <v/>
      </c>
      <c r="T88" s="35" t="n"/>
    </row>
    <row r="89">
      <c r="A89" s="43">
        <f>IF(ISBLANK(B89),"",COUNTA($B$2:B89))</f>
        <v/>
      </c>
      <c r="B89" s="44" t="n"/>
      <c r="C89" s="45" t="n"/>
      <c r="D89" s="45" t="n"/>
      <c r="E89" s="45" t="n"/>
      <c r="F89" s="43" t="n"/>
      <c r="G89" s="46" t="n"/>
      <c r="H89" s="47" t="n"/>
      <c r="I89" s="47" t="n"/>
      <c r="J89" s="47" t="n"/>
      <c r="K89" s="48" t="n"/>
      <c r="L89" s="47" t="n"/>
      <c r="M89" s="45" t="n"/>
      <c r="N89" s="49">
        <f>IFERROR(IF(ISBLANK(H89),"",ABS(H89-I89)/VLOOKUP(C89,設定!$B$9:$D$23,2,FALSE)),"")</f>
        <v/>
      </c>
      <c r="O89" s="48">
        <f>IFERROR(IF(ISBLANK(J89),"",ABS(J89-H89)/ABS(H89-I89)),"")</f>
        <v/>
      </c>
      <c r="P89" s="50">
        <f>IFERROR(IF(OR(ISBLANK(L89),ISBLANK(E89)),"",IF(E89="Long",(L89-H89),(H89-L89))/VLOOKUP(C89,設定!$B$9:$D$23,2,FALSE)),"")</f>
        <v/>
      </c>
      <c r="Q89" s="51">
        <f>IFERROR(IF(OR(ISBLANK(P89),N89=0),"",P89/N89),"")</f>
        <v/>
      </c>
      <c r="R89" s="51">
        <f>IFERROR(IF(ISBLANK(Q89),R88,IF(ISNUMBER(R88),R88,0)+Q89),"")</f>
        <v/>
      </c>
      <c r="S89" s="52">
        <f>IFERROR(IF(OR(ISBLANK(P89),ISBLANK(K89)),"",P89*K89*VLOOKUP(C89,設定!$B$9:$D$23,3,FALSE)),"")</f>
        <v/>
      </c>
      <c r="T89" s="45" t="n"/>
    </row>
    <row r="90">
      <c r="A90" s="33">
        <f>IF(ISBLANK(B90),"",COUNTA($B$2:B90))</f>
        <v/>
      </c>
      <c r="B90" s="34" t="n"/>
      <c r="C90" s="35" t="n"/>
      <c r="D90" s="35" t="n"/>
      <c r="E90" s="35" t="n"/>
      <c r="F90" s="33" t="n"/>
      <c r="G90" s="36" t="n"/>
      <c r="H90" s="37" t="n"/>
      <c r="I90" s="37" t="n"/>
      <c r="J90" s="37" t="n"/>
      <c r="K90" s="38" t="n"/>
      <c r="L90" s="37" t="n"/>
      <c r="M90" s="35" t="n"/>
      <c r="N90" s="39">
        <f>IFERROR(IF(ISBLANK(H90),"",ABS(H90-I90)/VLOOKUP(C90,設定!$B$9:$D$23,2,FALSE)),"")</f>
        <v/>
      </c>
      <c r="O90" s="38">
        <f>IFERROR(IF(ISBLANK(J90),"",ABS(J90-H90)/ABS(H90-I90)),"")</f>
        <v/>
      </c>
      <c r="P90" s="40">
        <f>IFERROR(IF(OR(ISBLANK(L90),ISBLANK(E90)),"",IF(E90="Long",(L90-H90),(H90-L90))/VLOOKUP(C90,設定!$B$9:$D$23,2,FALSE)),"")</f>
        <v/>
      </c>
      <c r="Q90" s="41">
        <f>IFERROR(IF(OR(ISBLANK(P90),N90=0),"",P90/N90),"")</f>
        <v/>
      </c>
      <c r="R90" s="41">
        <f>IFERROR(IF(ISBLANK(Q90),R89,IF(ISNUMBER(R89),R89,0)+Q90),"")</f>
        <v/>
      </c>
      <c r="S90" s="42">
        <f>IFERROR(IF(OR(ISBLANK(P90),ISBLANK(K90)),"",P90*K90*VLOOKUP(C90,設定!$B$9:$D$23,3,FALSE)),"")</f>
        <v/>
      </c>
      <c r="T90" s="35" t="n"/>
    </row>
    <row r="91">
      <c r="A91" s="43">
        <f>IF(ISBLANK(B91),"",COUNTA($B$2:B91))</f>
        <v/>
      </c>
      <c r="B91" s="44" t="n"/>
      <c r="C91" s="45" t="n"/>
      <c r="D91" s="45" t="n"/>
      <c r="E91" s="45" t="n"/>
      <c r="F91" s="43" t="n"/>
      <c r="G91" s="46" t="n"/>
      <c r="H91" s="47" t="n"/>
      <c r="I91" s="47" t="n"/>
      <c r="J91" s="47" t="n"/>
      <c r="K91" s="48" t="n"/>
      <c r="L91" s="47" t="n"/>
      <c r="M91" s="45" t="n"/>
      <c r="N91" s="49">
        <f>IFERROR(IF(ISBLANK(H91),"",ABS(H91-I91)/VLOOKUP(C91,設定!$B$9:$D$23,2,FALSE)),"")</f>
        <v/>
      </c>
      <c r="O91" s="48">
        <f>IFERROR(IF(ISBLANK(J91),"",ABS(J91-H91)/ABS(H91-I91)),"")</f>
        <v/>
      </c>
      <c r="P91" s="50">
        <f>IFERROR(IF(OR(ISBLANK(L91),ISBLANK(E91)),"",IF(E91="Long",(L91-H91),(H91-L91))/VLOOKUP(C91,設定!$B$9:$D$23,2,FALSE)),"")</f>
        <v/>
      </c>
      <c r="Q91" s="51">
        <f>IFERROR(IF(OR(ISBLANK(P91),N91=0),"",P91/N91),"")</f>
        <v/>
      </c>
      <c r="R91" s="51">
        <f>IFERROR(IF(ISBLANK(Q91),R90,IF(ISNUMBER(R90),R90,0)+Q91),"")</f>
        <v/>
      </c>
      <c r="S91" s="52">
        <f>IFERROR(IF(OR(ISBLANK(P91),ISBLANK(K91)),"",P91*K91*VLOOKUP(C91,設定!$B$9:$D$23,3,FALSE)),"")</f>
        <v/>
      </c>
      <c r="T91" s="45" t="n"/>
    </row>
    <row r="92">
      <c r="A92" s="33">
        <f>IF(ISBLANK(B92),"",COUNTA($B$2:B92))</f>
        <v/>
      </c>
      <c r="B92" s="34" t="n"/>
      <c r="C92" s="35" t="n"/>
      <c r="D92" s="35" t="n"/>
      <c r="E92" s="35" t="n"/>
      <c r="F92" s="33" t="n"/>
      <c r="G92" s="36" t="n"/>
      <c r="H92" s="37" t="n"/>
      <c r="I92" s="37" t="n"/>
      <c r="J92" s="37" t="n"/>
      <c r="K92" s="38" t="n"/>
      <c r="L92" s="37" t="n"/>
      <c r="M92" s="35" t="n"/>
      <c r="N92" s="39">
        <f>IFERROR(IF(ISBLANK(H92),"",ABS(H92-I92)/VLOOKUP(C92,設定!$B$9:$D$23,2,FALSE)),"")</f>
        <v/>
      </c>
      <c r="O92" s="38">
        <f>IFERROR(IF(ISBLANK(J92),"",ABS(J92-H92)/ABS(H92-I92)),"")</f>
        <v/>
      </c>
      <c r="P92" s="40">
        <f>IFERROR(IF(OR(ISBLANK(L92),ISBLANK(E92)),"",IF(E92="Long",(L92-H92),(H92-L92))/VLOOKUP(C92,設定!$B$9:$D$23,2,FALSE)),"")</f>
        <v/>
      </c>
      <c r="Q92" s="41">
        <f>IFERROR(IF(OR(ISBLANK(P92),N92=0),"",P92/N92),"")</f>
        <v/>
      </c>
      <c r="R92" s="41">
        <f>IFERROR(IF(ISBLANK(Q92),R91,IF(ISNUMBER(R91),R91,0)+Q92),"")</f>
        <v/>
      </c>
      <c r="S92" s="42">
        <f>IFERROR(IF(OR(ISBLANK(P92),ISBLANK(K92)),"",P92*K92*VLOOKUP(C92,設定!$B$9:$D$23,3,FALSE)),"")</f>
        <v/>
      </c>
      <c r="T92" s="35" t="n"/>
    </row>
    <row r="93">
      <c r="A93" s="43">
        <f>IF(ISBLANK(B93),"",COUNTA($B$2:B93))</f>
        <v/>
      </c>
      <c r="B93" s="44" t="n"/>
      <c r="C93" s="45" t="n"/>
      <c r="D93" s="45" t="n"/>
      <c r="E93" s="45" t="n"/>
      <c r="F93" s="43" t="n"/>
      <c r="G93" s="46" t="n"/>
      <c r="H93" s="47" t="n"/>
      <c r="I93" s="47" t="n"/>
      <c r="J93" s="47" t="n"/>
      <c r="K93" s="48" t="n"/>
      <c r="L93" s="47" t="n"/>
      <c r="M93" s="45" t="n"/>
      <c r="N93" s="49">
        <f>IFERROR(IF(ISBLANK(H93),"",ABS(H93-I93)/VLOOKUP(C93,設定!$B$9:$D$23,2,FALSE)),"")</f>
        <v/>
      </c>
      <c r="O93" s="48">
        <f>IFERROR(IF(ISBLANK(J93),"",ABS(J93-H93)/ABS(H93-I93)),"")</f>
        <v/>
      </c>
      <c r="P93" s="50">
        <f>IFERROR(IF(OR(ISBLANK(L93),ISBLANK(E93)),"",IF(E93="Long",(L93-H93),(H93-L93))/VLOOKUP(C93,設定!$B$9:$D$23,2,FALSE)),"")</f>
        <v/>
      </c>
      <c r="Q93" s="51">
        <f>IFERROR(IF(OR(ISBLANK(P93),N93=0),"",P93/N93),"")</f>
        <v/>
      </c>
      <c r="R93" s="51">
        <f>IFERROR(IF(ISBLANK(Q93),R92,IF(ISNUMBER(R92),R92,0)+Q93),"")</f>
        <v/>
      </c>
      <c r="S93" s="52">
        <f>IFERROR(IF(OR(ISBLANK(P93),ISBLANK(K93)),"",P93*K93*VLOOKUP(C93,設定!$B$9:$D$23,3,FALSE)),"")</f>
        <v/>
      </c>
      <c r="T93" s="45" t="n"/>
    </row>
    <row r="94">
      <c r="A94" s="33">
        <f>IF(ISBLANK(B94),"",COUNTA($B$2:B94))</f>
        <v/>
      </c>
      <c r="B94" s="34" t="n"/>
      <c r="C94" s="35" t="n"/>
      <c r="D94" s="35" t="n"/>
      <c r="E94" s="35" t="n"/>
      <c r="F94" s="33" t="n"/>
      <c r="G94" s="36" t="n"/>
      <c r="H94" s="37" t="n"/>
      <c r="I94" s="37" t="n"/>
      <c r="J94" s="37" t="n"/>
      <c r="K94" s="38" t="n"/>
      <c r="L94" s="37" t="n"/>
      <c r="M94" s="35" t="n"/>
      <c r="N94" s="39">
        <f>IFERROR(IF(ISBLANK(H94),"",ABS(H94-I94)/VLOOKUP(C94,設定!$B$9:$D$23,2,FALSE)),"")</f>
        <v/>
      </c>
      <c r="O94" s="38">
        <f>IFERROR(IF(ISBLANK(J94),"",ABS(J94-H94)/ABS(H94-I94)),"")</f>
        <v/>
      </c>
      <c r="P94" s="40">
        <f>IFERROR(IF(OR(ISBLANK(L94),ISBLANK(E94)),"",IF(E94="Long",(L94-H94),(H94-L94))/VLOOKUP(C94,設定!$B$9:$D$23,2,FALSE)),"")</f>
        <v/>
      </c>
      <c r="Q94" s="41">
        <f>IFERROR(IF(OR(ISBLANK(P94),N94=0),"",P94/N94),"")</f>
        <v/>
      </c>
      <c r="R94" s="41">
        <f>IFERROR(IF(ISBLANK(Q94),R93,IF(ISNUMBER(R93),R93,0)+Q94),"")</f>
        <v/>
      </c>
      <c r="S94" s="42">
        <f>IFERROR(IF(OR(ISBLANK(P94),ISBLANK(K94)),"",P94*K94*VLOOKUP(C94,設定!$B$9:$D$23,3,FALSE)),"")</f>
        <v/>
      </c>
      <c r="T94" s="35" t="n"/>
    </row>
    <row r="95">
      <c r="A95" s="43">
        <f>IF(ISBLANK(B95),"",COUNTA($B$2:B95))</f>
        <v/>
      </c>
      <c r="B95" s="44" t="n"/>
      <c r="C95" s="45" t="n"/>
      <c r="D95" s="45" t="n"/>
      <c r="E95" s="45" t="n"/>
      <c r="F95" s="43" t="n"/>
      <c r="G95" s="46" t="n"/>
      <c r="H95" s="47" t="n"/>
      <c r="I95" s="47" t="n"/>
      <c r="J95" s="47" t="n"/>
      <c r="K95" s="48" t="n"/>
      <c r="L95" s="47" t="n"/>
      <c r="M95" s="45" t="n"/>
      <c r="N95" s="49">
        <f>IFERROR(IF(ISBLANK(H95),"",ABS(H95-I95)/VLOOKUP(C95,設定!$B$9:$D$23,2,FALSE)),"")</f>
        <v/>
      </c>
      <c r="O95" s="48">
        <f>IFERROR(IF(ISBLANK(J95),"",ABS(J95-H95)/ABS(H95-I95)),"")</f>
        <v/>
      </c>
      <c r="P95" s="50">
        <f>IFERROR(IF(OR(ISBLANK(L95),ISBLANK(E95)),"",IF(E95="Long",(L95-H95),(H95-L95))/VLOOKUP(C95,設定!$B$9:$D$23,2,FALSE)),"")</f>
        <v/>
      </c>
      <c r="Q95" s="51">
        <f>IFERROR(IF(OR(ISBLANK(P95),N95=0),"",P95/N95),"")</f>
        <v/>
      </c>
      <c r="R95" s="51">
        <f>IFERROR(IF(ISBLANK(Q95),R94,IF(ISNUMBER(R94),R94,0)+Q95),"")</f>
        <v/>
      </c>
      <c r="S95" s="52">
        <f>IFERROR(IF(OR(ISBLANK(P95),ISBLANK(K95)),"",P95*K95*VLOOKUP(C95,設定!$B$9:$D$23,3,FALSE)),"")</f>
        <v/>
      </c>
      <c r="T95" s="45" t="n"/>
    </row>
    <row r="96">
      <c r="A96" s="33">
        <f>IF(ISBLANK(B96),"",COUNTA($B$2:B96))</f>
        <v/>
      </c>
      <c r="B96" s="34" t="n"/>
      <c r="C96" s="35" t="n"/>
      <c r="D96" s="35" t="n"/>
      <c r="E96" s="35" t="n"/>
      <c r="F96" s="33" t="n"/>
      <c r="G96" s="36" t="n"/>
      <c r="H96" s="37" t="n"/>
      <c r="I96" s="37" t="n"/>
      <c r="J96" s="37" t="n"/>
      <c r="K96" s="38" t="n"/>
      <c r="L96" s="37" t="n"/>
      <c r="M96" s="35" t="n"/>
      <c r="N96" s="39">
        <f>IFERROR(IF(ISBLANK(H96),"",ABS(H96-I96)/VLOOKUP(C96,設定!$B$9:$D$23,2,FALSE)),"")</f>
        <v/>
      </c>
      <c r="O96" s="38">
        <f>IFERROR(IF(ISBLANK(J96),"",ABS(J96-H96)/ABS(H96-I96)),"")</f>
        <v/>
      </c>
      <c r="P96" s="40">
        <f>IFERROR(IF(OR(ISBLANK(L96),ISBLANK(E96)),"",IF(E96="Long",(L96-H96),(H96-L96))/VLOOKUP(C96,設定!$B$9:$D$23,2,FALSE)),"")</f>
        <v/>
      </c>
      <c r="Q96" s="41">
        <f>IFERROR(IF(OR(ISBLANK(P96),N96=0),"",P96/N96),"")</f>
        <v/>
      </c>
      <c r="R96" s="41">
        <f>IFERROR(IF(ISBLANK(Q96),R95,IF(ISNUMBER(R95),R95,0)+Q96),"")</f>
        <v/>
      </c>
      <c r="S96" s="42">
        <f>IFERROR(IF(OR(ISBLANK(P96),ISBLANK(K96)),"",P96*K96*VLOOKUP(C96,設定!$B$9:$D$23,3,FALSE)),"")</f>
        <v/>
      </c>
      <c r="T96" s="35" t="n"/>
    </row>
    <row r="97">
      <c r="A97" s="43">
        <f>IF(ISBLANK(B97),"",COUNTA($B$2:B97))</f>
        <v/>
      </c>
      <c r="B97" s="44" t="n"/>
      <c r="C97" s="45" t="n"/>
      <c r="D97" s="45" t="n"/>
      <c r="E97" s="45" t="n"/>
      <c r="F97" s="43" t="n"/>
      <c r="G97" s="46" t="n"/>
      <c r="H97" s="47" t="n"/>
      <c r="I97" s="47" t="n"/>
      <c r="J97" s="47" t="n"/>
      <c r="K97" s="48" t="n"/>
      <c r="L97" s="47" t="n"/>
      <c r="M97" s="45" t="n"/>
      <c r="N97" s="49">
        <f>IFERROR(IF(ISBLANK(H97),"",ABS(H97-I97)/VLOOKUP(C97,設定!$B$9:$D$23,2,FALSE)),"")</f>
        <v/>
      </c>
      <c r="O97" s="48">
        <f>IFERROR(IF(ISBLANK(J97),"",ABS(J97-H97)/ABS(H97-I97)),"")</f>
        <v/>
      </c>
      <c r="P97" s="50">
        <f>IFERROR(IF(OR(ISBLANK(L97),ISBLANK(E97)),"",IF(E97="Long",(L97-H97),(H97-L97))/VLOOKUP(C97,設定!$B$9:$D$23,2,FALSE)),"")</f>
        <v/>
      </c>
      <c r="Q97" s="51">
        <f>IFERROR(IF(OR(ISBLANK(P97),N97=0),"",P97/N97),"")</f>
        <v/>
      </c>
      <c r="R97" s="51">
        <f>IFERROR(IF(ISBLANK(Q97),R96,IF(ISNUMBER(R96),R96,0)+Q97),"")</f>
        <v/>
      </c>
      <c r="S97" s="52">
        <f>IFERROR(IF(OR(ISBLANK(P97),ISBLANK(K97)),"",P97*K97*VLOOKUP(C97,設定!$B$9:$D$23,3,FALSE)),"")</f>
        <v/>
      </c>
      <c r="T97" s="45" t="n"/>
    </row>
    <row r="98">
      <c r="A98" s="33">
        <f>IF(ISBLANK(B98),"",COUNTA($B$2:B98))</f>
        <v/>
      </c>
      <c r="B98" s="34" t="n"/>
      <c r="C98" s="35" t="n"/>
      <c r="D98" s="35" t="n"/>
      <c r="E98" s="35" t="n"/>
      <c r="F98" s="33" t="n"/>
      <c r="G98" s="36" t="n"/>
      <c r="H98" s="37" t="n"/>
      <c r="I98" s="37" t="n"/>
      <c r="J98" s="37" t="n"/>
      <c r="K98" s="38" t="n"/>
      <c r="L98" s="37" t="n"/>
      <c r="M98" s="35" t="n"/>
      <c r="N98" s="39">
        <f>IFERROR(IF(ISBLANK(H98),"",ABS(H98-I98)/VLOOKUP(C98,設定!$B$9:$D$23,2,FALSE)),"")</f>
        <v/>
      </c>
      <c r="O98" s="38">
        <f>IFERROR(IF(ISBLANK(J98),"",ABS(J98-H98)/ABS(H98-I98)),"")</f>
        <v/>
      </c>
      <c r="P98" s="40">
        <f>IFERROR(IF(OR(ISBLANK(L98),ISBLANK(E98)),"",IF(E98="Long",(L98-H98),(H98-L98))/VLOOKUP(C98,設定!$B$9:$D$23,2,FALSE)),"")</f>
        <v/>
      </c>
      <c r="Q98" s="41">
        <f>IFERROR(IF(OR(ISBLANK(P98),N98=0),"",P98/N98),"")</f>
        <v/>
      </c>
      <c r="R98" s="41">
        <f>IFERROR(IF(ISBLANK(Q98),R97,IF(ISNUMBER(R97),R97,0)+Q98),"")</f>
        <v/>
      </c>
      <c r="S98" s="42">
        <f>IFERROR(IF(OR(ISBLANK(P98),ISBLANK(K98)),"",P98*K98*VLOOKUP(C98,設定!$B$9:$D$23,3,FALSE)),"")</f>
        <v/>
      </c>
      <c r="T98" s="35" t="n"/>
    </row>
    <row r="99">
      <c r="A99" s="43">
        <f>IF(ISBLANK(B99),"",COUNTA($B$2:B99))</f>
        <v/>
      </c>
      <c r="B99" s="44" t="n"/>
      <c r="C99" s="45" t="n"/>
      <c r="D99" s="45" t="n"/>
      <c r="E99" s="45" t="n"/>
      <c r="F99" s="43" t="n"/>
      <c r="G99" s="46" t="n"/>
      <c r="H99" s="47" t="n"/>
      <c r="I99" s="47" t="n"/>
      <c r="J99" s="47" t="n"/>
      <c r="K99" s="48" t="n"/>
      <c r="L99" s="47" t="n"/>
      <c r="M99" s="45" t="n"/>
      <c r="N99" s="49">
        <f>IFERROR(IF(ISBLANK(H99),"",ABS(H99-I99)/VLOOKUP(C99,設定!$B$9:$D$23,2,FALSE)),"")</f>
        <v/>
      </c>
      <c r="O99" s="48">
        <f>IFERROR(IF(ISBLANK(J99),"",ABS(J99-H99)/ABS(H99-I99)),"")</f>
        <v/>
      </c>
      <c r="P99" s="50">
        <f>IFERROR(IF(OR(ISBLANK(L99),ISBLANK(E99)),"",IF(E99="Long",(L99-H99),(H99-L99))/VLOOKUP(C99,設定!$B$9:$D$23,2,FALSE)),"")</f>
        <v/>
      </c>
      <c r="Q99" s="51">
        <f>IFERROR(IF(OR(ISBLANK(P99),N99=0),"",P99/N99),"")</f>
        <v/>
      </c>
      <c r="R99" s="51">
        <f>IFERROR(IF(ISBLANK(Q99),R98,IF(ISNUMBER(R98),R98,0)+Q99),"")</f>
        <v/>
      </c>
      <c r="S99" s="52">
        <f>IFERROR(IF(OR(ISBLANK(P99),ISBLANK(K99)),"",P99*K99*VLOOKUP(C99,設定!$B$9:$D$23,3,FALSE)),"")</f>
        <v/>
      </c>
      <c r="T99" s="45" t="n"/>
    </row>
    <row r="100">
      <c r="A100" s="33">
        <f>IF(ISBLANK(B100),"",COUNTA($B$2:B100))</f>
        <v/>
      </c>
      <c r="B100" s="34" t="n"/>
      <c r="C100" s="35" t="n"/>
      <c r="D100" s="35" t="n"/>
      <c r="E100" s="35" t="n"/>
      <c r="F100" s="33" t="n"/>
      <c r="G100" s="36" t="n"/>
      <c r="H100" s="37" t="n"/>
      <c r="I100" s="37" t="n"/>
      <c r="J100" s="37" t="n"/>
      <c r="K100" s="38" t="n"/>
      <c r="L100" s="37" t="n"/>
      <c r="M100" s="35" t="n"/>
      <c r="N100" s="39">
        <f>IFERROR(IF(ISBLANK(H100),"",ABS(H100-I100)/VLOOKUP(C100,設定!$B$9:$D$23,2,FALSE)),"")</f>
        <v/>
      </c>
      <c r="O100" s="38">
        <f>IFERROR(IF(ISBLANK(J100),"",ABS(J100-H100)/ABS(H100-I100)),"")</f>
        <v/>
      </c>
      <c r="P100" s="40">
        <f>IFERROR(IF(OR(ISBLANK(L100),ISBLANK(E100)),"",IF(E100="Long",(L100-H100),(H100-L100))/VLOOKUP(C100,設定!$B$9:$D$23,2,FALSE)),"")</f>
        <v/>
      </c>
      <c r="Q100" s="41">
        <f>IFERROR(IF(OR(ISBLANK(P100),N100=0),"",P100/N100),"")</f>
        <v/>
      </c>
      <c r="R100" s="41">
        <f>IFERROR(IF(ISBLANK(Q100),R99,IF(ISNUMBER(R99),R99,0)+Q100),"")</f>
        <v/>
      </c>
      <c r="S100" s="42">
        <f>IFERROR(IF(OR(ISBLANK(P100),ISBLANK(K100)),"",P100*K100*VLOOKUP(C100,設定!$B$9:$D$23,3,FALSE)),"")</f>
        <v/>
      </c>
      <c r="T100" s="35" t="n"/>
    </row>
    <row r="101">
      <c r="A101" s="43">
        <f>IF(ISBLANK(B101),"",COUNTA($B$2:B101))</f>
        <v/>
      </c>
      <c r="B101" s="44" t="n"/>
      <c r="C101" s="45" t="n"/>
      <c r="D101" s="45" t="n"/>
      <c r="E101" s="45" t="n"/>
      <c r="F101" s="43" t="n"/>
      <c r="G101" s="46" t="n"/>
      <c r="H101" s="47" t="n"/>
      <c r="I101" s="47" t="n"/>
      <c r="J101" s="47" t="n"/>
      <c r="K101" s="48" t="n"/>
      <c r="L101" s="47" t="n"/>
      <c r="M101" s="45" t="n"/>
      <c r="N101" s="49">
        <f>IFERROR(IF(ISBLANK(H101),"",ABS(H101-I101)/VLOOKUP(C101,設定!$B$9:$D$23,2,FALSE)),"")</f>
        <v/>
      </c>
      <c r="O101" s="48">
        <f>IFERROR(IF(ISBLANK(J101),"",ABS(J101-H101)/ABS(H101-I101)),"")</f>
        <v/>
      </c>
      <c r="P101" s="50">
        <f>IFERROR(IF(OR(ISBLANK(L101),ISBLANK(E101)),"",IF(E101="Long",(L101-H101),(H101-L101))/VLOOKUP(C101,設定!$B$9:$D$23,2,FALSE)),"")</f>
        <v/>
      </c>
      <c r="Q101" s="51">
        <f>IFERROR(IF(OR(ISBLANK(P101),N101=0),"",P101/N101),"")</f>
        <v/>
      </c>
      <c r="R101" s="51">
        <f>IFERROR(IF(ISBLANK(Q101),R100,IF(ISNUMBER(R100),R100,0)+Q101),"")</f>
        <v/>
      </c>
      <c r="S101" s="52">
        <f>IFERROR(IF(OR(ISBLANK(P101),ISBLANK(K101)),"",P101*K101*VLOOKUP(C101,設定!$B$9:$D$23,3,FALSE)),"")</f>
        <v/>
      </c>
      <c r="T101" s="45" t="n"/>
    </row>
    <row r="102">
      <c r="A102" s="33">
        <f>IF(ISBLANK(B102),"",COUNTA($B$2:B102))</f>
        <v/>
      </c>
      <c r="B102" s="34" t="n"/>
      <c r="C102" s="35" t="n"/>
      <c r="D102" s="35" t="n"/>
      <c r="E102" s="35" t="n"/>
      <c r="F102" s="33" t="n"/>
      <c r="G102" s="36" t="n"/>
      <c r="H102" s="37" t="n"/>
      <c r="I102" s="37" t="n"/>
      <c r="J102" s="37" t="n"/>
      <c r="K102" s="38" t="n"/>
      <c r="L102" s="37" t="n"/>
      <c r="M102" s="35" t="n"/>
      <c r="N102" s="39">
        <f>IFERROR(IF(ISBLANK(H102),"",ABS(H102-I102)/VLOOKUP(C102,設定!$B$9:$D$23,2,FALSE)),"")</f>
        <v/>
      </c>
      <c r="O102" s="38">
        <f>IFERROR(IF(ISBLANK(J102),"",ABS(J102-H102)/ABS(H102-I102)),"")</f>
        <v/>
      </c>
      <c r="P102" s="40">
        <f>IFERROR(IF(OR(ISBLANK(L102),ISBLANK(E102)),"",IF(E102="Long",(L102-H102),(H102-L102))/VLOOKUP(C102,設定!$B$9:$D$23,2,FALSE)),"")</f>
        <v/>
      </c>
      <c r="Q102" s="41">
        <f>IFERROR(IF(OR(ISBLANK(P102),N102=0),"",P102/N102),"")</f>
        <v/>
      </c>
      <c r="R102" s="41">
        <f>IFERROR(IF(ISBLANK(Q102),R101,IF(ISNUMBER(R101),R101,0)+Q102),"")</f>
        <v/>
      </c>
      <c r="S102" s="42">
        <f>IFERROR(IF(OR(ISBLANK(P102),ISBLANK(K102)),"",P102*K102*VLOOKUP(C102,設定!$B$9:$D$23,3,FALSE)),"")</f>
        <v/>
      </c>
      <c r="T102" s="35" t="n"/>
    </row>
    <row r="103">
      <c r="A103" s="43">
        <f>IF(ISBLANK(B103),"",COUNTA($B$2:B103))</f>
        <v/>
      </c>
      <c r="B103" s="44" t="n"/>
      <c r="C103" s="45" t="n"/>
      <c r="D103" s="45" t="n"/>
      <c r="E103" s="45" t="n"/>
      <c r="F103" s="43" t="n"/>
      <c r="G103" s="46" t="n"/>
      <c r="H103" s="47" t="n"/>
      <c r="I103" s="47" t="n"/>
      <c r="J103" s="47" t="n"/>
      <c r="K103" s="48" t="n"/>
      <c r="L103" s="47" t="n"/>
      <c r="M103" s="45" t="n"/>
      <c r="N103" s="49">
        <f>IFERROR(IF(ISBLANK(H103),"",ABS(H103-I103)/VLOOKUP(C103,設定!$B$9:$D$23,2,FALSE)),"")</f>
        <v/>
      </c>
      <c r="O103" s="48">
        <f>IFERROR(IF(ISBLANK(J103),"",ABS(J103-H103)/ABS(H103-I103)),"")</f>
        <v/>
      </c>
      <c r="P103" s="50">
        <f>IFERROR(IF(OR(ISBLANK(L103),ISBLANK(E103)),"",IF(E103="Long",(L103-H103),(H103-L103))/VLOOKUP(C103,設定!$B$9:$D$23,2,FALSE)),"")</f>
        <v/>
      </c>
      <c r="Q103" s="51">
        <f>IFERROR(IF(OR(ISBLANK(P103),N103=0),"",P103/N103),"")</f>
        <v/>
      </c>
      <c r="R103" s="51">
        <f>IFERROR(IF(ISBLANK(Q103),R102,IF(ISNUMBER(R102),R102,0)+Q103),"")</f>
        <v/>
      </c>
      <c r="S103" s="52">
        <f>IFERROR(IF(OR(ISBLANK(P103),ISBLANK(K103)),"",P103*K103*VLOOKUP(C103,設定!$B$9:$D$23,3,FALSE)),"")</f>
        <v/>
      </c>
      <c r="T103" s="45" t="n"/>
    </row>
    <row r="104">
      <c r="A104" s="33">
        <f>IF(ISBLANK(B104),"",COUNTA($B$2:B104))</f>
        <v/>
      </c>
      <c r="B104" s="34" t="n"/>
      <c r="C104" s="35" t="n"/>
      <c r="D104" s="35" t="n"/>
      <c r="E104" s="35" t="n"/>
      <c r="F104" s="33" t="n"/>
      <c r="G104" s="36" t="n"/>
      <c r="H104" s="37" t="n"/>
      <c r="I104" s="37" t="n"/>
      <c r="J104" s="37" t="n"/>
      <c r="K104" s="38" t="n"/>
      <c r="L104" s="37" t="n"/>
      <c r="M104" s="35" t="n"/>
      <c r="N104" s="39">
        <f>IFERROR(IF(ISBLANK(H104),"",ABS(H104-I104)/VLOOKUP(C104,設定!$B$9:$D$23,2,FALSE)),"")</f>
        <v/>
      </c>
      <c r="O104" s="38">
        <f>IFERROR(IF(ISBLANK(J104),"",ABS(J104-H104)/ABS(H104-I104)),"")</f>
        <v/>
      </c>
      <c r="P104" s="40">
        <f>IFERROR(IF(OR(ISBLANK(L104),ISBLANK(E104)),"",IF(E104="Long",(L104-H104),(H104-L104))/VLOOKUP(C104,設定!$B$9:$D$23,2,FALSE)),"")</f>
        <v/>
      </c>
      <c r="Q104" s="41">
        <f>IFERROR(IF(OR(ISBLANK(P104),N104=0),"",P104/N104),"")</f>
        <v/>
      </c>
      <c r="R104" s="41">
        <f>IFERROR(IF(ISBLANK(Q104),R103,IF(ISNUMBER(R103),R103,0)+Q104),"")</f>
        <v/>
      </c>
      <c r="S104" s="42">
        <f>IFERROR(IF(OR(ISBLANK(P104),ISBLANK(K104)),"",P104*K104*VLOOKUP(C104,設定!$B$9:$D$23,3,FALSE)),"")</f>
        <v/>
      </c>
      <c r="T104" s="35" t="n"/>
    </row>
    <row r="105">
      <c r="A105" s="43">
        <f>IF(ISBLANK(B105),"",COUNTA($B$2:B105))</f>
        <v/>
      </c>
      <c r="B105" s="44" t="n"/>
      <c r="C105" s="45" t="n"/>
      <c r="D105" s="45" t="n"/>
      <c r="E105" s="45" t="n"/>
      <c r="F105" s="43" t="n"/>
      <c r="G105" s="46" t="n"/>
      <c r="H105" s="47" t="n"/>
      <c r="I105" s="47" t="n"/>
      <c r="J105" s="47" t="n"/>
      <c r="K105" s="48" t="n"/>
      <c r="L105" s="47" t="n"/>
      <c r="M105" s="45" t="n"/>
      <c r="N105" s="49">
        <f>IFERROR(IF(ISBLANK(H105),"",ABS(H105-I105)/VLOOKUP(C105,設定!$B$9:$D$23,2,FALSE)),"")</f>
        <v/>
      </c>
      <c r="O105" s="48">
        <f>IFERROR(IF(ISBLANK(J105),"",ABS(J105-H105)/ABS(H105-I105)),"")</f>
        <v/>
      </c>
      <c r="P105" s="50">
        <f>IFERROR(IF(OR(ISBLANK(L105),ISBLANK(E105)),"",IF(E105="Long",(L105-H105),(H105-L105))/VLOOKUP(C105,設定!$B$9:$D$23,2,FALSE)),"")</f>
        <v/>
      </c>
      <c r="Q105" s="51">
        <f>IFERROR(IF(OR(ISBLANK(P105),N105=0),"",P105/N105),"")</f>
        <v/>
      </c>
      <c r="R105" s="51">
        <f>IFERROR(IF(ISBLANK(Q105),R104,IF(ISNUMBER(R104),R104,0)+Q105),"")</f>
        <v/>
      </c>
      <c r="S105" s="52">
        <f>IFERROR(IF(OR(ISBLANK(P105),ISBLANK(K105)),"",P105*K105*VLOOKUP(C105,設定!$B$9:$D$23,3,FALSE)),"")</f>
        <v/>
      </c>
      <c r="T105" s="45" t="n"/>
    </row>
    <row r="106">
      <c r="A106" s="33">
        <f>IF(ISBLANK(B106),"",COUNTA($B$2:B106))</f>
        <v/>
      </c>
      <c r="B106" s="34" t="n"/>
      <c r="C106" s="35" t="n"/>
      <c r="D106" s="35" t="n"/>
      <c r="E106" s="35" t="n"/>
      <c r="F106" s="33" t="n"/>
      <c r="G106" s="36" t="n"/>
      <c r="H106" s="37" t="n"/>
      <c r="I106" s="37" t="n"/>
      <c r="J106" s="37" t="n"/>
      <c r="K106" s="38" t="n"/>
      <c r="L106" s="37" t="n"/>
      <c r="M106" s="35" t="n"/>
      <c r="N106" s="39">
        <f>IFERROR(IF(ISBLANK(H106),"",ABS(H106-I106)/VLOOKUP(C106,設定!$B$9:$D$23,2,FALSE)),"")</f>
        <v/>
      </c>
      <c r="O106" s="38">
        <f>IFERROR(IF(ISBLANK(J106),"",ABS(J106-H106)/ABS(H106-I106)),"")</f>
        <v/>
      </c>
      <c r="P106" s="40">
        <f>IFERROR(IF(OR(ISBLANK(L106),ISBLANK(E106)),"",IF(E106="Long",(L106-H106),(H106-L106))/VLOOKUP(C106,設定!$B$9:$D$23,2,FALSE)),"")</f>
        <v/>
      </c>
      <c r="Q106" s="41">
        <f>IFERROR(IF(OR(ISBLANK(P106),N106=0),"",P106/N106),"")</f>
        <v/>
      </c>
      <c r="R106" s="41">
        <f>IFERROR(IF(ISBLANK(Q106),R105,IF(ISNUMBER(R105),R105,0)+Q106),"")</f>
        <v/>
      </c>
      <c r="S106" s="42">
        <f>IFERROR(IF(OR(ISBLANK(P106),ISBLANK(K106)),"",P106*K106*VLOOKUP(C106,設定!$B$9:$D$23,3,FALSE)),"")</f>
        <v/>
      </c>
      <c r="T106" s="35" t="n"/>
    </row>
    <row r="107">
      <c r="A107" s="43">
        <f>IF(ISBLANK(B107),"",COUNTA($B$2:B107))</f>
        <v/>
      </c>
      <c r="B107" s="44" t="n"/>
      <c r="C107" s="45" t="n"/>
      <c r="D107" s="45" t="n"/>
      <c r="E107" s="45" t="n"/>
      <c r="F107" s="43" t="n"/>
      <c r="G107" s="46" t="n"/>
      <c r="H107" s="47" t="n"/>
      <c r="I107" s="47" t="n"/>
      <c r="J107" s="47" t="n"/>
      <c r="K107" s="48" t="n"/>
      <c r="L107" s="47" t="n"/>
      <c r="M107" s="45" t="n"/>
      <c r="N107" s="49">
        <f>IFERROR(IF(ISBLANK(H107),"",ABS(H107-I107)/VLOOKUP(C107,設定!$B$9:$D$23,2,FALSE)),"")</f>
        <v/>
      </c>
      <c r="O107" s="48">
        <f>IFERROR(IF(ISBLANK(J107),"",ABS(J107-H107)/ABS(H107-I107)),"")</f>
        <v/>
      </c>
      <c r="P107" s="50">
        <f>IFERROR(IF(OR(ISBLANK(L107),ISBLANK(E107)),"",IF(E107="Long",(L107-H107),(H107-L107))/VLOOKUP(C107,設定!$B$9:$D$23,2,FALSE)),"")</f>
        <v/>
      </c>
      <c r="Q107" s="51">
        <f>IFERROR(IF(OR(ISBLANK(P107),N107=0),"",P107/N107),"")</f>
        <v/>
      </c>
      <c r="R107" s="51">
        <f>IFERROR(IF(ISBLANK(Q107),R106,IF(ISNUMBER(R106),R106,0)+Q107),"")</f>
        <v/>
      </c>
      <c r="S107" s="52">
        <f>IFERROR(IF(OR(ISBLANK(P107),ISBLANK(K107)),"",P107*K107*VLOOKUP(C107,設定!$B$9:$D$23,3,FALSE)),"")</f>
        <v/>
      </c>
      <c r="T107" s="45" t="n"/>
    </row>
    <row r="108">
      <c r="A108" s="33">
        <f>IF(ISBLANK(B108),"",COUNTA($B$2:B108))</f>
        <v/>
      </c>
      <c r="B108" s="34" t="n"/>
      <c r="C108" s="35" t="n"/>
      <c r="D108" s="35" t="n"/>
      <c r="E108" s="35" t="n"/>
      <c r="F108" s="33" t="n"/>
      <c r="G108" s="36" t="n"/>
      <c r="H108" s="37" t="n"/>
      <c r="I108" s="37" t="n"/>
      <c r="J108" s="37" t="n"/>
      <c r="K108" s="38" t="n"/>
      <c r="L108" s="37" t="n"/>
      <c r="M108" s="35" t="n"/>
      <c r="N108" s="39">
        <f>IFERROR(IF(ISBLANK(H108),"",ABS(H108-I108)/VLOOKUP(C108,設定!$B$9:$D$23,2,FALSE)),"")</f>
        <v/>
      </c>
      <c r="O108" s="38">
        <f>IFERROR(IF(ISBLANK(J108),"",ABS(J108-H108)/ABS(H108-I108)),"")</f>
        <v/>
      </c>
      <c r="P108" s="40">
        <f>IFERROR(IF(OR(ISBLANK(L108),ISBLANK(E108)),"",IF(E108="Long",(L108-H108),(H108-L108))/VLOOKUP(C108,設定!$B$9:$D$23,2,FALSE)),"")</f>
        <v/>
      </c>
      <c r="Q108" s="41">
        <f>IFERROR(IF(OR(ISBLANK(P108),N108=0),"",P108/N108),"")</f>
        <v/>
      </c>
      <c r="R108" s="41">
        <f>IFERROR(IF(ISBLANK(Q108),R107,IF(ISNUMBER(R107),R107,0)+Q108),"")</f>
        <v/>
      </c>
      <c r="S108" s="42">
        <f>IFERROR(IF(OR(ISBLANK(P108),ISBLANK(K108)),"",P108*K108*VLOOKUP(C108,設定!$B$9:$D$23,3,FALSE)),"")</f>
        <v/>
      </c>
      <c r="T108" s="35" t="n"/>
    </row>
    <row r="109">
      <c r="A109" s="43">
        <f>IF(ISBLANK(B109),"",COUNTA($B$2:B109))</f>
        <v/>
      </c>
      <c r="B109" s="44" t="n"/>
      <c r="C109" s="45" t="n"/>
      <c r="D109" s="45" t="n"/>
      <c r="E109" s="45" t="n"/>
      <c r="F109" s="43" t="n"/>
      <c r="G109" s="46" t="n"/>
      <c r="H109" s="47" t="n"/>
      <c r="I109" s="47" t="n"/>
      <c r="J109" s="47" t="n"/>
      <c r="K109" s="48" t="n"/>
      <c r="L109" s="47" t="n"/>
      <c r="M109" s="45" t="n"/>
      <c r="N109" s="49">
        <f>IFERROR(IF(ISBLANK(H109),"",ABS(H109-I109)/VLOOKUP(C109,設定!$B$9:$D$23,2,FALSE)),"")</f>
        <v/>
      </c>
      <c r="O109" s="48">
        <f>IFERROR(IF(ISBLANK(J109),"",ABS(J109-H109)/ABS(H109-I109)),"")</f>
        <v/>
      </c>
      <c r="P109" s="50">
        <f>IFERROR(IF(OR(ISBLANK(L109),ISBLANK(E109)),"",IF(E109="Long",(L109-H109),(H109-L109))/VLOOKUP(C109,設定!$B$9:$D$23,2,FALSE)),"")</f>
        <v/>
      </c>
      <c r="Q109" s="51">
        <f>IFERROR(IF(OR(ISBLANK(P109),N109=0),"",P109/N109),"")</f>
        <v/>
      </c>
      <c r="R109" s="51">
        <f>IFERROR(IF(ISBLANK(Q109),R108,IF(ISNUMBER(R108),R108,0)+Q109),"")</f>
        <v/>
      </c>
      <c r="S109" s="52">
        <f>IFERROR(IF(OR(ISBLANK(P109),ISBLANK(K109)),"",P109*K109*VLOOKUP(C109,設定!$B$9:$D$23,3,FALSE)),"")</f>
        <v/>
      </c>
      <c r="T109" s="45" t="n"/>
    </row>
    <row r="110">
      <c r="A110" s="33">
        <f>IF(ISBLANK(B110),"",COUNTA($B$2:B110))</f>
        <v/>
      </c>
      <c r="B110" s="34" t="n"/>
      <c r="C110" s="35" t="n"/>
      <c r="D110" s="35" t="n"/>
      <c r="E110" s="35" t="n"/>
      <c r="F110" s="33" t="n"/>
      <c r="G110" s="36" t="n"/>
      <c r="H110" s="37" t="n"/>
      <c r="I110" s="37" t="n"/>
      <c r="J110" s="37" t="n"/>
      <c r="K110" s="38" t="n"/>
      <c r="L110" s="37" t="n"/>
      <c r="M110" s="35" t="n"/>
      <c r="N110" s="39">
        <f>IFERROR(IF(ISBLANK(H110),"",ABS(H110-I110)/VLOOKUP(C110,設定!$B$9:$D$23,2,FALSE)),"")</f>
        <v/>
      </c>
      <c r="O110" s="38">
        <f>IFERROR(IF(ISBLANK(J110),"",ABS(J110-H110)/ABS(H110-I110)),"")</f>
        <v/>
      </c>
      <c r="P110" s="40">
        <f>IFERROR(IF(OR(ISBLANK(L110),ISBLANK(E110)),"",IF(E110="Long",(L110-H110),(H110-L110))/VLOOKUP(C110,設定!$B$9:$D$23,2,FALSE)),"")</f>
        <v/>
      </c>
      <c r="Q110" s="41">
        <f>IFERROR(IF(OR(ISBLANK(P110),N110=0),"",P110/N110),"")</f>
        <v/>
      </c>
      <c r="R110" s="41">
        <f>IFERROR(IF(ISBLANK(Q110),R109,IF(ISNUMBER(R109),R109,0)+Q110),"")</f>
        <v/>
      </c>
      <c r="S110" s="42">
        <f>IFERROR(IF(OR(ISBLANK(P110),ISBLANK(K110)),"",P110*K110*VLOOKUP(C110,設定!$B$9:$D$23,3,FALSE)),"")</f>
        <v/>
      </c>
      <c r="T110" s="35" t="n"/>
    </row>
    <row r="111">
      <c r="A111" s="43">
        <f>IF(ISBLANK(B111),"",COUNTA($B$2:B111))</f>
        <v/>
      </c>
      <c r="B111" s="44" t="n"/>
      <c r="C111" s="45" t="n"/>
      <c r="D111" s="45" t="n"/>
      <c r="E111" s="45" t="n"/>
      <c r="F111" s="43" t="n"/>
      <c r="G111" s="46" t="n"/>
      <c r="H111" s="47" t="n"/>
      <c r="I111" s="47" t="n"/>
      <c r="J111" s="47" t="n"/>
      <c r="K111" s="48" t="n"/>
      <c r="L111" s="47" t="n"/>
      <c r="M111" s="45" t="n"/>
      <c r="N111" s="49">
        <f>IFERROR(IF(ISBLANK(H111),"",ABS(H111-I111)/VLOOKUP(C111,設定!$B$9:$D$23,2,FALSE)),"")</f>
        <v/>
      </c>
      <c r="O111" s="48">
        <f>IFERROR(IF(ISBLANK(J111),"",ABS(J111-H111)/ABS(H111-I111)),"")</f>
        <v/>
      </c>
      <c r="P111" s="50">
        <f>IFERROR(IF(OR(ISBLANK(L111),ISBLANK(E111)),"",IF(E111="Long",(L111-H111),(H111-L111))/VLOOKUP(C111,設定!$B$9:$D$23,2,FALSE)),"")</f>
        <v/>
      </c>
      <c r="Q111" s="51">
        <f>IFERROR(IF(OR(ISBLANK(P111),N111=0),"",P111/N111),"")</f>
        <v/>
      </c>
      <c r="R111" s="51">
        <f>IFERROR(IF(ISBLANK(Q111),R110,IF(ISNUMBER(R110),R110,0)+Q111),"")</f>
        <v/>
      </c>
      <c r="S111" s="52">
        <f>IFERROR(IF(OR(ISBLANK(P111),ISBLANK(K111)),"",P111*K111*VLOOKUP(C111,設定!$B$9:$D$23,3,FALSE)),"")</f>
        <v/>
      </c>
      <c r="T111" s="45" t="n"/>
    </row>
    <row r="112">
      <c r="A112" s="33">
        <f>IF(ISBLANK(B112),"",COUNTA($B$2:B112))</f>
        <v/>
      </c>
      <c r="B112" s="34" t="n"/>
      <c r="C112" s="35" t="n"/>
      <c r="D112" s="35" t="n"/>
      <c r="E112" s="35" t="n"/>
      <c r="F112" s="33" t="n"/>
      <c r="G112" s="36" t="n"/>
      <c r="H112" s="37" t="n"/>
      <c r="I112" s="37" t="n"/>
      <c r="J112" s="37" t="n"/>
      <c r="K112" s="38" t="n"/>
      <c r="L112" s="37" t="n"/>
      <c r="M112" s="35" t="n"/>
      <c r="N112" s="39">
        <f>IFERROR(IF(ISBLANK(H112),"",ABS(H112-I112)/VLOOKUP(C112,設定!$B$9:$D$23,2,FALSE)),"")</f>
        <v/>
      </c>
      <c r="O112" s="38">
        <f>IFERROR(IF(ISBLANK(J112),"",ABS(J112-H112)/ABS(H112-I112)),"")</f>
        <v/>
      </c>
      <c r="P112" s="40">
        <f>IFERROR(IF(OR(ISBLANK(L112),ISBLANK(E112)),"",IF(E112="Long",(L112-H112),(H112-L112))/VLOOKUP(C112,設定!$B$9:$D$23,2,FALSE)),"")</f>
        <v/>
      </c>
      <c r="Q112" s="41">
        <f>IFERROR(IF(OR(ISBLANK(P112),N112=0),"",P112/N112),"")</f>
        <v/>
      </c>
      <c r="R112" s="41">
        <f>IFERROR(IF(ISBLANK(Q112),R111,IF(ISNUMBER(R111),R111,0)+Q112),"")</f>
        <v/>
      </c>
      <c r="S112" s="42">
        <f>IFERROR(IF(OR(ISBLANK(P112),ISBLANK(K112)),"",P112*K112*VLOOKUP(C112,設定!$B$9:$D$23,3,FALSE)),"")</f>
        <v/>
      </c>
      <c r="T112" s="35" t="n"/>
    </row>
    <row r="113">
      <c r="A113" s="43">
        <f>IF(ISBLANK(B113),"",COUNTA($B$2:B113))</f>
        <v/>
      </c>
      <c r="B113" s="44" t="n"/>
      <c r="C113" s="45" t="n"/>
      <c r="D113" s="45" t="n"/>
      <c r="E113" s="45" t="n"/>
      <c r="F113" s="43" t="n"/>
      <c r="G113" s="46" t="n"/>
      <c r="H113" s="47" t="n"/>
      <c r="I113" s="47" t="n"/>
      <c r="J113" s="47" t="n"/>
      <c r="K113" s="48" t="n"/>
      <c r="L113" s="47" t="n"/>
      <c r="M113" s="45" t="n"/>
      <c r="N113" s="49">
        <f>IFERROR(IF(ISBLANK(H113),"",ABS(H113-I113)/VLOOKUP(C113,設定!$B$9:$D$23,2,FALSE)),"")</f>
        <v/>
      </c>
      <c r="O113" s="48">
        <f>IFERROR(IF(ISBLANK(J113),"",ABS(J113-H113)/ABS(H113-I113)),"")</f>
        <v/>
      </c>
      <c r="P113" s="50">
        <f>IFERROR(IF(OR(ISBLANK(L113),ISBLANK(E113)),"",IF(E113="Long",(L113-H113),(H113-L113))/VLOOKUP(C113,設定!$B$9:$D$23,2,FALSE)),"")</f>
        <v/>
      </c>
      <c r="Q113" s="51">
        <f>IFERROR(IF(OR(ISBLANK(P113),N113=0),"",P113/N113),"")</f>
        <v/>
      </c>
      <c r="R113" s="51">
        <f>IFERROR(IF(ISBLANK(Q113),R112,IF(ISNUMBER(R112),R112,0)+Q113),"")</f>
        <v/>
      </c>
      <c r="S113" s="52">
        <f>IFERROR(IF(OR(ISBLANK(P113),ISBLANK(K113)),"",P113*K113*VLOOKUP(C113,設定!$B$9:$D$23,3,FALSE)),"")</f>
        <v/>
      </c>
      <c r="T113" s="45" t="n"/>
    </row>
    <row r="114">
      <c r="A114" s="33">
        <f>IF(ISBLANK(B114),"",COUNTA($B$2:B114))</f>
        <v/>
      </c>
      <c r="B114" s="34" t="n"/>
      <c r="C114" s="35" t="n"/>
      <c r="D114" s="35" t="n"/>
      <c r="E114" s="35" t="n"/>
      <c r="F114" s="33" t="n"/>
      <c r="G114" s="36" t="n"/>
      <c r="H114" s="37" t="n"/>
      <c r="I114" s="37" t="n"/>
      <c r="J114" s="37" t="n"/>
      <c r="K114" s="38" t="n"/>
      <c r="L114" s="37" t="n"/>
      <c r="M114" s="35" t="n"/>
      <c r="N114" s="39">
        <f>IFERROR(IF(ISBLANK(H114),"",ABS(H114-I114)/VLOOKUP(C114,設定!$B$9:$D$23,2,FALSE)),"")</f>
        <v/>
      </c>
      <c r="O114" s="38">
        <f>IFERROR(IF(ISBLANK(J114),"",ABS(J114-H114)/ABS(H114-I114)),"")</f>
        <v/>
      </c>
      <c r="P114" s="40">
        <f>IFERROR(IF(OR(ISBLANK(L114),ISBLANK(E114)),"",IF(E114="Long",(L114-H114),(H114-L114))/VLOOKUP(C114,設定!$B$9:$D$23,2,FALSE)),"")</f>
        <v/>
      </c>
      <c r="Q114" s="41">
        <f>IFERROR(IF(OR(ISBLANK(P114),N114=0),"",P114/N114),"")</f>
        <v/>
      </c>
      <c r="R114" s="41">
        <f>IFERROR(IF(ISBLANK(Q114),R113,IF(ISNUMBER(R113),R113,0)+Q114),"")</f>
        <v/>
      </c>
      <c r="S114" s="42">
        <f>IFERROR(IF(OR(ISBLANK(P114),ISBLANK(K114)),"",P114*K114*VLOOKUP(C114,設定!$B$9:$D$23,3,FALSE)),"")</f>
        <v/>
      </c>
      <c r="T114" s="35" t="n"/>
    </row>
    <row r="115">
      <c r="A115" s="43">
        <f>IF(ISBLANK(B115),"",COUNTA($B$2:B115))</f>
        <v/>
      </c>
      <c r="B115" s="44" t="n"/>
      <c r="C115" s="45" t="n"/>
      <c r="D115" s="45" t="n"/>
      <c r="E115" s="45" t="n"/>
      <c r="F115" s="43" t="n"/>
      <c r="G115" s="46" t="n"/>
      <c r="H115" s="47" t="n"/>
      <c r="I115" s="47" t="n"/>
      <c r="J115" s="47" t="n"/>
      <c r="K115" s="48" t="n"/>
      <c r="L115" s="47" t="n"/>
      <c r="M115" s="45" t="n"/>
      <c r="N115" s="49">
        <f>IFERROR(IF(ISBLANK(H115),"",ABS(H115-I115)/VLOOKUP(C115,設定!$B$9:$D$23,2,FALSE)),"")</f>
        <v/>
      </c>
      <c r="O115" s="48">
        <f>IFERROR(IF(ISBLANK(J115),"",ABS(J115-H115)/ABS(H115-I115)),"")</f>
        <v/>
      </c>
      <c r="P115" s="50">
        <f>IFERROR(IF(OR(ISBLANK(L115),ISBLANK(E115)),"",IF(E115="Long",(L115-H115),(H115-L115))/VLOOKUP(C115,設定!$B$9:$D$23,2,FALSE)),"")</f>
        <v/>
      </c>
      <c r="Q115" s="51">
        <f>IFERROR(IF(OR(ISBLANK(P115),N115=0),"",P115/N115),"")</f>
        <v/>
      </c>
      <c r="R115" s="51">
        <f>IFERROR(IF(ISBLANK(Q115),R114,IF(ISNUMBER(R114),R114,0)+Q115),"")</f>
        <v/>
      </c>
      <c r="S115" s="52">
        <f>IFERROR(IF(OR(ISBLANK(P115),ISBLANK(K115)),"",P115*K115*VLOOKUP(C115,設定!$B$9:$D$23,3,FALSE)),"")</f>
        <v/>
      </c>
      <c r="T115" s="45" t="n"/>
    </row>
    <row r="116">
      <c r="A116" s="33">
        <f>IF(ISBLANK(B116),"",COUNTA($B$2:B116))</f>
        <v/>
      </c>
      <c r="B116" s="34" t="n"/>
      <c r="C116" s="35" t="n"/>
      <c r="D116" s="35" t="n"/>
      <c r="E116" s="35" t="n"/>
      <c r="F116" s="33" t="n"/>
      <c r="G116" s="36" t="n"/>
      <c r="H116" s="37" t="n"/>
      <c r="I116" s="37" t="n"/>
      <c r="J116" s="37" t="n"/>
      <c r="K116" s="38" t="n"/>
      <c r="L116" s="37" t="n"/>
      <c r="M116" s="35" t="n"/>
      <c r="N116" s="39">
        <f>IFERROR(IF(ISBLANK(H116),"",ABS(H116-I116)/VLOOKUP(C116,設定!$B$9:$D$23,2,FALSE)),"")</f>
        <v/>
      </c>
      <c r="O116" s="38">
        <f>IFERROR(IF(ISBLANK(J116),"",ABS(J116-H116)/ABS(H116-I116)),"")</f>
        <v/>
      </c>
      <c r="P116" s="40">
        <f>IFERROR(IF(OR(ISBLANK(L116),ISBLANK(E116)),"",IF(E116="Long",(L116-H116),(H116-L116))/VLOOKUP(C116,設定!$B$9:$D$23,2,FALSE)),"")</f>
        <v/>
      </c>
      <c r="Q116" s="41">
        <f>IFERROR(IF(OR(ISBLANK(P116),N116=0),"",P116/N116),"")</f>
        <v/>
      </c>
      <c r="R116" s="41">
        <f>IFERROR(IF(ISBLANK(Q116),R115,IF(ISNUMBER(R115),R115,0)+Q116),"")</f>
        <v/>
      </c>
      <c r="S116" s="42">
        <f>IFERROR(IF(OR(ISBLANK(P116),ISBLANK(K116)),"",P116*K116*VLOOKUP(C116,設定!$B$9:$D$23,3,FALSE)),"")</f>
        <v/>
      </c>
      <c r="T116" s="35" t="n"/>
    </row>
    <row r="117">
      <c r="A117" s="43">
        <f>IF(ISBLANK(B117),"",COUNTA($B$2:B117))</f>
        <v/>
      </c>
      <c r="B117" s="44" t="n"/>
      <c r="C117" s="45" t="n"/>
      <c r="D117" s="45" t="n"/>
      <c r="E117" s="45" t="n"/>
      <c r="F117" s="43" t="n"/>
      <c r="G117" s="46" t="n"/>
      <c r="H117" s="47" t="n"/>
      <c r="I117" s="47" t="n"/>
      <c r="J117" s="47" t="n"/>
      <c r="K117" s="48" t="n"/>
      <c r="L117" s="47" t="n"/>
      <c r="M117" s="45" t="n"/>
      <c r="N117" s="49">
        <f>IFERROR(IF(ISBLANK(H117),"",ABS(H117-I117)/VLOOKUP(C117,設定!$B$9:$D$23,2,FALSE)),"")</f>
        <v/>
      </c>
      <c r="O117" s="48">
        <f>IFERROR(IF(ISBLANK(J117),"",ABS(J117-H117)/ABS(H117-I117)),"")</f>
        <v/>
      </c>
      <c r="P117" s="50">
        <f>IFERROR(IF(OR(ISBLANK(L117),ISBLANK(E117)),"",IF(E117="Long",(L117-H117),(H117-L117))/VLOOKUP(C117,設定!$B$9:$D$23,2,FALSE)),"")</f>
        <v/>
      </c>
      <c r="Q117" s="51">
        <f>IFERROR(IF(OR(ISBLANK(P117),N117=0),"",P117/N117),"")</f>
        <v/>
      </c>
      <c r="R117" s="51">
        <f>IFERROR(IF(ISBLANK(Q117),R116,IF(ISNUMBER(R116),R116,0)+Q117),"")</f>
        <v/>
      </c>
      <c r="S117" s="52">
        <f>IFERROR(IF(OR(ISBLANK(P117),ISBLANK(K117)),"",P117*K117*VLOOKUP(C117,設定!$B$9:$D$23,3,FALSE)),"")</f>
        <v/>
      </c>
      <c r="T117" s="45" t="n"/>
    </row>
    <row r="118">
      <c r="A118" s="33">
        <f>IF(ISBLANK(B118),"",COUNTA($B$2:B118))</f>
        <v/>
      </c>
      <c r="B118" s="34" t="n"/>
      <c r="C118" s="35" t="n"/>
      <c r="D118" s="35" t="n"/>
      <c r="E118" s="35" t="n"/>
      <c r="F118" s="33" t="n"/>
      <c r="G118" s="36" t="n"/>
      <c r="H118" s="37" t="n"/>
      <c r="I118" s="37" t="n"/>
      <c r="J118" s="37" t="n"/>
      <c r="K118" s="38" t="n"/>
      <c r="L118" s="37" t="n"/>
      <c r="M118" s="35" t="n"/>
      <c r="N118" s="39">
        <f>IFERROR(IF(ISBLANK(H118),"",ABS(H118-I118)/VLOOKUP(C118,設定!$B$9:$D$23,2,FALSE)),"")</f>
        <v/>
      </c>
      <c r="O118" s="38">
        <f>IFERROR(IF(ISBLANK(J118),"",ABS(J118-H118)/ABS(H118-I118)),"")</f>
        <v/>
      </c>
      <c r="P118" s="40">
        <f>IFERROR(IF(OR(ISBLANK(L118),ISBLANK(E118)),"",IF(E118="Long",(L118-H118),(H118-L118))/VLOOKUP(C118,設定!$B$9:$D$23,2,FALSE)),"")</f>
        <v/>
      </c>
      <c r="Q118" s="41">
        <f>IFERROR(IF(OR(ISBLANK(P118),N118=0),"",P118/N118),"")</f>
        <v/>
      </c>
      <c r="R118" s="41">
        <f>IFERROR(IF(ISBLANK(Q118),R117,IF(ISNUMBER(R117),R117,0)+Q118),"")</f>
        <v/>
      </c>
      <c r="S118" s="42">
        <f>IFERROR(IF(OR(ISBLANK(P118),ISBLANK(K118)),"",P118*K118*VLOOKUP(C118,設定!$B$9:$D$23,3,FALSE)),"")</f>
        <v/>
      </c>
      <c r="T118" s="35" t="n"/>
    </row>
    <row r="119">
      <c r="A119" s="43">
        <f>IF(ISBLANK(B119),"",COUNTA($B$2:B119))</f>
        <v/>
      </c>
      <c r="B119" s="44" t="n"/>
      <c r="C119" s="45" t="n"/>
      <c r="D119" s="45" t="n"/>
      <c r="E119" s="45" t="n"/>
      <c r="F119" s="43" t="n"/>
      <c r="G119" s="46" t="n"/>
      <c r="H119" s="47" t="n"/>
      <c r="I119" s="47" t="n"/>
      <c r="J119" s="47" t="n"/>
      <c r="K119" s="48" t="n"/>
      <c r="L119" s="47" t="n"/>
      <c r="M119" s="45" t="n"/>
      <c r="N119" s="49">
        <f>IFERROR(IF(ISBLANK(H119),"",ABS(H119-I119)/VLOOKUP(C119,設定!$B$9:$D$23,2,FALSE)),"")</f>
        <v/>
      </c>
      <c r="O119" s="48">
        <f>IFERROR(IF(ISBLANK(J119),"",ABS(J119-H119)/ABS(H119-I119)),"")</f>
        <v/>
      </c>
      <c r="P119" s="50">
        <f>IFERROR(IF(OR(ISBLANK(L119),ISBLANK(E119)),"",IF(E119="Long",(L119-H119),(H119-L119))/VLOOKUP(C119,設定!$B$9:$D$23,2,FALSE)),"")</f>
        <v/>
      </c>
      <c r="Q119" s="51">
        <f>IFERROR(IF(OR(ISBLANK(P119),N119=0),"",P119/N119),"")</f>
        <v/>
      </c>
      <c r="R119" s="51">
        <f>IFERROR(IF(ISBLANK(Q119),R118,IF(ISNUMBER(R118),R118,0)+Q119),"")</f>
        <v/>
      </c>
      <c r="S119" s="52">
        <f>IFERROR(IF(OR(ISBLANK(P119),ISBLANK(K119)),"",P119*K119*VLOOKUP(C119,設定!$B$9:$D$23,3,FALSE)),"")</f>
        <v/>
      </c>
      <c r="T119" s="45" t="n"/>
    </row>
    <row r="120">
      <c r="A120" s="33">
        <f>IF(ISBLANK(B120),"",COUNTA($B$2:B120))</f>
        <v/>
      </c>
      <c r="B120" s="34" t="n"/>
      <c r="C120" s="35" t="n"/>
      <c r="D120" s="35" t="n"/>
      <c r="E120" s="35" t="n"/>
      <c r="F120" s="33" t="n"/>
      <c r="G120" s="36" t="n"/>
      <c r="H120" s="37" t="n"/>
      <c r="I120" s="37" t="n"/>
      <c r="J120" s="37" t="n"/>
      <c r="K120" s="38" t="n"/>
      <c r="L120" s="37" t="n"/>
      <c r="M120" s="35" t="n"/>
      <c r="N120" s="39">
        <f>IFERROR(IF(ISBLANK(H120),"",ABS(H120-I120)/VLOOKUP(C120,設定!$B$9:$D$23,2,FALSE)),"")</f>
        <v/>
      </c>
      <c r="O120" s="38">
        <f>IFERROR(IF(ISBLANK(J120),"",ABS(J120-H120)/ABS(H120-I120)),"")</f>
        <v/>
      </c>
      <c r="P120" s="40">
        <f>IFERROR(IF(OR(ISBLANK(L120),ISBLANK(E120)),"",IF(E120="Long",(L120-H120),(H120-L120))/VLOOKUP(C120,設定!$B$9:$D$23,2,FALSE)),"")</f>
        <v/>
      </c>
      <c r="Q120" s="41">
        <f>IFERROR(IF(OR(ISBLANK(P120),N120=0),"",P120/N120),"")</f>
        <v/>
      </c>
      <c r="R120" s="41">
        <f>IFERROR(IF(ISBLANK(Q120),R119,IF(ISNUMBER(R119),R119,0)+Q120),"")</f>
        <v/>
      </c>
      <c r="S120" s="42">
        <f>IFERROR(IF(OR(ISBLANK(P120),ISBLANK(K120)),"",P120*K120*VLOOKUP(C120,設定!$B$9:$D$23,3,FALSE)),"")</f>
        <v/>
      </c>
      <c r="T120" s="35" t="n"/>
    </row>
    <row r="121">
      <c r="A121" s="43">
        <f>IF(ISBLANK(B121),"",COUNTA($B$2:B121))</f>
        <v/>
      </c>
      <c r="B121" s="44" t="n"/>
      <c r="C121" s="45" t="n"/>
      <c r="D121" s="45" t="n"/>
      <c r="E121" s="45" t="n"/>
      <c r="F121" s="43" t="n"/>
      <c r="G121" s="46" t="n"/>
      <c r="H121" s="47" t="n"/>
      <c r="I121" s="47" t="n"/>
      <c r="J121" s="47" t="n"/>
      <c r="K121" s="48" t="n"/>
      <c r="L121" s="47" t="n"/>
      <c r="M121" s="45" t="n"/>
      <c r="N121" s="49">
        <f>IFERROR(IF(ISBLANK(H121),"",ABS(H121-I121)/VLOOKUP(C121,設定!$B$9:$D$23,2,FALSE)),"")</f>
        <v/>
      </c>
      <c r="O121" s="48">
        <f>IFERROR(IF(ISBLANK(J121),"",ABS(J121-H121)/ABS(H121-I121)),"")</f>
        <v/>
      </c>
      <c r="P121" s="50">
        <f>IFERROR(IF(OR(ISBLANK(L121),ISBLANK(E121)),"",IF(E121="Long",(L121-H121),(H121-L121))/VLOOKUP(C121,設定!$B$9:$D$23,2,FALSE)),"")</f>
        <v/>
      </c>
      <c r="Q121" s="51">
        <f>IFERROR(IF(OR(ISBLANK(P121),N121=0),"",P121/N121),"")</f>
        <v/>
      </c>
      <c r="R121" s="51">
        <f>IFERROR(IF(ISBLANK(Q121),R120,IF(ISNUMBER(R120),R120,0)+Q121),"")</f>
        <v/>
      </c>
      <c r="S121" s="52">
        <f>IFERROR(IF(OR(ISBLANK(P121),ISBLANK(K121)),"",P121*K121*VLOOKUP(C121,設定!$B$9:$D$23,3,FALSE)),"")</f>
        <v/>
      </c>
      <c r="T121" s="45" t="n"/>
    </row>
    <row r="122">
      <c r="A122" s="33">
        <f>IF(ISBLANK(B122),"",COUNTA($B$2:B122))</f>
        <v/>
      </c>
      <c r="B122" s="34" t="n"/>
      <c r="C122" s="35" t="n"/>
      <c r="D122" s="35" t="n"/>
      <c r="E122" s="35" t="n"/>
      <c r="F122" s="33" t="n"/>
      <c r="G122" s="36" t="n"/>
      <c r="H122" s="37" t="n"/>
      <c r="I122" s="37" t="n"/>
      <c r="J122" s="37" t="n"/>
      <c r="K122" s="38" t="n"/>
      <c r="L122" s="37" t="n"/>
      <c r="M122" s="35" t="n"/>
      <c r="N122" s="39">
        <f>IFERROR(IF(ISBLANK(H122),"",ABS(H122-I122)/VLOOKUP(C122,設定!$B$9:$D$23,2,FALSE)),"")</f>
        <v/>
      </c>
      <c r="O122" s="38">
        <f>IFERROR(IF(ISBLANK(J122),"",ABS(J122-H122)/ABS(H122-I122)),"")</f>
        <v/>
      </c>
      <c r="P122" s="40">
        <f>IFERROR(IF(OR(ISBLANK(L122),ISBLANK(E122)),"",IF(E122="Long",(L122-H122),(H122-L122))/VLOOKUP(C122,設定!$B$9:$D$23,2,FALSE)),"")</f>
        <v/>
      </c>
      <c r="Q122" s="41">
        <f>IFERROR(IF(OR(ISBLANK(P122),N122=0),"",P122/N122),"")</f>
        <v/>
      </c>
      <c r="R122" s="41">
        <f>IFERROR(IF(ISBLANK(Q122),R121,IF(ISNUMBER(R121),R121,0)+Q122),"")</f>
        <v/>
      </c>
      <c r="S122" s="42">
        <f>IFERROR(IF(OR(ISBLANK(P122),ISBLANK(K122)),"",P122*K122*VLOOKUP(C122,設定!$B$9:$D$23,3,FALSE)),"")</f>
        <v/>
      </c>
      <c r="T122" s="35" t="n"/>
    </row>
    <row r="123">
      <c r="A123" s="43">
        <f>IF(ISBLANK(B123),"",COUNTA($B$2:B123))</f>
        <v/>
      </c>
      <c r="B123" s="44" t="n"/>
      <c r="C123" s="45" t="n"/>
      <c r="D123" s="45" t="n"/>
      <c r="E123" s="45" t="n"/>
      <c r="F123" s="43" t="n"/>
      <c r="G123" s="46" t="n"/>
      <c r="H123" s="47" t="n"/>
      <c r="I123" s="47" t="n"/>
      <c r="J123" s="47" t="n"/>
      <c r="K123" s="48" t="n"/>
      <c r="L123" s="47" t="n"/>
      <c r="M123" s="45" t="n"/>
      <c r="N123" s="49">
        <f>IFERROR(IF(ISBLANK(H123),"",ABS(H123-I123)/VLOOKUP(C123,設定!$B$9:$D$23,2,FALSE)),"")</f>
        <v/>
      </c>
      <c r="O123" s="48">
        <f>IFERROR(IF(ISBLANK(J123),"",ABS(J123-H123)/ABS(H123-I123)),"")</f>
        <v/>
      </c>
      <c r="P123" s="50">
        <f>IFERROR(IF(OR(ISBLANK(L123),ISBLANK(E123)),"",IF(E123="Long",(L123-H123),(H123-L123))/VLOOKUP(C123,設定!$B$9:$D$23,2,FALSE)),"")</f>
        <v/>
      </c>
      <c r="Q123" s="51">
        <f>IFERROR(IF(OR(ISBLANK(P123),N123=0),"",P123/N123),"")</f>
        <v/>
      </c>
      <c r="R123" s="51">
        <f>IFERROR(IF(ISBLANK(Q123),R122,IF(ISNUMBER(R122),R122,0)+Q123),"")</f>
        <v/>
      </c>
      <c r="S123" s="52">
        <f>IFERROR(IF(OR(ISBLANK(P123),ISBLANK(K123)),"",P123*K123*VLOOKUP(C123,設定!$B$9:$D$23,3,FALSE)),"")</f>
        <v/>
      </c>
      <c r="T123" s="45" t="n"/>
    </row>
    <row r="124">
      <c r="A124" s="33">
        <f>IF(ISBLANK(B124),"",COUNTA($B$2:B124))</f>
        <v/>
      </c>
      <c r="B124" s="34" t="n"/>
      <c r="C124" s="35" t="n"/>
      <c r="D124" s="35" t="n"/>
      <c r="E124" s="35" t="n"/>
      <c r="F124" s="33" t="n"/>
      <c r="G124" s="36" t="n"/>
      <c r="H124" s="37" t="n"/>
      <c r="I124" s="37" t="n"/>
      <c r="J124" s="37" t="n"/>
      <c r="K124" s="38" t="n"/>
      <c r="L124" s="37" t="n"/>
      <c r="M124" s="35" t="n"/>
      <c r="N124" s="39">
        <f>IFERROR(IF(ISBLANK(H124),"",ABS(H124-I124)/VLOOKUP(C124,設定!$B$9:$D$23,2,FALSE)),"")</f>
        <v/>
      </c>
      <c r="O124" s="38">
        <f>IFERROR(IF(ISBLANK(J124),"",ABS(J124-H124)/ABS(H124-I124)),"")</f>
        <v/>
      </c>
      <c r="P124" s="40">
        <f>IFERROR(IF(OR(ISBLANK(L124),ISBLANK(E124)),"",IF(E124="Long",(L124-H124),(H124-L124))/VLOOKUP(C124,設定!$B$9:$D$23,2,FALSE)),"")</f>
        <v/>
      </c>
      <c r="Q124" s="41">
        <f>IFERROR(IF(OR(ISBLANK(P124),N124=0),"",P124/N124),"")</f>
        <v/>
      </c>
      <c r="R124" s="41">
        <f>IFERROR(IF(ISBLANK(Q124),R123,IF(ISNUMBER(R123),R123,0)+Q124),"")</f>
        <v/>
      </c>
      <c r="S124" s="42">
        <f>IFERROR(IF(OR(ISBLANK(P124),ISBLANK(K124)),"",P124*K124*VLOOKUP(C124,設定!$B$9:$D$23,3,FALSE)),"")</f>
        <v/>
      </c>
      <c r="T124" s="35" t="n"/>
    </row>
    <row r="125">
      <c r="A125" s="43">
        <f>IF(ISBLANK(B125),"",COUNTA($B$2:B125))</f>
        <v/>
      </c>
      <c r="B125" s="44" t="n"/>
      <c r="C125" s="45" t="n"/>
      <c r="D125" s="45" t="n"/>
      <c r="E125" s="45" t="n"/>
      <c r="F125" s="43" t="n"/>
      <c r="G125" s="46" t="n"/>
      <c r="H125" s="47" t="n"/>
      <c r="I125" s="47" t="n"/>
      <c r="J125" s="47" t="n"/>
      <c r="K125" s="48" t="n"/>
      <c r="L125" s="47" t="n"/>
      <c r="M125" s="45" t="n"/>
      <c r="N125" s="49">
        <f>IFERROR(IF(ISBLANK(H125),"",ABS(H125-I125)/VLOOKUP(C125,設定!$B$9:$D$23,2,FALSE)),"")</f>
        <v/>
      </c>
      <c r="O125" s="48">
        <f>IFERROR(IF(ISBLANK(J125),"",ABS(J125-H125)/ABS(H125-I125)),"")</f>
        <v/>
      </c>
      <c r="P125" s="50">
        <f>IFERROR(IF(OR(ISBLANK(L125),ISBLANK(E125)),"",IF(E125="Long",(L125-H125),(H125-L125))/VLOOKUP(C125,設定!$B$9:$D$23,2,FALSE)),"")</f>
        <v/>
      </c>
      <c r="Q125" s="51">
        <f>IFERROR(IF(OR(ISBLANK(P125),N125=0),"",P125/N125),"")</f>
        <v/>
      </c>
      <c r="R125" s="51">
        <f>IFERROR(IF(ISBLANK(Q125),R124,IF(ISNUMBER(R124),R124,0)+Q125),"")</f>
        <v/>
      </c>
      <c r="S125" s="52">
        <f>IFERROR(IF(OR(ISBLANK(P125),ISBLANK(K125)),"",P125*K125*VLOOKUP(C125,設定!$B$9:$D$23,3,FALSE)),"")</f>
        <v/>
      </c>
      <c r="T125" s="45" t="n"/>
    </row>
    <row r="126">
      <c r="A126" s="33">
        <f>IF(ISBLANK(B126),"",COUNTA($B$2:B126))</f>
        <v/>
      </c>
      <c r="B126" s="34" t="n"/>
      <c r="C126" s="35" t="n"/>
      <c r="D126" s="35" t="n"/>
      <c r="E126" s="35" t="n"/>
      <c r="F126" s="33" t="n"/>
      <c r="G126" s="36" t="n"/>
      <c r="H126" s="37" t="n"/>
      <c r="I126" s="37" t="n"/>
      <c r="J126" s="37" t="n"/>
      <c r="K126" s="38" t="n"/>
      <c r="L126" s="37" t="n"/>
      <c r="M126" s="35" t="n"/>
      <c r="N126" s="39">
        <f>IFERROR(IF(ISBLANK(H126),"",ABS(H126-I126)/VLOOKUP(C126,設定!$B$9:$D$23,2,FALSE)),"")</f>
        <v/>
      </c>
      <c r="O126" s="38">
        <f>IFERROR(IF(ISBLANK(J126),"",ABS(J126-H126)/ABS(H126-I126)),"")</f>
        <v/>
      </c>
      <c r="P126" s="40">
        <f>IFERROR(IF(OR(ISBLANK(L126),ISBLANK(E126)),"",IF(E126="Long",(L126-H126),(H126-L126))/VLOOKUP(C126,設定!$B$9:$D$23,2,FALSE)),"")</f>
        <v/>
      </c>
      <c r="Q126" s="41">
        <f>IFERROR(IF(OR(ISBLANK(P126),N126=0),"",P126/N126),"")</f>
        <v/>
      </c>
      <c r="R126" s="41">
        <f>IFERROR(IF(ISBLANK(Q126),R125,IF(ISNUMBER(R125),R125,0)+Q126),"")</f>
        <v/>
      </c>
      <c r="S126" s="42">
        <f>IFERROR(IF(OR(ISBLANK(P126),ISBLANK(K126)),"",P126*K126*VLOOKUP(C126,設定!$B$9:$D$23,3,FALSE)),"")</f>
        <v/>
      </c>
      <c r="T126" s="35" t="n"/>
    </row>
    <row r="127">
      <c r="A127" s="43">
        <f>IF(ISBLANK(B127),"",COUNTA($B$2:B127))</f>
        <v/>
      </c>
      <c r="B127" s="44" t="n"/>
      <c r="C127" s="45" t="n"/>
      <c r="D127" s="45" t="n"/>
      <c r="E127" s="45" t="n"/>
      <c r="F127" s="43" t="n"/>
      <c r="G127" s="46" t="n"/>
      <c r="H127" s="47" t="n"/>
      <c r="I127" s="47" t="n"/>
      <c r="J127" s="47" t="n"/>
      <c r="K127" s="48" t="n"/>
      <c r="L127" s="47" t="n"/>
      <c r="M127" s="45" t="n"/>
      <c r="N127" s="49">
        <f>IFERROR(IF(ISBLANK(H127),"",ABS(H127-I127)/VLOOKUP(C127,設定!$B$9:$D$23,2,FALSE)),"")</f>
        <v/>
      </c>
      <c r="O127" s="48">
        <f>IFERROR(IF(ISBLANK(J127),"",ABS(J127-H127)/ABS(H127-I127)),"")</f>
        <v/>
      </c>
      <c r="P127" s="50">
        <f>IFERROR(IF(OR(ISBLANK(L127),ISBLANK(E127)),"",IF(E127="Long",(L127-H127),(H127-L127))/VLOOKUP(C127,設定!$B$9:$D$23,2,FALSE)),"")</f>
        <v/>
      </c>
      <c r="Q127" s="51">
        <f>IFERROR(IF(OR(ISBLANK(P127),N127=0),"",P127/N127),"")</f>
        <v/>
      </c>
      <c r="R127" s="51">
        <f>IFERROR(IF(ISBLANK(Q127),R126,IF(ISNUMBER(R126),R126,0)+Q127),"")</f>
        <v/>
      </c>
      <c r="S127" s="52">
        <f>IFERROR(IF(OR(ISBLANK(P127),ISBLANK(K127)),"",P127*K127*VLOOKUP(C127,設定!$B$9:$D$23,3,FALSE)),"")</f>
        <v/>
      </c>
      <c r="T127" s="45" t="n"/>
    </row>
    <row r="128">
      <c r="A128" s="33">
        <f>IF(ISBLANK(B128),"",COUNTA($B$2:B128))</f>
        <v/>
      </c>
      <c r="B128" s="34" t="n"/>
      <c r="C128" s="35" t="n"/>
      <c r="D128" s="35" t="n"/>
      <c r="E128" s="35" t="n"/>
      <c r="F128" s="33" t="n"/>
      <c r="G128" s="36" t="n"/>
      <c r="H128" s="37" t="n"/>
      <c r="I128" s="37" t="n"/>
      <c r="J128" s="37" t="n"/>
      <c r="K128" s="38" t="n"/>
      <c r="L128" s="37" t="n"/>
      <c r="M128" s="35" t="n"/>
      <c r="N128" s="39">
        <f>IFERROR(IF(ISBLANK(H128),"",ABS(H128-I128)/VLOOKUP(C128,設定!$B$9:$D$23,2,FALSE)),"")</f>
        <v/>
      </c>
      <c r="O128" s="38">
        <f>IFERROR(IF(ISBLANK(J128),"",ABS(J128-H128)/ABS(H128-I128)),"")</f>
        <v/>
      </c>
      <c r="P128" s="40">
        <f>IFERROR(IF(OR(ISBLANK(L128),ISBLANK(E128)),"",IF(E128="Long",(L128-H128),(H128-L128))/VLOOKUP(C128,設定!$B$9:$D$23,2,FALSE)),"")</f>
        <v/>
      </c>
      <c r="Q128" s="41">
        <f>IFERROR(IF(OR(ISBLANK(P128),N128=0),"",P128/N128),"")</f>
        <v/>
      </c>
      <c r="R128" s="41">
        <f>IFERROR(IF(ISBLANK(Q128),R127,IF(ISNUMBER(R127),R127,0)+Q128),"")</f>
        <v/>
      </c>
      <c r="S128" s="42">
        <f>IFERROR(IF(OR(ISBLANK(P128),ISBLANK(K128)),"",P128*K128*VLOOKUP(C128,設定!$B$9:$D$23,3,FALSE)),"")</f>
        <v/>
      </c>
      <c r="T128" s="35" t="n"/>
    </row>
    <row r="129">
      <c r="A129" s="43">
        <f>IF(ISBLANK(B129),"",COUNTA($B$2:B129))</f>
        <v/>
      </c>
      <c r="B129" s="44" t="n"/>
      <c r="C129" s="45" t="n"/>
      <c r="D129" s="45" t="n"/>
      <c r="E129" s="45" t="n"/>
      <c r="F129" s="43" t="n"/>
      <c r="G129" s="46" t="n"/>
      <c r="H129" s="47" t="n"/>
      <c r="I129" s="47" t="n"/>
      <c r="J129" s="47" t="n"/>
      <c r="K129" s="48" t="n"/>
      <c r="L129" s="47" t="n"/>
      <c r="M129" s="45" t="n"/>
      <c r="N129" s="49">
        <f>IFERROR(IF(ISBLANK(H129),"",ABS(H129-I129)/VLOOKUP(C129,設定!$B$9:$D$23,2,FALSE)),"")</f>
        <v/>
      </c>
      <c r="O129" s="48">
        <f>IFERROR(IF(ISBLANK(J129),"",ABS(J129-H129)/ABS(H129-I129)),"")</f>
        <v/>
      </c>
      <c r="P129" s="50">
        <f>IFERROR(IF(OR(ISBLANK(L129),ISBLANK(E129)),"",IF(E129="Long",(L129-H129),(H129-L129))/VLOOKUP(C129,設定!$B$9:$D$23,2,FALSE)),"")</f>
        <v/>
      </c>
      <c r="Q129" s="51">
        <f>IFERROR(IF(OR(ISBLANK(P129),N129=0),"",P129/N129),"")</f>
        <v/>
      </c>
      <c r="R129" s="51">
        <f>IFERROR(IF(ISBLANK(Q129),R128,IF(ISNUMBER(R128),R128,0)+Q129),"")</f>
        <v/>
      </c>
      <c r="S129" s="52">
        <f>IFERROR(IF(OR(ISBLANK(P129),ISBLANK(K129)),"",P129*K129*VLOOKUP(C129,設定!$B$9:$D$23,3,FALSE)),"")</f>
        <v/>
      </c>
      <c r="T129" s="45" t="n"/>
    </row>
    <row r="130">
      <c r="A130" s="33">
        <f>IF(ISBLANK(B130),"",COUNTA($B$2:B130))</f>
        <v/>
      </c>
      <c r="B130" s="34" t="n"/>
      <c r="C130" s="35" t="n"/>
      <c r="D130" s="35" t="n"/>
      <c r="E130" s="35" t="n"/>
      <c r="F130" s="33" t="n"/>
      <c r="G130" s="36" t="n"/>
      <c r="H130" s="37" t="n"/>
      <c r="I130" s="37" t="n"/>
      <c r="J130" s="37" t="n"/>
      <c r="K130" s="38" t="n"/>
      <c r="L130" s="37" t="n"/>
      <c r="M130" s="35" t="n"/>
      <c r="N130" s="39">
        <f>IFERROR(IF(ISBLANK(H130),"",ABS(H130-I130)/VLOOKUP(C130,設定!$B$9:$D$23,2,FALSE)),"")</f>
        <v/>
      </c>
      <c r="O130" s="38">
        <f>IFERROR(IF(ISBLANK(J130),"",ABS(J130-H130)/ABS(H130-I130)),"")</f>
        <v/>
      </c>
      <c r="P130" s="40">
        <f>IFERROR(IF(OR(ISBLANK(L130),ISBLANK(E130)),"",IF(E130="Long",(L130-H130),(H130-L130))/VLOOKUP(C130,設定!$B$9:$D$23,2,FALSE)),"")</f>
        <v/>
      </c>
      <c r="Q130" s="41">
        <f>IFERROR(IF(OR(ISBLANK(P130),N130=0),"",P130/N130),"")</f>
        <v/>
      </c>
      <c r="R130" s="41">
        <f>IFERROR(IF(ISBLANK(Q130),R129,IF(ISNUMBER(R129),R129,0)+Q130),"")</f>
        <v/>
      </c>
      <c r="S130" s="42">
        <f>IFERROR(IF(OR(ISBLANK(P130),ISBLANK(K130)),"",P130*K130*VLOOKUP(C130,設定!$B$9:$D$23,3,FALSE)),"")</f>
        <v/>
      </c>
      <c r="T130" s="35" t="n"/>
    </row>
    <row r="131">
      <c r="A131" s="43">
        <f>IF(ISBLANK(B131),"",COUNTA($B$2:B131))</f>
        <v/>
      </c>
      <c r="B131" s="44" t="n"/>
      <c r="C131" s="45" t="n"/>
      <c r="D131" s="45" t="n"/>
      <c r="E131" s="45" t="n"/>
      <c r="F131" s="43" t="n"/>
      <c r="G131" s="46" t="n"/>
      <c r="H131" s="47" t="n"/>
      <c r="I131" s="47" t="n"/>
      <c r="J131" s="47" t="n"/>
      <c r="K131" s="48" t="n"/>
      <c r="L131" s="47" t="n"/>
      <c r="M131" s="45" t="n"/>
      <c r="N131" s="49">
        <f>IFERROR(IF(ISBLANK(H131),"",ABS(H131-I131)/VLOOKUP(C131,設定!$B$9:$D$23,2,FALSE)),"")</f>
        <v/>
      </c>
      <c r="O131" s="48">
        <f>IFERROR(IF(ISBLANK(J131),"",ABS(J131-H131)/ABS(H131-I131)),"")</f>
        <v/>
      </c>
      <c r="P131" s="50">
        <f>IFERROR(IF(OR(ISBLANK(L131),ISBLANK(E131)),"",IF(E131="Long",(L131-H131),(H131-L131))/VLOOKUP(C131,設定!$B$9:$D$23,2,FALSE)),"")</f>
        <v/>
      </c>
      <c r="Q131" s="51">
        <f>IFERROR(IF(OR(ISBLANK(P131),N131=0),"",P131/N131),"")</f>
        <v/>
      </c>
      <c r="R131" s="51">
        <f>IFERROR(IF(ISBLANK(Q131),R130,IF(ISNUMBER(R130),R130,0)+Q131),"")</f>
        <v/>
      </c>
      <c r="S131" s="52">
        <f>IFERROR(IF(OR(ISBLANK(P131),ISBLANK(K131)),"",P131*K131*VLOOKUP(C131,設定!$B$9:$D$23,3,FALSE)),"")</f>
        <v/>
      </c>
      <c r="T131" s="45" t="n"/>
    </row>
    <row r="132">
      <c r="A132" s="33">
        <f>IF(ISBLANK(B132),"",COUNTA($B$2:B132))</f>
        <v/>
      </c>
      <c r="B132" s="34" t="n"/>
      <c r="C132" s="35" t="n"/>
      <c r="D132" s="35" t="n"/>
      <c r="E132" s="35" t="n"/>
      <c r="F132" s="33" t="n"/>
      <c r="G132" s="36" t="n"/>
      <c r="H132" s="37" t="n"/>
      <c r="I132" s="37" t="n"/>
      <c r="J132" s="37" t="n"/>
      <c r="K132" s="38" t="n"/>
      <c r="L132" s="37" t="n"/>
      <c r="M132" s="35" t="n"/>
      <c r="N132" s="39">
        <f>IFERROR(IF(ISBLANK(H132),"",ABS(H132-I132)/VLOOKUP(C132,設定!$B$9:$D$23,2,FALSE)),"")</f>
        <v/>
      </c>
      <c r="O132" s="38">
        <f>IFERROR(IF(ISBLANK(J132),"",ABS(J132-H132)/ABS(H132-I132)),"")</f>
        <v/>
      </c>
      <c r="P132" s="40">
        <f>IFERROR(IF(OR(ISBLANK(L132),ISBLANK(E132)),"",IF(E132="Long",(L132-H132),(H132-L132))/VLOOKUP(C132,設定!$B$9:$D$23,2,FALSE)),"")</f>
        <v/>
      </c>
      <c r="Q132" s="41">
        <f>IFERROR(IF(OR(ISBLANK(P132),N132=0),"",P132/N132),"")</f>
        <v/>
      </c>
      <c r="R132" s="41">
        <f>IFERROR(IF(ISBLANK(Q132),R131,IF(ISNUMBER(R131),R131,0)+Q132),"")</f>
        <v/>
      </c>
      <c r="S132" s="42">
        <f>IFERROR(IF(OR(ISBLANK(P132),ISBLANK(K132)),"",P132*K132*VLOOKUP(C132,設定!$B$9:$D$23,3,FALSE)),"")</f>
        <v/>
      </c>
      <c r="T132" s="35" t="n"/>
    </row>
    <row r="133">
      <c r="A133" s="43">
        <f>IF(ISBLANK(B133),"",COUNTA($B$2:B133))</f>
        <v/>
      </c>
      <c r="B133" s="44" t="n"/>
      <c r="C133" s="45" t="n"/>
      <c r="D133" s="45" t="n"/>
      <c r="E133" s="45" t="n"/>
      <c r="F133" s="43" t="n"/>
      <c r="G133" s="46" t="n"/>
      <c r="H133" s="47" t="n"/>
      <c r="I133" s="47" t="n"/>
      <c r="J133" s="47" t="n"/>
      <c r="K133" s="48" t="n"/>
      <c r="L133" s="47" t="n"/>
      <c r="M133" s="45" t="n"/>
      <c r="N133" s="49">
        <f>IFERROR(IF(ISBLANK(H133),"",ABS(H133-I133)/VLOOKUP(C133,設定!$B$9:$D$23,2,FALSE)),"")</f>
        <v/>
      </c>
      <c r="O133" s="48">
        <f>IFERROR(IF(ISBLANK(J133),"",ABS(J133-H133)/ABS(H133-I133)),"")</f>
        <v/>
      </c>
      <c r="P133" s="50">
        <f>IFERROR(IF(OR(ISBLANK(L133),ISBLANK(E133)),"",IF(E133="Long",(L133-H133),(H133-L133))/VLOOKUP(C133,設定!$B$9:$D$23,2,FALSE)),"")</f>
        <v/>
      </c>
      <c r="Q133" s="51">
        <f>IFERROR(IF(OR(ISBLANK(P133),N133=0),"",P133/N133),"")</f>
        <v/>
      </c>
      <c r="R133" s="51">
        <f>IFERROR(IF(ISBLANK(Q133),R132,IF(ISNUMBER(R132),R132,0)+Q133),"")</f>
        <v/>
      </c>
      <c r="S133" s="52">
        <f>IFERROR(IF(OR(ISBLANK(P133),ISBLANK(K133)),"",P133*K133*VLOOKUP(C133,設定!$B$9:$D$23,3,FALSE)),"")</f>
        <v/>
      </c>
      <c r="T133" s="45" t="n"/>
    </row>
    <row r="134">
      <c r="A134" s="33">
        <f>IF(ISBLANK(B134),"",COUNTA($B$2:B134))</f>
        <v/>
      </c>
      <c r="B134" s="34" t="n"/>
      <c r="C134" s="35" t="n"/>
      <c r="D134" s="35" t="n"/>
      <c r="E134" s="35" t="n"/>
      <c r="F134" s="33" t="n"/>
      <c r="G134" s="36" t="n"/>
      <c r="H134" s="37" t="n"/>
      <c r="I134" s="37" t="n"/>
      <c r="J134" s="37" t="n"/>
      <c r="K134" s="38" t="n"/>
      <c r="L134" s="37" t="n"/>
      <c r="M134" s="35" t="n"/>
      <c r="N134" s="39">
        <f>IFERROR(IF(ISBLANK(H134),"",ABS(H134-I134)/VLOOKUP(C134,設定!$B$9:$D$23,2,FALSE)),"")</f>
        <v/>
      </c>
      <c r="O134" s="38">
        <f>IFERROR(IF(ISBLANK(J134),"",ABS(J134-H134)/ABS(H134-I134)),"")</f>
        <v/>
      </c>
      <c r="P134" s="40">
        <f>IFERROR(IF(OR(ISBLANK(L134),ISBLANK(E134)),"",IF(E134="Long",(L134-H134),(H134-L134))/VLOOKUP(C134,設定!$B$9:$D$23,2,FALSE)),"")</f>
        <v/>
      </c>
      <c r="Q134" s="41">
        <f>IFERROR(IF(OR(ISBLANK(P134),N134=0),"",P134/N134),"")</f>
        <v/>
      </c>
      <c r="R134" s="41">
        <f>IFERROR(IF(ISBLANK(Q134),R133,IF(ISNUMBER(R133),R133,0)+Q134),"")</f>
        <v/>
      </c>
      <c r="S134" s="42">
        <f>IFERROR(IF(OR(ISBLANK(P134),ISBLANK(K134)),"",P134*K134*VLOOKUP(C134,設定!$B$9:$D$23,3,FALSE)),"")</f>
        <v/>
      </c>
      <c r="T134" s="35" t="n"/>
    </row>
    <row r="135">
      <c r="A135" s="43">
        <f>IF(ISBLANK(B135),"",COUNTA($B$2:B135))</f>
        <v/>
      </c>
      <c r="B135" s="44" t="n"/>
      <c r="C135" s="45" t="n"/>
      <c r="D135" s="45" t="n"/>
      <c r="E135" s="45" t="n"/>
      <c r="F135" s="43" t="n"/>
      <c r="G135" s="46" t="n"/>
      <c r="H135" s="47" t="n"/>
      <c r="I135" s="47" t="n"/>
      <c r="J135" s="47" t="n"/>
      <c r="K135" s="48" t="n"/>
      <c r="L135" s="47" t="n"/>
      <c r="M135" s="45" t="n"/>
      <c r="N135" s="49">
        <f>IFERROR(IF(ISBLANK(H135),"",ABS(H135-I135)/VLOOKUP(C135,設定!$B$9:$D$23,2,FALSE)),"")</f>
        <v/>
      </c>
      <c r="O135" s="48">
        <f>IFERROR(IF(ISBLANK(J135),"",ABS(J135-H135)/ABS(H135-I135)),"")</f>
        <v/>
      </c>
      <c r="P135" s="50">
        <f>IFERROR(IF(OR(ISBLANK(L135),ISBLANK(E135)),"",IF(E135="Long",(L135-H135),(H135-L135))/VLOOKUP(C135,設定!$B$9:$D$23,2,FALSE)),"")</f>
        <v/>
      </c>
      <c r="Q135" s="51">
        <f>IFERROR(IF(OR(ISBLANK(P135),N135=0),"",P135/N135),"")</f>
        <v/>
      </c>
      <c r="R135" s="51">
        <f>IFERROR(IF(ISBLANK(Q135),R134,IF(ISNUMBER(R134),R134,0)+Q135),"")</f>
        <v/>
      </c>
      <c r="S135" s="52">
        <f>IFERROR(IF(OR(ISBLANK(P135),ISBLANK(K135)),"",P135*K135*VLOOKUP(C135,設定!$B$9:$D$23,3,FALSE)),"")</f>
        <v/>
      </c>
      <c r="T135" s="45" t="n"/>
    </row>
    <row r="136">
      <c r="A136" s="33">
        <f>IF(ISBLANK(B136),"",COUNTA($B$2:B136))</f>
        <v/>
      </c>
      <c r="B136" s="34" t="n"/>
      <c r="C136" s="35" t="n"/>
      <c r="D136" s="35" t="n"/>
      <c r="E136" s="35" t="n"/>
      <c r="F136" s="33" t="n"/>
      <c r="G136" s="36" t="n"/>
      <c r="H136" s="37" t="n"/>
      <c r="I136" s="37" t="n"/>
      <c r="J136" s="37" t="n"/>
      <c r="K136" s="38" t="n"/>
      <c r="L136" s="37" t="n"/>
      <c r="M136" s="35" t="n"/>
      <c r="N136" s="39">
        <f>IFERROR(IF(ISBLANK(H136),"",ABS(H136-I136)/VLOOKUP(C136,設定!$B$9:$D$23,2,FALSE)),"")</f>
        <v/>
      </c>
      <c r="O136" s="38">
        <f>IFERROR(IF(ISBLANK(J136),"",ABS(J136-H136)/ABS(H136-I136)),"")</f>
        <v/>
      </c>
      <c r="P136" s="40">
        <f>IFERROR(IF(OR(ISBLANK(L136),ISBLANK(E136)),"",IF(E136="Long",(L136-H136),(H136-L136))/VLOOKUP(C136,設定!$B$9:$D$23,2,FALSE)),"")</f>
        <v/>
      </c>
      <c r="Q136" s="41">
        <f>IFERROR(IF(OR(ISBLANK(P136),N136=0),"",P136/N136),"")</f>
        <v/>
      </c>
      <c r="R136" s="41">
        <f>IFERROR(IF(ISBLANK(Q136),R135,IF(ISNUMBER(R135),R135,0)+Q136),"")</f>
        <v/>
      </c>
      <c r="S136" s="42">
        <f>IFERROR(IF(OR(ISBLANK(P136),ISBLANK(K136)),"",P136*K136*VLOOKUP(C136,設定!$B$9:$D$23,3,FALSE)),"")</f>
        <v/>
      </c>
      <c r="T136" s="35" t="n"/>
    </row>
    <row r="137">
      <c r="A137" s="43">
        <f>IF(ISBLANK(B137),"",COUNTA($B$2:B137))</f>
        <v/>
      </c>
      <c r="B137" s="44" t="n"/>
      <c r="C137" s="45" t="n"/>
      <c r="D137" s="45" t="n"/>
      <c r="E137" s="45" t="n"/>
      <c r="F137" s="43" t="n"/>
      <c r="G137" s="46" t="n"/>
      <c r="H137" s="47" t="n"/>
      <c r="I137" s="47" t="n"/>
      <c r="J137" s="47" t="n"/>
      <c r="K137" s="48" t="n"/>
      <c r="L137" s="47" t="n"/>
      <c r="M137" s="45" t="n"/>
      <c r="N137" s="49">
        <f>IFERROR(IF(ISBLANK(H137),"",ABS(H137-I137)/VLOOKUP(C137,設定!$B$9:$D$23,2,FALSE)),"")</f>
        <v/>
      </c>
      <c r="O137" s="48">
        <f>IFERROR(IF(ISBLANK(J137),"",ABS(J137-H137)/ABS(H137-I137)),"")</f>
        <v/>
      </c>
      <c r="P137" s="50">
        <f>IFERROR(IF(OR(ISBLANK(L137),ISBLANK(E137)),"",IF(E137="Long",(L137-H137),(H137-L137))/VLOOKUP(C137,設定!$B$9:$D$23,2,FALSE)),"")</f>
        <v/>
      </c>
      <c r="Q137" s="51">
        <f>IFERROR(IF(OR(ISBLANK(P137),N137=0),"",P137/N137),"")</f>
        <v/>
      </c>
      <c r="R137" s="51">
        <f>IFERROR(IF(ISBLANK(Q137),R136,IF(ISNUMBER(R136),R136,0)+Q137),"")</f>
        <v/>
      </c>
      <c r="S137" s="52">
        <f>IFERROR(IF(OR(ISBLANK(P137),ISBLANK(K137)),"",P137*K137*VLOOKUP(C137,設定!$B$9:$D$23,3,FALSE)),"")</f>
        <v/>
      </c>
      <c r="T137" s="45" t="n"/>
    </row>
    <row r="138">
      <c r="A138" s="33">
        <f>IF(ISBLANK(B138),"",COUNTA($B$2:B138))</f>
        <v/>
      </c>
      <c r="B138" s="34" t="n"/>
      <c r="C138" s="35" t="n"/>
      <c r="D138" s="35" t="n"/>
      <c r="E138" s="35" t="n"/>
      <c r="F138" s="33" t="n"/>
      <c r="G138" s="36" t="n"/>
      <c r="H138" s="37" t="n"/>
      <c r="I138" s="37" t="n"/>
      <c r="J138" s="37" t="n"/>
      <c r="K138" s="38" t="n"/>
      <c r="L138" s="37" t="n"/>
      <c r="M138" s="35" t="n"/>
      <c r="N138" s="39">
        <f>IFERROR(IF(ISBLANK(H138),"",ABS(H138-I138)/VLOOKUP(C138,設定!$B$9:$D$23,2,FALSE)),"")</f>
        <v/>
      </c>
      <c r="O138" s="38">
        <f>IFERROR(IF(ISBLANK(J138),"",ABS(J138-H138)/ABS(H138-I138)),"")</f>
        <v/>
      </c>
      <c r="P138" s="40">
        <f>IFERROR(IF(OR(ISBLANK(L138),ISBLANK(E138)),"",IF(E138="Long",(L138-H138),(H138-L138))/VLOOKUP(C138,設定!$B$9:$D$23,2,FALSE)),"")</f>
        <v/>
      </c>
      <c r="Q138" s="41">
        <f>IFERROR(IF(OR(ISBLANK(P138),N138=0),"",P138/N138),"")</f>
        <v/>
      </c>
      <c r="R138" s="41">
        <f>IFERROR(IF(ISBLANK(Q138),R137,IF(ISNUMBER(R137),R137,0)+Q138),"")</f>
        <v/>
      </c>
      <c r="S138" s="42">
        <f>IFERROR(IF(OR(ISBLANK(P138),ISBLANK(K138)),"",P138*K138*VLOOKUP(C138,設定!$B$9:$D$23,3,FALSE)),"")</f>
        <v/>
      </c>
      <c r="T138" s="35" t="n"/>
    </row>
    <row r="139">
      <c r="A139" s="43">
        <f>IF(ISBLANK(B139),"",COUNTA($B$2:B139))</f>
        <v/>
      </c>
      <c r="B139" s="44" t="n"/>
      <c r="C139" s="45" t="n"/>
      <c r="D139" s="45" t="n"/>
      <c r="E139" s="45" t="n"/>
      <c r="F139" s="43" t="n"/>
      <c r="G139" s="46" t="n"/>
      <c r="H139" s="47" t="n"/>
      <c r="I139" s="47" t="n"/>
      <c r="J139" s="47" t="n"/>
      <c r="K139" s="48" t="n"/>
      <c r="L139" s="47" t="n"/>
      <c r="M139" s="45" t="n"/>
      <c r="N139" s="49">
        <f>IFERROR(IF(ISBLANK(H139),"",ABS(H139-I139)/VLOOKUP(C139,設定!$B$9:$D$23,2,FALSE)),"")</f>
        <v/>
      </c>
      <c r="O139" s="48">
        <f>IFERROR(IF(ISBLANK(J139),"",ABS(J139-H139)/ABS(H139-I139)),"")</f>
        <v/>
      </c>
      <c r="P139" s="50">
        <f>IFERROR(IF(OR(ISBLANK(L139),ISBLANK(E139)),"",IF(E139="Long",(L139-H139),(H139-L139))/VLOOKUP(C139,設定!$B$9:$D$23,2,FALSE)),"")</f>
        <v/>
      </c>
      <c r="Q139" s="51">
        <f>IFERROR(IF(OR(ISBLANK(P139),N139=0),"",P139/N139),"")</f>
        <v/>
      </c>
      <c r="R139" s="51">
        <f>IFERROR(IF(ISBLANK(Q139),R138,IF(ISNUMBER(R138),R138,0)+Q139),"")</f>
        <v/>
      </c>
      <c r="S139" s="52">
        <f>IFERROR(IF(OR(ISBLANK(P139),ISBLANK(K139)),"",P139*K139*VLOOKUP(C139,設定!$B$9:$D$23,3,FALSE)),"")</f>
        <v/>
      </c>
      <c r="T139" s="45" t="n"/>
    </row>
    <row r="140">
      <c r="A140" s="33">
        <f>IF(ISBLANK(B140),"",COUNTA($B$2:B140))</f>
        <v/>
      </c>
      <c r="B140" s="34" t="n"/>
      <c r="C140" s="35" t="n"/>
      <c r="D140" s="35" t="n"/>
      <c r="E140" s="35" t="n"/>
      <c r="F140" s="33" t="n"/>
      <c r="G140" s="36" t="n"/>
      <c r="H140" s="37" t="n"/>
      <c r="I140" s="37" t="n"/>
      <c r="J140" s="37" t="n"/>
      <c r="K140" s="38" t="n"/>
      <c r="L140" s="37" t="n"/>
      <c r="M140" s="35" t="n"/>
      <c r="N140" s="39">
        <f>IFERROR(IF(ISBLANK(H140),"",ABS(H140-I140)/VLOOKUP(C140,設定!$B$9:$D$23,2,FALSE)),"")</f>
        <v/>
      </c>
      <c r="O140" s="38">
        <f>IFERROR(IF(ISBLANK(J140),"",ABS(J140-H140)/ABS(H140-I140)),"")</f>
        <v/>
      </c>
      <c r="P140" s="40">
        <f>IFERROR(IF(OR(ISBLANK(L140),ISBLANK(E140)),"",IF(E140="Long",(L140-H140),(H140-L140))/VLOOKUP(C140,設定!$B$9:$D$23,2,FALSE)),"")</f>
        <v/>
      </c>
      <c r="Q140" s="41">
        <f>IFERROR(IF(OR(ISBLANK(P140),N140=0),"",P140/N140),"")</f>
        <v/>
      </c>
      <c r="R140" s="41">
        <f>IFERROR(IF(ISBLANK(Q140),R139,IF(ISNUMBER(R139),R139,0)+Q140),"")</f>
        <v/>
      </c>
      <c r="S140" s="42">
        <f>IFERROR(IF(OR(ISBLANK(P140),ISBLANK(K140)),"",P140*K140*VLOOKUP(C140,設定!$B$9:$D$23,3,FALSE)),"")</f>
        <v/>
      </c>
      <c r="T140" s="35" t="n"/>
    </row>
    <row r="141">
      <c r="A141" s="43">
        <f>IF(ISBLANK(B141),"",COUNTA($B$2:B141))</f>
        <v/>
      </c>
      <c r="B141" s="44" t="n"/>
      <c r="C141" s="45" t="n"/>
      <c r="D141" s="45" t="n"/>
      <c r="E141" s="45" t="n"/>
      <c r="F141" s="43" t="n"/>
      <c r="G141" s="46" t="n"/>
      <c r="H141" s="47" t="n"/>
      <c r="I141" s="47" t="n"/>
      <c r="J141" s="47" t="n"/>
      <c r="K141" s="48" t="n"/>
      <c r="L141" s="47" t="n"/>
      <c r="M141" s="45" t="n"/>
      <c r="N141" s="49">
        <f>IFERROR(IF(ISBLANK(H141),"",ABS(H141-I141)/VLOOKUP(C141,設定!$B$9:$D$23,2,FALSE)),"")</f>
        <v/>
      </c>
      <c r="O141" s="48">
        <f>IFERROR(IF(ISBLANK(J141),"",ABS(J141-H141)/ABS(H141-I141)),"")</f>
        <v/>
      </c>
      <c r="P141" s="50">
        <f>IFERROR(IF(OR(ISBLANK(L141),ISBLANK(E141)),"",IF(E141="Long",(L141-H141),(H141-L141))/VLOOKUP(C141,設定!$B$9:$D$23,2,FALSE)),"")</f>
        <v/>
      </c>
      <c r="Q141" s="51">
        <f>IFERROR(IF(OR(ISBLANK(P141),N141=0),"",P141/N141),"")</f>
        <v/>
      </c>
      <c r="R141" s="51">
        <f>IFERROR(IF(ISBLANK(Q141),R140,IF(ISNUMBER(R140),R140,0)+Q141),"")</f>
        <v/>
      </c>
      <c r="S141" s="52">
        <f>IFERROR(IF(OR(ISBLANK(P141),ISBLANK(K141)),"",P141*K141*VLOOKUP(C141,設定!$B$9:$D$23,3,FALSE)),"")</f>
        <v/>
      </c>
      <c r="T141" s="45" t="n"/>
    </row>
    <row r="142">
      <c r="A142" s="33">
        <f>IF(ISBLANK(B142),"",COUNTA($B$2:B142))</f>
        <v/>
      </c>
      <c r="B142" s="34" t="n"/>
      <c r="C142" s="35" t="n"/>
      <c r="D142" s="35" t="n"/>
      <c r="E142" s="35" t="n"/>
      <c r="F142" s="33" t="n"/>
      <c r="G142" s="36" t="n"/>
      <c r="H142" s="37" t="n"/>
      <c r="I142" s="37" t="n"/>
      <c r="J142" s="37" t="n"/>
      <c r="K142" s="38" t="n"/>
      <c r="L142" s="37" t="n"/>
      <c r="M142" s="35" t="n"/>
      <c r="N142" s="39">
        <f>IFERROR(IF(ISBLANK(H142),"",ABS(H142-I142)/VLOOKUP(C142,設定!$B$9:$D$23,2,FALSE)),"")</f>
        <v/>
      </c>
      <c r="O142" s="38">
        <f>IFERROR(IF(ISBLANK(J142),"",ABS(J142-H142)/ABS(H142-I142)),"")</f>
        <v/>
      </c>
      <c r="P142" s="40">
        <f>IFERROR(IF(OR(ISBLANK(L142),ISBLANK(E142)),"",IF(E142="Long",(L142-H142),(H142-L142))/VLOOKUP(C142,設定!$B$9:$D$23,2,FALSE)),"")</f>
        <v/>
      </c>
      <c r="Q142" s="41">
        <f>IFERROR(IF(OR(ISBLANK(P142),N142=0),"",P142/N142),"")</f>
        <v/>
      </c>
      <c r="R142" s="41">
        <f>IFERROR(IF(ISBLANK(Q142),R141,IF(ISNUMBER(R141),R141,0)+Q142),"")</f>
        <v/>
      </c>
      <c r="S142" s="42">
        <f>IFERROR(IF(OR(ISBLANK(P142),ISBLANK(K142)),"",P142*K142*VLOOKUP(C142,設定!$B$9:$D$23,3,FALSE)),"")</f>
        <v/>
      </c>
      <c r="T142" s="35" t="n"/>
    </row>
    <row r="143">
      <c r="A143" s="43">
        <f>IF(ISBLANK(B143),"",COUNTA($B$2:B143))</f>
        <v/>
      </c>
      <c r="B143" s="44" t="n"/>
      <c r="C143" s="45" t="n"/>
      <c r="D143" s="45" t="n"/>
      <c r="E143" s="45" t="n"/>
      <c r="F143" s="43" t="n"/>
      <c r="G143" s="46" t="n"/>
      <c r="H143" s="47" t="n"/>
      <c r="I143" s="47" t="n"/>
      <c r="J143" s="47" t="n"/>
      <c r="K143" s="48" t="n"/>
      <c r="L143" s="47" t="n"/>
      <c r="M143" s="45" t="n"/>
      <c r="N143" s="49">
        <f>IFERROR(IF(ISBLANK(H143),"",ABS(H143-I143)/VLOOKUP(C143,設定!$B$9:$D$23,2,FALSE)),"")</f>
        <v/>
      </c>
      <c r="O143" s="48">
        <f>IFERROR(IF(ISBLANK(J143),"",ABS(J143-H143)/ABS(H143-I143)),"")</f>
        <v/>
      </c>
      <c r="P143" s="50">
        <f>IFERROR(IF(OR(ISBLANK(L143),ISBLANK(E143)),"",IF(E143="Long",(L143-H143),(H143-L143))/VLOOKUP(C143,設定!$B$9:$D$23,2,FALSE)),"")</f>
        <v/>
      </c>
      <c r="Q143" s="51">
        <f>IFERROR(IF(OR(ISBLANK(P143),N143=0),"",P143/N143),"")</f>
        <v/>
      </c>
      <c r="R143" s="51">
        <f>IFERROR(IF(ISBLANK(Q143),R142,IF(ISNUMBER(R142),R142,0)+Q143),"")</f>
        <v/>
      </c>
      <c r="S143" s="52">
        <f>IFERROR(IF(OR(ISBLANK(P143),ISBLANK(K143)),"",P143*K143*VLOOKUP(C143,設定!$B$9:$D$23,3,FALSE)),"")</f>
        <v/>
      </c>
      <c r="T143" s="45" t="n"/>
    </row>
    <row r="144">
      <c r="A144" s="33">
        <f>IF(ISBLANK(B144),"",COUNTA($B$2:B144))</f>
        <v/>
      </c>
      <c r="B144" s="34" t="n"/>
      <c r="C144" s="35" t="n"/>
      <c r="D144" s="35" t="n"/>
      <c r="E144" s="35" t="n"/>
      <c r="F144" s="33" t="n"/>
      <c r="G144" s="36" t="n"/>
      <c r="H144" s="37" t="n"/>
      <c r="I144" s="37" t="n"/>
      <c r="J144" s="37" t="n"/>
      <c r="K144" s="38" t="n"/>
      <c r="L144" s="37" t="n"/>
      <c r="M144" s="35" t="n"/>
      <c r="N144" s="39">
        <f>IFERROR(IF(ISBLANK(H144),"",ABS(H144-I144)/VLOOKUP(C144,設定!$B$9:$D$23,2,FALSE)),"")</f>
        <v/>
      </c>
      <c r="O144" s="38">
        <f>IFERROR(IF(ISBLANK(J144),"",ABS(J144-H144)/ABS(H144-I144)),"")</f>
        <v/>
      </c>
      <c r="P144" s="40">
        <f>IFERROR(IF(OR(ISBLANK(L144),ISBLANK(E144)),"",IF(E144="Long",(L144-H144),(H144-L144))/VLOOKUP(C144,設定!$B$9:$D$23,2,FALSE)),"")</f>
        <v/>
      </c>
      <c r="Q144" s="41">
        <f>IFERROR(IF(OR(ISBLANK(P144),N144=0),"",P144/N144),"")</f>
        <v/>
      </c>
      <c r="R144" s="41">
        <f>IFERROR(IF(ISBLANK(Q144),R143,IF(ISNUMBER(R143),R143,0)+Q144),"")</f>
        <v/>
      </c>
      <c r="S144" s="42">
        <f>IFERROR(IF(OR(ISBLANK(P144),ISBLANK(K144)),"",P144*K144*VLOOKUP(C144,設定!$B$9:$D$23,3,FALSE)),"")</f>
        <v/>
      </c>
      <c r="T144" s="35" t="n"/>
    </row>
    <row r="145">
      <c r="A145" s="43">
        <f>IF(ISBLANK(B145),"",COUNTA($B$2:B145))</f>
        <v/>
      </c>
      <c r="B145" s="44" t="n"/>
      <c r="C145" s="45" t="n"/>
      <c r="D145" s="45" t="n"/>
      <c r="E145" s="45" t="n"/>
      <c r="F145" s="43" t="n"/>
      <c r="G145" s="46" t="n"/>
      <c r="H145" s="47" t="n"/>
      <c r="I145" s="47" t="n"/>
      <c r="J145" s="47" t="n"/>
      <c r="K145" s="48" t="n"/>
      <c r="L145" s="47" t="n"/>
      <c r="M145" s="45" t="n"/>
      <c r="N145" s="49">
        <f>IFERROR(IF(ISBLANK(H145),"",ABS(H145-I145)/VLOOKUP(C145,設定!$B$9:$D$23,2,FALSE)),"")</f>
        <v/>
      </c>
      <c r="O145" s="48">
        <f>IFERROR(IF(ISBLANK(J145),"",ABS(J145-H145)/ABS(H145-I145)),"")</f>
        <v/>
      </c>
      <c r="P145" s="50">
        <f>IFERROR(IF(OR(ISBLANK(L145),ISBLANK(E145)),"",IF(E145="Long",(L145-H145),(H145-L145))/VLOOKUP(C145,設定!$B$9:$D$23,2,FALSE)),"")</f>
        <v/>
      </c>
      <c r="Q145" s="51">
        <f>IFERROR(IF(OR(ISBLANK(P145),N145=0),"",P145/N145),"")</f>
        <v/>
      </c>
      <c r="R145" s="51">
        <f>IFERROR(IF(ISBLANK(Q145),R144,IF(ISNUMBER(R144),R144,0)+Q145),"")</f>
        <v/>
      </c>
      <c r="S145" s="52">
        <f>IFERROR(IF(OR(ISBLANK(P145),ISBLANK(K145)),"",P145*K145*VLOOKUP(C145,設定!$B$9:$D$23,3,FALSE)),"")</f>
        <v/>
      </c>
      <c r="T145" s="45" t="n"/>
    </row>
    <row r="146">
      <c r="A146" s="33">
        <f>IF(ISBLANK(B146),"",COUNTA($B$2:B146))</f>
        <v/>
      </c>
      <c r="B146" s="34" t="n"/>
      <c r="C146" s="35" t="n"/>
      <c r="D146" s="35" t="n"/>
      <c r="E146" s="35" t="n"/>
      <c r="F146" s="33" t="n"/>
      <c r="G146" s="36" t="n"/>
      <c r="H146" s="37" t="n"/>
      <c r="I146" s="37" t="n"/>
      <c r="J146" s="37" t="n"/>
      <c r="K146" s="38" t="n"/>
      <c r="L146" s="37" t="n"/>
      <c r="M146" s="35" t="n"/>
      <c r="N146" s="39">
        <f>IFERROR(IF(ISBLANK(H146),"",ABS(H146-I146)/VLOOKUP(C146,設定!$B$9:$D$23,2,FALSE)),"")</f>
        <v/>
      </c>
      <c r="O146" s="38">
        <f>IFERROR(IF(ISBLANK(J146),"",ABS(J146-H146)/ABS(H146-I146)),"")</f>
        <v/>
      </c>
      <c r="P146" s="40">
        <f>IFERROR(IF(OR(ISBLANK(L146),ISBLANK(E146)),"",IF(E146="Long",(L146-H146),(H146-L146))/VLOOKUP(C146,設定!$B$9:$D$23,2,FALSE)),"")</f>
        <v/>
      </c>
      <c r="Q146" s="41">
        <f>IFERROR(IF(OR(ISBLANK(P146),N146=0),"",P146/N146),"")</f>
        <v/>
      </c>
      <c r="R146" s="41">
        <f>IFERROR(IF(ISBLANK(Q146),R145,IF(ISNUMBER(R145),R145,0)+Q146),"")</f>
        <v/>
      </c>
      <c r="S146" s="42">
        <f>IFERROR(IF(OR(ISBLANK(P146),ISBLANK(K146)),"",P146*K146*VLOOKUP(C146,設定!$B$9:$D$23,3,FALSE)),"")</f>
        <v/>
      </c>
      <c r="T146" s="35" t="n"/>
    </row>
    <row r="147">
      <c r="A147" s="43">
        <f>IF(ISBLANK(B147),"",COUNTA($B$2:B147))</f>
        <v/>
      </c>
      <c r="B147" s="44" t="n"/>
      <c r="C147" s="45" t="n"/>
      <c r="D147" s="45" t="n"/>
      <c r="E147" s="45" t="n"/>
      <c r="F147" s="43" t="n"/>
      <c r="G147" s="46" t="n"/>
      <c r="H147" s="47" t="n"/>
      <c r="I147" s="47" t="n"/>
      <c r="J147" s="47" t="n"/>
      <c r="K147" s="48" t="n"/>
      <c r="L147" s="47" t="n"/>
      <c r="M147" s="45" t="n"/>
      <c r="N147" s="49">
        <f>IFERROR(IF(ISBLANK(H147),"",ABS(H147-I147)/VLOOKUP(C147,設定!$B$9:$D$23,2,FALSE)),"")</f>
        <v/>
      </c>
      <c r="O147" s="48">
        <f>IFERROR(IF(ISBLANK(J147),"",ABS(J147-H147)/ABS(H147-I147)),"")</f>
        <v/>
      </c>
      <c r="P147" s="50">
        <f>IFERROR(IF(OR(ISBLANK(L147),ISBLANK(E147)),"",IF(E147="Long",(L147-H147),(H147-L147))/VLOOKUP(C147,設定!$B$9:$D$23,2,FALSE)),"")</f>
        <v/>
      </c>
      <c r="Q147" s="51">
        <f>IFERROR(IF(OR(ISBLANK(P147),N147=0),"",P147/N147),"")</f>
        <v/>
      </c>
      <c r="R147" s="51">
        <f>IFERROR(IF(ISBLANK(Q147),R146,IF(ISNUMBER(R146),R146,0)+Q147),"")</f>
        <v/>
      </c>
      <c r="S147" s="52">
        <f>IFERROR(IF(OR(ISBLANK(P147),ISBLANK(K147)),"",P147*K147*VLOOKUP(C147,設定!$B$9:$D$23,3,FALSE)),"")</f>
        <v/>
      </c>
      <c r="T147" s="45" t="n"/>
    </row>
    <row r="148">
      <c r="A148" s="33">
        <f>IF(ISBLANK(B148),"",COUNTA($B$2:B148))</f>
        <v/>
      </c>
      <c r="B148" s="34" t="n"/>
      <c r="C148" s="35" t="n"/>
      <c r="D148" s="35" t="n"/>
      <c r="E148" s="35" t="n"/>
      <c r="F148" s="33" t="n"/>
      <c r="G148" s="36" t="n"/>
      <c r="H148" s="37" t="n"/>
      <c r="I148" s="37" t="n"/>
      <c r="J148" s="37" t="n"/>
      <c r="K148" s="38" t="n"/>
      <c r="L148" s="37" t="n"/>
      <c r="M148" s="35" t="n"/>
      <c r="N148" s="39">
        <f>IFERROR(IF(ISBLANK(H148),"",ABS(H148-I148)/VLOOKUP(C148,設定!$B$9:$D$23,2,FALSE)),"")</f>
        <v/>
      </c>
      <c r="O148" s="38">
        <f>IFERROR(IF(ISBLANK(J148),"",ABS(J148-H148)/ABS(H148-I148)),"")</f>
        <v/>
      </c>
      <c r="P148" s="40">
        <f>IFERROR(IF(OR(ISBLANK(L148),ISBLANK(E148)),"",IF(E148="Long",(L148-H148),(H148-L148))/VLOOKUP(C148,設定!$B$9:$D$23,2,FALSE)),"")</f>
        <v/>
      </c>
      <c r="Q148" s="41">
        <f>IFERROR(IF(OR(ISBLANK(P148),N148=0),"",P148/N148),"")</f>
        <v/>
      </c>
      <c r="R148" s="41">
        <f>IFERROR(IF(ISBLANK(Q148),R147,IF(ISNUMBER(R147),R147,0)+Q148),"")</f>
        <v/>
      </c>
      <c r="S148" s="42">
        <f>IFERROR(IF(OR(ISBLANK(P148),ISBLANK(K148)),"",P148*K148*VLOOKUP(C148,設定!$B$9:$D$23,3,FALSE)),"")</f>
        <v/>
      </c>
      <c r="T148" s="35" t="n"/>
    </row>
    <row r="149">
      <c r="A149" s="43">
        <f>IF(ISBLANK(B149),"",COUNTA($B$2:B149))</f>
        <v/>
      </c>
      <c r="B149" s="44" t="n"/>
      <c r="C149" s="45" t="n"/>
      <c r="D149" s="45" t="n"/>
      <c r="E149" s="45" t="n"/>
      <c r="F149" s="43" t="n"/>
      <c r="G149" s="46" t="n"/>
      <c r="H149" s="47" t="n"/>
      <c r="I149" s="47" t="n"/>
      <c r="J149" s="47" t="n"/>
      <c r="K149" s="48" t="n"/>
      <c r="L149" s="47" t="n"/>
      <c r="M149" s="45" t="n"/>
      <c r="N149" s="49">
        <f>IFERROR(IF(ISBLANK(H149),"",ABS(H149-I149)/VLOOKUP(C149,設定!$B$9:$D$23,2,FALSE)),"")</f>
        <v/>
      </c>
      <c r="O149" s="48">
        <f>IFERROR(IF(ISBLANK(J149),"",ABS(J149-H149)/ABS(H149-I149)),"")</f>
        <v/>
      </c>
      <c r="P149" s="50">
        <f>IFERROR(IF(OR(ISBLANK(L149),ISBLANK(E149)),"",IF(E149="Long",(L149-H149),(H149-L149))/VLOOKUP(C149,設定!$B$9:$D$23,2,FALSE)),"")</f>
        <v/>
      </c>
      <c r="Q149" s="51">
        <f>IFERROR(IF(OR(ISBLANK(P149),N149=0),"",P149/N149),"")</f>
        <v/>
      </c>
      <c r="R149" s="51">
        <f>IFERROR(IF(ISBLANK(Q149),R148,IF(ISNUMBER(R148),R148,0)+Q149),"")</f>
        <v/>
      </c>
      <c r="S149" s="52">
        <f>IFERROR(IF(OR(ISBLANK(P149),ISBLANK(K149)),"",P149*K149*VLOOKUP(C149,設定!$B$9:$D$23,3,FALSE)),"")</f>
        <v/>
      </c>
      <c r="T149" s="45" t="n"/>
    </row>
    <row r="150">
      <c r="A150" s="33">
        <f>IF(ISBLANK(B150),"",COUNTA($B$2:B150))</f>
        <v/>
      </c>
      <c r="B150" s="34" t="n"/>
      <c r="C150" s="35" t="n"/>
      <c r="D150" s="35" t="n"/>
      <c r="E150" s="35" t="n"/>
      <c r="F150" s="33" t="n"/>
      <c r="G150" s="36" t="n"/>
      <c r="H150" s="37" t="n"/>
      <c r="I150" s="37" t="n"/>
      <c r="J150" s="37" t="n"/>
      <c r="K150" s="38" t="n"/>
      <c r="L150" s="37" t="n"/>
      <c r="M150" s="35" t="n"/>
      <c r="N150" s="39">
        <f>IFERROR(IF(ISBLANK(H150),"",ABS(H150-I150)/VLOOKUP(C150,設定!$B$9:$D$23,2,FALSE)),"")</f>
        <v/>
      </c>
      <c r="O150" s="38">
        <f>IFERROR(IF(ISBLANK(J150),"",ABS(J150-H150)/ABS(H150-I150)),"")</f>
        <v/>
      </c>
      <c r="P150" s="40">
        <f>IFERROR(IF(OR(ISBLANK(L150),ISBLANK(E150)),"",IF(E150="Long",(L150-H150),(H150-L150))/VLOOKUP(C150,設定!$B$9:$D$23,2,FALSE)),"")</f>
        <v/>
      </c>
      <c r="Q150" s="41">
        <f>IFERROR(IF(OR(ISBLANK(P150),N150=0),"",P150/N150),"")</f>
        <v/>
      </c>
      <c r="R150" s="41">
        <f>IFERROR(IF(ISBLANK(Q150),R149,IF(ISNUMBER(R149),R149,0)+Q150),"")</f>
        <v/>
      </c>
      <c r="S150" s="42">
        <f>IFERROR(IF(OR(ISBLANK(P150),ISBLANK(K150)),"",P150*K150*VLOOKUP(C150,設定!$B$9:$D$23,3,FALSE)),"")</f>
        <v/>
      </c>
      <c r="T150" s="35" t="n"/>
    </row>
    <row r="151">
      <c r="A151" s="43">
        <f>IF(ISBLANK(B151),"",COUNTA($B$2:B151))</f>
        <v/>
      </c>
      <c r="B151" s="44" t="n"/>
      <c r="C151" s="45" t="n"/>
      <c r="D151" s="45" t="n"/>
      <c r="E151" s="45" t="n"/>
      <c r="F151" s="43" t="n"/>
      <c r="G151" s="46" t="n"/>
      <c r="H151" s="47" t="n"/>
      <c r="I151" s="47" t="n"/>
      <c r="J151" s="47" t="n"/>
      <c r="K151" s="48" t="n"/>
      <c r="L151" s="47" t="n"/>
      <c r="M151" s="45" t="n"/>
      <c r="N151" s="49">
        <f>IFERROR(IF(ISBLANK(H151),"",ABS(H151-I151)/VLOOKUP(C151,設定!$B$9:$D$23,2,FALSE)),"")</f>
        <v/>
      </c>
      <c r="O151" s="48">
        <f>IFERROR(IF(ISBLANK(J151),"",ABS(J151-H151)/ABS(H151-I151)),"")</f>
        <v/>
      </c>
      <c r="P151" s="50">
        <f>IFERROR(IF(OR(ISBLANK(L151),ISBLANK(E151)),"",IF(E151="Long",(L151-H151),(H151-L151))/VLOOKUP(C151,設定!$B$9:$D$23,2,FALSE)),"")</f>
        <v/>
      </c>
      <c r="Q151" s="51">
        <f>IFERROR(IF(OR(ISBLANK(P151),N151=0),"",P151/N151),"")</f>
        <v/>
      </c>
      <c r="R151" s="51">
        <f>IFERROR(IF(ISBLANK(Q151),R150,IF(ISNUMBER(R150),R150,0)+Q151),"")</f>
        <v/>
      </c>
      <c r="S151" s="52">
        <f>IFERROR(IF(OR(ISBLANK(P151),ISBLANK(K151)),"",P151*K151*VLOOKUP(C151,設定!$B$9:$D$23,3,FALSE)),"")</f>
        <v/>
      </c>
      <c r="T151" s="45" t="n"/>
    </row>
    <row r="152">
      <c r="A152" s="33">
        <f>IF(ISBLANK(B152),"",COUNTA($B$2:B152))</f>
        <v/>
      </c>
      <c r="B152" s="34" t="n"/>
      <c r="C152" s="35" t="n"/>
      <c r="D152" s="35" t="n"/>
      <c r="E152" s="35" t="n"/>
      <c r="F152" s="33" t="n"/>
      <c r="G152" s="36" t="n"/>
      <c r="H152" s="37" t="n"/>
      <c r="I152" s="37" t="n"/>
      <c r="J152" s="37" t="n"/>
      <c r="K152" s="38" t="n"/>
      <c r="L152" s="37" t="n"/>
      <c r="M152" s="35" t="n"/>
      <c r="N152" s="39">
        <f>IFERROR(IF(ISBLANK(H152),"",ABS(H152-I152)/VLOOKUP(C152,設定!$B$9:$D$23,2,FALSE)),"")</f>
        <v/>
      </c>
      <c r="O152" s="38">
        <f>IFERROR(IF(ISBLANK(J152),"",ABS(J152-H152)/ABS(H152-I152)),"")</f>
        <v/>
      </c>
      <c r="P152" s="40">
        <f>IFERROR(IF(OR(ISBLANK(L152),ISBLANK(E152)),"",IF(E152="Long",(L152-H152),(H152-L152))/VLOOKUP(C152,設定!$B$9:$D$23,2,FALSE)),"")</f>
        <v/>
      </c>
      <c r="Q152" s="41">
        <f>IFERROR(IF(OR(ISBLANK(P152),N152=0),"",P152/N152),"")</f>
        <v/>
      </c>
      <c r="R152" s="41">
        <f>IFERROR(IF(ISBLANK(Q152),R151,IF(ISNUMBER(R151),R151,0)+Q152),"")</f>
        <v/>
      </c>
      <c r="S152" s="42">
        <f>IFERROR(IF(OR(ISBLANK(P152),ISBLANK(K152)),"",P152*K152*VLOOKUP(C152,設定!$B$9:$D$23,3,FALSE)),"")</f>
        <v/>
      </c>
      <c r="T152" s="35" t="n"/>
    </row>
    <row r="153">
      <c r="A153" s="43">
        <f>IF(ISBLANK(B153),"",COUNTA($B$2:B153))</f>
        <v/>
      </c>
      <c r="B153" s="44" t="n"/>
      <c r="C153" s="45" t="n"/>
      <c r="D153" s="45" t="n"/>
      <c r="E153" s="45" t="n"/>
      <c r="F153" s="43" t="n"/>
      <c r="G153" s="46" t="n"/>
      <c r="H153" s="47" t="n"/>
      <c r="I153" s="47" t="n"/>
      <c r="J153" s="47" t="n"/>
      <c r="K153" s="48" t="n"/>
      <c r="L153" s="47" t="n"/>
      <c r="M153" s="45" t="n"/>
      <c r="N153" s="49">
        <f>IFERROR(IF(ISBLANK(H153),"",ABS(H153-I153)/VLOOKUP(C153,設定!$B$9:$D$23,2,FALSE)),"")</f>
        <v/>
      </c>
      <c r="O153" s="48">
        <f>IFERROR(IF(ISBLANK(J153),"",ABS(J153-H153)/ABS(H153-I153)),"")</f>
        <v/>
      </c>
      <c r="P153" s="50">
        <f>IFERROR(IF(OR(ISBLANK(L153),ISBLANK(E153)),"",IF(E153="Long",(L153-H153),(H153-L153))/VLOOKUP(C153,設定!$B$9:$D$23,2,FALSE)),"")</f>
        <v/>
      </c>
      <c r="Q153" s="51">
        <f>IFERROR(IF(OR(ISBLANK(P153),N153=0),"",P153/N153),"")</f>
        <v/>
      </c>
      <c r="R153" s="51">
        <f>IFERROR(IF(ISBLANK(Q153),R152,IF(ISNUMBER(R152),R152,0)+Q153),"")</f>
        <v/>
      </c>
      <c r="S153" s="52">
        <f>IFERROR(IF(OR(ISBLANK(P153),ISBLANK(K153)),"",P153*K153*VLOOKUP(C153,設定!$B$9:$D$23,3,FALSE)),"")</f>
        <v/>
      </c>
      <c r="T153" s="45" t="n"/>
    </row>
    <row r="154">
      <c r="A154" s="33">
        <f>IF(ISBLANK(B154),"",COUNTA($B$2:B154))</f>
        <v/>
      </c>
      <c r="B154" s="34" t="n"/>
      <c r="C154" s="35" t="n"/>
      <c r="D154" s="35" t="n"/>
      <c r="E154" s="35" t="n"/>
      <c r="F154" s="33" t="n"/>
      <c r="G154" s="36" t="n"/>
      <c r="H154" s="37" t="n"/>
      <c r="I154" s="37" t="n"/>
      <c r="J154" s="37" t="n"/>
      <c r="K154" s="38" t="n"/>
      <c r="L154" s="37" t="n"/>
      <c r="M154" s="35" t="n"/>
      <c r="N154" s="39">
        <f>IFERROR(IF(ISBLANK(H154),"",ABS(H154-I154)/VLOOKUP(C154,設定!$B$9:$D$23,2,FALSE)),"")</f>
        <v/>
      </c>
      <c r="O154" s="38">
        <f>IFERROR(IF(ISBLANK(J154),"",ABS(J154-H154)/ABS(H154-I154)),"")</f>
        <v/>
      </c>
      <c r="P154" s="40">
        <f>IFERROR(IF(OR(ISBLANK(L154),ISBLANK(E154)),"",IF(E154="Long",(L154-H154),(H154-L154))/VLOOKUP(C154,設定!$B$9:$D$23,2,FALSE)),"")</f>
        <v/>
      </c>
      <c r="Q154" s="41">
        <f>IFERROR(IF(OR(ISBLANK(P154),N154=0),"",P154/N154),"")</f>
        <v/>
      </c>
      <c r="R154" s="41">
        <f>IFERROR(IF(ISBLANK(Q154),R153,IF(ISNUMBER(R153),R153,0)+Q154),"")</f>
        <v/>
      </c>
      <c r="S154" s="42">
        <f>IFERROR(IF(OR(ISBLANK(P154),ISBLANK(K154)),"",P154*K154*VLOOKUP(C154,設定!$B$9:$D$23,3,FALSE)),"")</f>
        <v/>
      </c>
      <c r="T154" s="35" t="n"/>
    </row>
    <row r="155">
      <c r="A155" s="43">
        <f>IF(ISBLANK(B155),"",COUNTA($B$2:B155))</f>
        <v/>
      </c>
      <c r="B155" s="44" t="n"/>
      <c r="C155" s="45" t="n"/>
      <c r="D155" s="45" t="n"/>
      <c r="E155" s="45" t="n"/>
      <c r="F155" s="43" t="n"/>
      <c r="G155" s="46" t="n"/>
      <c r="H155" s="47" t="n"/>
      <c r="I155" s="47" t="n"/>
      <c r="J155" s="47" t="n"/>
      <c r="K155" s="48" t="n"/>
      <c r="L155" s="47" t="n"/>
      <c r="M155" s="45" t="n"/>
      <c r="N155" s="49">
        <f>IFERROR(IF(ISBLANK(H155),"",ABS(H155-I155)/VLOOKUP(C155,設定!$B$9:$D$23,2,FALSE)),"")</f>
        <v/>
      </c>
      <c r="O155" s="48">
        <f>IFERROR(IF(ISBLANK(J155),"",ABS(J155-H155)/ABS(H155-I155)),"")</f>
        <v/>
      </c>
      <c r="P155" s="50">
        <f>IFERROR(IF(OR(ISBLANK(L155),ISBLANK(E155)),"",IF(E155="Long",(L155-H155),(H155-L155))/VLOOKUP(C155,設定!$B$9:$D$23,2,FALSE)),"")</f>
        <v/>
      </c>
      <c r="Q155" s="51">
        <f>IFERROR(IF(OR(ISBLANK(P155),N155=0),"",P155/N155),"")</f>
        <v/>
      </c>
      <c r="R155" s="51">
        <f>IFERROR(IF(ISBLANK(Q155),R154,IF(ISNUMBER(R154),R154,0)+Q155),"")</f>
        <v/>
      </c>
      <c r="S155" s="52">
        <f>IFERROR(IF(OR(ISBLANK(P155),ISBLANK(K155)),"",P155*K155*VLOOKUP(C155,設定!$B$9:$D$23,3,FALSE)),"")</f>
        <v/>
      </c>
      <c r="T155" s="45" t="n"/>
    </row>
    <row r="156">
      <c r="A156" s="33">
        <f>IF(ISBLANK(B156),"",COUNTA($B$2:B156))</f>
        <v/>
      </c>
      <c r="B156" s="34" t="n"/>
      <c r="C156" s="35" t="n"/>
      <c r="D156" s="35" t="n"/>
      <c r="E156" s="35" t="n"/>
      <c r="F156" s="33" t="n"/>
      <c r="G156" s="36" t="n"/>
      <c r="H156" s="37" t="n"/>
      <c r="I156" s="37" t="n"/>
      <c r="J156" s="37" t="n"/>
      <c r="K156" s="38" t="n"/>
      <c r="L156" s="37" t="n"/>
      <c r="M156" s="35" t="n"/>
      <c r="N156" s="39">
        <f>IFERROR(IF(ISBLANK(H156),"",ABS(H156-I156)/VLOOKUP(C156,設定!$B$9:$D$23,2,FALSE)),"")</f>
        <v/>
      </c>
      <c r="O156" s="38">
        <f>IFERROR(IF(ISBLANK(J156),"",ABS(J156-H156)/ABS(H156-I156)),"")</f>
        <v/>
      </c>
      <c r="P156" s="40">
        <f>IFERROR(IF(OR(ISBLANK(L156),ISBLANK(E156)),"",IF(E156="Long",(L156-H156),(H156-L156))/VLOOKUP(C156,設定!$B$9:$D$23,2,FALSE)),"")</f>
        <v/>
      </c>
      <c r="Q156" s="41">
        <f>IFERROR(IF(OR(ISBLANK(P156),N156=0),"",P156/N156),"")</f>
        <v/>
      </c>
      <c r="R156" s="41">
        <f>IFERROR(IF(ISBLANK(Q156),R155,IF(ISNUMBER(R155),R155,0)+Q156),"")</f>
        <v/>
      </c>
      <c r="S156" s="42">
        <f>IFERROR(IF(OR(ISBLANK(P156),ISBLANK(K156)),"",P156*K156*VLOOKUP(C156,設定!$B$9:$D$23,3,FALSE)),"")</f>
        <v/>
      </c>
      <c r="T156" s="35" t="n"/>
    </row>
    <row r="157">
      <c r="A157" s="43">
        <f>IF(ISBLANK(B157),"",COUNTA($B$2:B157))</f>
        <v/>
      </c>
      <c r="B157" s="44" t="n"/>
      <c r="C157" s="45" t="n"/>
      <c r="D157" s="45" t="n"/>
      <c r="E157" s="45" t="n"/>
      <c r="F157" s="43" t="n"/>
      <c r="G157" s="46" t="n"/>
      <c r="H157" s="47" t="n"/>
      <c r="I157" s="47" t="n"/>
      <c r="J157" s="47" t="n"/>
      <c r="K157" s="48" t="n"/>
      <c r="L157" s="47" t="n"/>
      <c r="M157" s="45" t="n"/>
      <c r="N157" s="49">
        <f>IFERROR(IF(ISBLANK(H157),"",ABS(H157-I157)/VLOOKUP(C157,設定!$B$9:$D$23,2,FALSE)),"")</f>
        <v/>
      </c>
      <c r="O157" s="48">
        <f>IFERROR(IF(ISBLANK(J157),"",ABS(J157-H157)/ABS(H157-I157)),"")</f>
        <v/>
      </c>
      <c r="P157" s="50">
        <f>IFERROR(IF(OR(ISBLANK(L157),ISBLANK(E157)),"",IF(E157="Long",(L157-H157),(H157-L157))/VLOOKUP(C157,設定!$B$9:$D$23,2,FALSE)),"")</f>
        <v/>
      </c>
      <c r="Q157" s="51">
        <f>IFERROR(IF(OR(ISBLANK(P157),N157=0),"",P157/N157),"")</f>
        <v/>
      </c>
      <c r="R157" s="51">
        <f>IFERROR(IF(ISBLANK(Q157),R156,IF(ISNUMBER(R156),R156,0)+Q157),"")</f>
        <v/>
      </c>
      <c r="S157" s="52">
        <f>IFERROR(IF(OR(ISBLANK(P157),ISBLANK(K157)),"",P157*K157*VLOOKUP(C157,設定!$B$9:$D$23,3,FALSE)),"")</f>
        <v/>
      </c>
      <c r="T157" s="45" t="n"/>
    </row>
    <row r="158">
      <c r="A158" s="33">
        <f>IF(ISBLANK(B158),"",COUNTA($B$2:B158))</f>
        <v/>
      </c>
      <c r="B158" s="34" t="n"/>
      <c r="C158" s="35" t="n"/>
      <c r="D158" s="35" t="n"/>
      <c r="E158" s="35" t="n"/>
      <c r="F158" s="33" t="n"/>
      <c r="G158" s="36" t="n"/>
      <c r="H158" s="37" t="n"/>
      <c r="I158" s="37" t="n"/>
      <c r="J158" s="37" t="n"/>
      <c r="K158" s="38" t="n"/>
      <c r="L158" s="37" t="n"/>
      <c r="M158" s="35" t="n"/>
      <c r="N158" s="39">
        <f>IFERROR(IF(ISBLANK(H158),"",ABS(H158-I158)/VLOOKUP(C158,設定!$B$9:$D$23,2,FALSE)),"")</f>
        <v/>
      </c>
      <c r="O158" s="38">
        <f>IFERROR(IF(ISBLANK(J158),"",ABS(J158-H158)/ABS(H158-I158)),"")</f>
        <v/>
      </c>
      <c r="P158" s="40">
        <f>IFERROR(IF(OR(ISBLANK(L158),ISBLANK(E158)),"",IF(E158="Long",(L158-H158),(H158-L158))/VLOOKUP(C158,設定!$B$9:$D$23,2,FALSE)),"")</f>
        <v/>
      </c>
      <c r="Q158" s="41">
        <f>IFERROR(IF(OR(ISBLANK(P158),N158=0),"",P158/N158),"")</f>
        <v/>
      </c>
      <c r="R158" s="41">
        <f>IFERROR(IF(ISBLANK(Q158),R157,IF(ISNUMBER(R157),R157,0)+Q158),"")</f>
        <v/>
      </c>
      <c r="S158" s="42">
        <f>IFERROR(IF(OR(ISBLANK(P158),ISBLANK(K158)),"",P158*K158*VLOOKUP(C158,設定!$B$9:$D$23,3,FALSE)),"")</f>
        <v/>
      </c>
      <c r="T158" s="35" t="n"/>
    </row>
    <row r="159">
      <c r="A159" s="43">
        <f>IF(ISBLANK(B159),"",COUNTA($B$2:B159))</f>
        <v/>
      </c>
      <c r="B159" s="44" t="n"/>
      <c r="C159" s="45" t="n"/>
      <c r="D159" s="45" t="n"/>
      <c r="E159" s="45" t="n"/>
      <c r="F159" s="43" t="n"/>
      <c r="G159" s="46" t="n"/>
      <c r="H159" s="47" t="n"/>
      <c r="I159" s="47" t="n"/>
      <c r="J159" s="47" t="n"/>
      <c r="K159" s="48" t="n"/>
      <c r="L159" s="47" t="n"/>
      <c r="M159" s="45" t="n"/>
      <c r="N159" s="49">
        <f>IFERROR(IF(ISBLANK(H159),"",ABS(H159-I159)/VLOOKUP(C159,設定!$B$9:$D$23,2,FALSE)),"")</f>
        <v/>
      </c>
      <c r="O159" s="48">
        <f>IFERROR(IF(ISBLANK(J159),"",ABS(J159-H159)/ABS(H159-I159)),"")</f>
        <v/>
      </c>
      <c r="P159" s="50">
        <f>IFERROR(IF(OR(ISBLANK(L159),ISBLANK(E159)),"",IF(E159="Long",(L159-H159),(H159-L159))/VLOOKUP(C159,設定!$B$9:$D$23,2,FALSE)),"")</f>
        <v/>
      </c>
      <c r="Q159" s="51">
        <f>IFERROR(IF(OR(ISBLANK(P159),N159=0),"",P159/N159),"")</f>
        <v/>
      </c>
      <c r="R159" s="51">
        <f>IFERROR(IF(ISBLANK(Q159),R158,IF(ISNUMBER(R158),R158,0)+Q159),"")</f>
        <v/>
      </c>
      <c r="S159" s="52">
        <f>IFERROR(IF(OR(ISBLANK(P159),ISBLANK(K159)),"",P159*K159*VLOOKUP(C159,設定!$B$9:$D$23,3,FALSE)),"")</f>
        <v/>
      </c>
      <c r="T159" s="45" t="n"/>
    </row>
    <row r="160">
      <c r="A160" s="33">
        <f>IF(ISBLANK(B160),"",COUNTA($B$2:B160))</f>
        <v/>
      </c>
      <c r="B160" s="34" t="n"/>
      <c r="C160" s="35" t="n"/>
      <c r="D160" s="35" t="n"/>
      <c r="E160" s="35" t="n"/>
      <c r="F160" s="33" t="n"/>
      <c r="G160" s="36" t="n"/>
      <c r="H160" s="37" t="n"/>
      <c r="I160" s="37" t="n"/>
      <c r="J160" s="37" t="n"/>
      <c r="K160" s="38" t="n"/>
      <c r="L160" s="37" t="n"/>
      <c r="M160" s="35" t="n"/>
      <c r="N160" s="39">
        <f>IFERROR(IF(ISBLANK(H160),"",ABS(H160-I160)/VLOOKUP(C160,設定!$B$9:$D$23,2,FALSE)),"")</f>
        <v/>
      </c>
      <c r="O160" s="38">
        <f>IFERROR(IF(ISBLANK(J160),"",ABS(J160-H160)/ABS(H160-I160)),"")</f>
        <v/>
      </c>
      <c r="P160" s="40">
        <f>IFERROR(IF(OR(ISBLANK(L160),ISBLANK(E160)),"",IF(E160="Long",(L160-H160),(H160-L160))/VLOOKUP(C160,設定!$B$9:$D$23,2,FALSE)),"")</f>
        <v/>
      </c>
      <c r="Q160" s="41">
        <f>IFERROR(IF(OR(ISBLANK(P160),N160=0),"",P160/N160),"")</f>
        <v/>
      </c>
      <c r="R160" s="41">
        <f>IFERROR(IF(ISBLANK(Q160),R159,IF(ISNUMBER(R159),R159,0)+Q160),"")</f>
        <v/>
      </c>
      <c r="S160" s="42">
        <f>IFERROR(IF(OR(ISBLANK(P160),ISBLANK(K160)),"",P160*K160*VLOOKUP(C160,設定!$B$9:$D$23,3,FALSE)),"")</f>
        <v/>
      </c>
      <c r="T160" s="35" t="n"/>
    </row>
    <row r="161">
      <c r="A161" s="43">
        <f>IF(ISBLANK(B161),"",COUNTA($B$2:B161))</f>
        <v/>
      </c>
      <c r="B161" s="44" t="n"/>
      <c r="C161" s="45" t="n"/>
      <c r="D161" s="45" t="n"/>
      <c r="E161" s="45" t="n"/>
      <c r="F161" s="43" t="n"/>
      <c r="G161" s="46" t="n"/>
      <c r="H161" s="47" t="n"/>
      <c r="I161" s="47" t="n"/>
      <c r="J161" s="47" t="n"/>
      <c r="K161" s="48" t="n"/>
      <c r="L161" s="47" t="n"/>
      <c r="M161" s="45" t="n"/>
      <c r="N161" s="49">
        <f>IFERROR(IF(ISBLANK(H161),"",ABS(H161-I161)/VLOOKUP(C161,設定!$B$9:$D$23,2,FALSE)),"")</f>
        <v/>
      </c>
      <c r="O161" s="48">
        <f>IFERROR(IF(ISBLANK(J161),"",ABS(J161-H161)/ABS(H161-I161)),"")</f>
        <v/>
      </c>
      <c r="P161" s="50">
        <f>IFERROR(IF(OR(ISBLANK(L161),ISBLANK(E161)),"",IF(E161="Long",(L161-H161),(H161-L161))/VLOOKUP(C161,設定!$B$9:$D$23,2,FALSE)),"")</f>
        <v/>
      </c>
      <c r="Q161" s="51">
        <f>IFERROR(IF(OR(ISBLANK(P161),N161=0),"",P161/N161),"")</f>
        <v/>
      </c>
      <c r="R161" s="51">
        <f>IFERROR(IF(ISBLANK(Q161),R160,IF(ISNUMBER(R160),R160,0)+Q161),"")</f>
        <v/>
      </c>
      <c r="S161" s="52">
        <f>IFERROR(IF(OR(ISBLANK(P161),ISBLANK(K161)),"",P161*K161*VLOOKUP(C161,設定!$B$9:$D$23,3,FALSE)),"")</f>
        <v/>
      </c>
      <c r="T161" s="45" t="n"/>
    </row>
    <row r="162">
      <c r="A162" s="33">
        <f>IF(ISBLANK(B162),"",COUNTA($B$2:B162))</f>
        <v/>
      </c>
      <c r="B162" s="34" t="n"/>
      <c r="C162" s="35" t="n"/>
      <c r="D162" s="35" t="n"/>
      <c r="E162" s="35" t="n"/>
      <c r="F162" s="33" t="n"/>
      <c r="G162" s="36" t="n"/>
      <c r="H162" s="37" t="n"/>
      <c r="I162" s="37" t="n"/>
      <c r="J162" s="37" t="n"/>
      <c r="K162" s="38" t="n"/>
      <c r="L162" s="37" t="n"/>
      <c r="M162" s="35" t="n"/>
      <c r="N162" s="39">
        <f>IFERROR(IF(ISBLANK(H162),"",ABS(H162-I162)/VLOOKUP(C162,設定!$B$9:$D$23,2,FALSE)),"")</f>
        <v/>
      </c>
      <c r="O162" s="38">
        <f>IFERROR(IF(ISBLANK(J162),"",ABS(J162-H162)/ABS(H162-I162)),"")</f>
        <v/>
      </c>
      <c r="P162" s="40">
        <f>IFERROR(IF(OR(ISBLANK(L162),ISBLANK(E162)),"",IF(E162="Long",(L162-H162),(H162-L162))/VLOOKUP(C162,設定!$B$9:$D$23,2,FALSE)),"")</f>
        <v/>
      </c>
      <c r="Q162" s="41">
        <f>IFERROR(IF(OR(ISBLANK(P162),N162=0),"",P162/N162),"")</f>
        <v/>
      </c>
      <c r="R162" s="41">
        <f>IFERROR(IF(ISBLANK(Q162),R161,IF(ISNUMBER(R161),R161,0)+Q162),"")</f>
        <v/>
      </c>
      <c r="S162" s="42">
        <f>IFERROR(IF(OR(ISBLANK(P162),ISBLANK(K162)),"",P162*K162*VLOOKUP(C162,設定!$B$9:$D$23,3,FALSE)),"")</f>
        <v/>
      </c>
      <c r="T162" s="35" t="n"/>
    </row>
    <row r="163">
      <c r="A163" s="43">
        <f>IF(ISBLANK(B163),"",COUNTA($B$2:B163))</f>
        <v/>
      </c>
      <c r="B163" s="44" t="n"/>
      <c r="C163" s="45" t="n"/>
      <c r="D163" s="45" t="n"/>
      <c r="E163" s="45" t="n"/>
      <c r="F163" s="43" t="n"/>
      <c r="G163" s="46" t="n"/>
      <c r="H163" s="47" t="n"/>
      <c r="I163" s="47" t="n"/>
      <c r="J163" s="47" t="n"/>
      <c r="K163" s="48" t="n"/>
      <c r="L163" s="47" t="n"/>
      <c r="M163" s="45" t="n"/>
      <c r="N163" s="49">
        <f>IFERROR(IF(ISBLANK(H163),"",ABS(H163-I163)/VLOOKUP(C163,設定!$B$9:$D$23,2,FALSE)),"")</f>
        <v/>
      </c>
      <c r="O163" s="48">
        <f>IFERROR(IF(ISBLANK(J163),"",ABS(J163-H163)/ABS(H163-I163)),"")</f>
        <v/>
      </c>
      <c r="P163" s="50">
        <f>IFERROR(IF(OR(ISBLANK(L163),ISBLANK(E163)),"",IF(E163="Long",(L163-H163),(H163-L163))/VLOOKUP(C163,設定!$B$9:$D$23,2,FALSE)),"")</f>
        <v/>
      </c>
      <c r="Q163" s="51">
        <f>IFERROR(IF(OR(ISBLANK(P163),N163=0),"",P163/N163),"")</f>
        <v/>
      </c>
      <c r="R163" s="51">
        <f>IFERROR(IF(ISBLANK(Q163),R162,IF(ISNUMBER(R162),R162,0)+Q163),"")</f>
        <v/>
      </c>
      <c r="S163" s="52">
        <f>IFERROR(IF(OR(ISBLANK(P163),ISBLANK(K163)),"",P163*K163*VLOOKUP(C163,設定!$B$9:$D$23,3,FALSE)),"")</f>
        <v/>
      </c>
      <c r="T163" s="45" t="n"/>
    </row>
    <row r="164">
      <c r="A164" s="33">
        <f>IF(ISBLANK(B164),"",COUNTA($B$2:B164))</f>
        <v/>
      </c>
      <c r="B164" s="34" t="n"/>
      <c r="C164" s="35" t="n"/>
      <c r="D164" s="35" t="n"/>
      <c r="E164" s="35" t="n"/>
      <c r="F164" s="33" t="n"/>
      <c r="G164" s="36" t="n"/>
      <c r="H164" s="37" t="n"/>
      <c r="I164" s="37" t="n"/>
      <c r="J164" s="37" t="n"/>
      <c r="K164" s="38" t="n"/>
      <c r="L164" s="37" t="n"/>
      <c r="M164" s="35" t="n"/>
      <c r="N164" s="39">
        <f>IFERROR(IF(ISBLANK(H164),"",ABS(H164-I164)/VLOOKUP(C164,設定!$B$9:$D$23,2,FALSE)),"")</f>
        <v/>
      </c>
      <c r="O164" s="38">
        <f>IFERROR(IF(ISBLANK(J164),"",ABS(J164-H164)/ABS(H164-I164)),"")</f>
        <v/>
      </c>
      <c r="P164" s="40">
        <f>IFERROR(IF(OR(ISBLANK(L164),ISBLANK(E164)),"",IF(E164="Long",(L164-H164),(H164-L164))/VLOOKUP(C164,設定!$B$9:$D$23,2,FALSE)),"")</f>
        <v/>
      </c>
      <c r="Q164" s="41">
        <f>IFERROR(IF(OR(ISBLANK(P164),N164=0),"",P164/N164),"")</f>
        <v/>
      </c>
      <c r="R164" s="41">
        <f>IFERROR(IF(ISBLANK(Q164),R163,IF(ISNUMBER(R163),R163,0)+Q164),"")</f>
        <v/>
      </c>
      <c r="S164" s="42">
        <f>IFERROR(IF(OR(ISBLANK(P164),ISBLANK(K164)),"",P164*K164*VLOOKUP(C164,設定!$B$9:$D$23,3,FALSE)),"")</f>
        <v/>
      </c>
      <c r="T164" s="35" t="n"/>
    </row>
    <row r="165">
      <c r="A165" s="43">
        <f>IF(ISBLANK(B165),"",COUNTA($B$2:B165))</f>
        <v/>
      </c>
      <c r="B165" s="44" t="n"/>
      <c r="C165" s="45" t="n"/>
      <c r="D165" s="45" t="n"/>
      <c r="E165" s="45" t="n"/>
      <c r="F165" s="43" t="n"/>
      <c r="G165" s="46" t="n"/>
      <c r="H165" s="47" t="n"/>
      <c r="I165" s="47" t="n"/>
      <c r="J165" s="47" t="n"/>
      <c r="K165" s="48" t="n"/>
      <c r="L165" s="47" t="n"/>
      <c r="M165" s="45" t="n"/>
      <c r="N165" s="49">
        <f>IFERROR(IF(ISBLANK(H165),"",ABS(H165-I165)/VLOOKUP(C165,設定!$B$9:$D$23,2,FALSE)),"")</f>
        <v/>
      </c>
      <c r="O165" s="48">
        <f>IFERROR(IF(ISBLANK(J165),"",ABS(J165-H165)/ABS(H165-I165)),"")</f>
        <v/>
      </c>
      <c r="P165" s="50">
        <f>IFERROR(IF(OR(ISBLANK(L165),ISBLANK(E165)),"",IF(E165="Long",(L165-H165),(H165-L165))/VLOOKUP(C165,設定!$B$9:$D$23,2,FALSE)),"")</f>
        <v/>
      </c>
      <c r="Q165" s="51">
        <f>IFERROR(IF(OR(ISBLANK(P165),N165=0),"",P165/N165),"")</f>
        <v/>
      </c>
      <c r="R165" s="51">
        <f>IFERROR(IF(ISBLANK(Q165),R164,IF(ISNUMBER(R164),R164,0)+Q165),"")</f>
        <v/>
      </c>
      <c r="S165" s="52">
        <f>IFERROR(IF(OR(ISBLANK(P165),ISBLANK(K165)),"",P165*K165*VLOOKUP(C165,設定!$B$9:$D$23,3,FALSE)),"")</f>
        <v/>
      </c>
      <c r="T165" s="45" t="n"/>
    </row>
    <row r="166">
      <c r="A166" s="33">
        <f>IF(ISBLANK(B166),"",COUNTA($B$2:B166))</f>
        <v/>
      </c>
      <c r="B166" s="34" t="n"/>
      <c r="C166" s="35" t="n"/>
      <c r="D166" s="35" t="n"/>
      <c r="E166" s="35" t="n"/>
      <c r="F166" s="33" t="n"/>
      <c r="G166" s="36" t="n"/>
      <c r="H166" s="37" t="n"/>
      <c r="I166" s="37" t="n"/>
      <c r="J166" s="37" t="n"/>
      <c r="K166" s="38" t="n"/>
      <c r="L166" s="37" t="n"/>
      <c r="M166" s="35" t="n"/>
      <c r="N166" s="39">
        <f>IFERROR(IF(ISBLANK(H166),"",ABS(H166-I166)/VLOOKUP(C166,設定!$B$9:$D$23,2,FALSE)),"")</f>
        <v/>
      </c>
      <c r="O166" s="38">
        <f>IFERROR(IF(ISBLANK(J166),"",ABS(J166-H166)/ABS(H166-I166)),"")</f>
        <v/>
      </c>
      <c r="P166" s="40">
        <f>IFERROR(IF(OR(ISBLANK(L166),ISBLANK(E166)),"",IF(E166="Long",(L166-H166),(H166-L166))/VLOOKUP(C166,設定!$B$9:$D$23,2,FALSE)),"")</f>
        <v/>
      </c>
      <c r="Q166" s="41">
        <f>IFERROR(IF(OR(ISBLANK(P166),N166=0),"",P166/N166),"")</f>
        <v/>
      </c>
      <c r="R166" s="41">
        <f>IFERROR(IF(ISBLANK(Q166),R165,IF(ISNUMBER(R165),R165,0)+Q166),"")</f>
        <v/>
      </c>
      <c r="S166" s="42">
        <f>IFERROR(IF(OR(ISBLANK(P166),ISBLANK(K166)),"",P166*K166*VLOOKUP(C166,設定!$B$9:$D$23,3,FALSE)),"")</f>
        <v/>
      </c>
      <c r="T166" s="35" t="n"/>
    </row>
    <row r="167">
      <c r="A167" s="43">
        <f>IF(ISBLANK(B167),"",COUNTA($B$2:B167))</f>
        <v/>
      </c>
      <c r="B167" s="44" t="n"/>
      <c r="C167" s="45" t="n"/>
      <c r="D167" s="45" t="n"/>
      <c r="E167" s="45" t="n"/>
      <c r="F167" s="43" t="n"/>
      <c r="G167" s="46" t="n"/>
      <c r="H167" s="47" t="n"/>
      <c r="I167" s="47" t="n"/>
      <c r="J167" s="47" t="n"/>
      <c r="K167" s="48" t="n"/>
      <c r="L167" s="47" t="n"/>
      <c r="M167" s="45" t="n"/>
      <c r="N167" s="49">
        <f>IFERROR(IF(ISBLANK(H167),"",ABS(H167-I167)/VLOOKUP(C167,設定!$B$9:$D$23,2,FALSE)),"")</f>
        <v/>
      </c>
      <c r="O167" s="48">
        <f>IFERROR(IF(ISBLANK(J167),"",ABS(J167-H167)/ABS(H167-I167)),"")</f>
        <v/>
      </c>
      <c r="P167" s="50">
        <f>IFERROR(IF(OR(ISBLANK(L167),ISBLANK(E167)),"",IF(E167="Long",(L167-H167),(H167-L167))/VLOOKUP(C167,設定!$B$9:$D$23,2,FALSE)),"")</f>
        <v/>
      </c>
      <c r="Q167" s="51">
        <f>IFERROR(IF(OR(ISBLANK(P167),N167=0),"",P167/N167),"")</f>
        <v/>
      </c>
      <c r="R167" s="51">
        <f>IFERROR(IF(ISBLANK(Q167),R166,IF(ISNUMBER(R166),R166,0)+Q167),"")</f>
        <v/>
      </c>
      <c r="S167" s="52">
        <f>IFERROR(IF(OR(ISBLANK(P167),ISBLANK(K167)),"",P167*K167*VLOOKUP(C167,設定!$B$9:$D$23,3,FALSE)),"")</f>
        <v/>
      </c>
      <c r="T167" s="45" t="n"/>
    </row>
    <row r="168">
      <c r="A168" s="33">
        <f>IF(ISBLANK(B168),"",COUNTA($B$2:B168))</f>
        <v/>
      </c>
      <c r="B168" s="34" t="n"/>
      <c r="C168" s="35" t="n"/>
      <c r="D168" s="35" t="n"/>
      <c r="E168" s="35" t="n"/>
      <c r="F168" s="33" t="n"/>
      <c r="G168" s="36" t="n"/>
      <c r="H168" s="37" t="n"/>
      <c r="I168" s="37" t="n"/>
      <c r="J168" s="37" t="n"/>
      <c r="K168" s="38" t="n"/>
      <c r="L168" s="37" t="n"/>
      <c r="M168" s="35" t="n"/>
      <c r="N168" s="39">
        <f>IFERROR(IF(ISBLANK(H168),"",ABS(H168-I168)/VLOOKUP(C168,設定!$B$9:$D$23,2,FALSE)),"")</f>
        <v/>
      </c>
      <c r="O168" s="38">
        <f>IFERROR(IF(ISBLANK(J168),"",ABS(J168-H168)/ABS(H168-I168)),"")</f>
        <v/>
      </c>
      <c r="P168" s="40">
        <f>IFERROR(IF(OR(ISBLANK(L168),ISBLANK(E168)),"",IF(E168="Long",(L168-H168),(H168-L168))/VLOOKUP(C168,設定!$B$9:$D$23,2,FALSE)),"")</f>
        <v/>
      </c>
      <c r="Q168" s="41">
        <f>IFERROR(IF(OR(ISBLANK(P168),N168=0),"",P168/N168),"")</f>
        <v/>
      </c>
      <c r="R168" s="41">
        <f>IFERROR(IF(ISBLANK(Q168),R167,IF(ISNUMBER(R167),R167,0)+Q168),"")</f>
        <v/>
      </c>
      <c r="S168" s="42">
        <f>IFERROR(IF(OR(ISBLANK(P168),ISBLANK(K168)),"",P168*K168*VLOOKUP(C168,設定!$B$9:$D$23,3,FALSE)),"")</f>
        <v/>
      </c>
      <c r="T168" s="35" t="n"/>
    </row>
    <row r="169">
      <c r="A169" s="43">
        <f>IF(ISBLANK(B169),"",COUNTA($B$2:B169))</f>
        <v/>
      </c>
      <c r="B169" s="44" t="n"/>
      <c r="C169" s="45" t="n"/>
      <c r="D169" s="45" t="n"/>
      <c r="E169" s="45" t="n"/>
      <c r="F169" s="43" t="n"/>
      <c r="G169" s="46" t="n"/>
      <c r="H169" s="47" t="n"/>
      <c r="I169" s="47" t="n"/>
      <c r="J169" s="47" t="n"/>
      <c r="K169" s="48" t="n"/>
      <c r="L169" s="47" t="n"/>
      <c r="M169" s="45" t="n"/>
      <c r="N169" s="49">
        <f>IFERROR(IF(ISBLANK(H169),"",ABS(H169-I169)/VLOOKUP(C169,設定!$B$9:$D$23,2,FALSE)),"")</f>
        <v/>
      </c>
      <c r="O169" s="48">
        <f>IFERROR(IF(ISBLANK(J169),"",ABS(J169-H169)/ABS(H169-I169)),"")</f>
        <v/>
      </c>
      <c r="P169" s="50">
        <f>IFERROR(IF(OR(ISBLANK(L169),ISBLANK(E169)),"",IF(E169="Long",(L169-H169),(H169-L169))/VLOOKUP(C169,設定!$B$9:$D$23,2,FALSE)),"")</f>
        <v/>
      </c>
      <c r="Q169" s="51">
        <f>IFERROR(IF(OR(ISBLANK(P169),N169=0),"",P169/N169),"")</f>
        <v/>
      </c>
      <c r="R169" s="51">
        <f>IFERROR(IF(ISBLANK(Q169),R168,IF(ISNUMBER(R168),R168,0)+Q169),"")</f>
        <v/>
      </c>
      <c r="S169" s="52">
        <f>IFERROR(IF(OR(ISBLANK(P169),ISBLANK(K169)),"",P169*K169*VLOOKUP(C169,設定!$B$9:$D$23,3,FALSE)),"")</f>
        <v/>
      </c>
      <c r="T169" s="45" t="n"/>
    </row>
    <row r="170">
      <c r="A170" s="33">
        <f>IF(ISBLANK(B170),"",COUNTA($B$2:B170))</f>
        <v/>
      </c>
      <c r="B170" s="34" t="n"/>
      <c r="C170" s="35" t="n"/>
      <c r="D170" s="35" t="n"/>
      <c r="E170" s="35" t="n"/>
      <c r="F170" s="33" t="n"/>
      <c r="G170" s="36" t="n"/>
      <c r="H170" s="37" t="n"/>
      <c r="I170" s="37" t="n"/>
      <c r="J170" s="37" t="n"/>
      <c r="K170" s="38" t="n"/>
      <c r="L170" s="37" t="n"/>
      <c r="M170" s="35" t="n"/>
      <c r="N170" s="39">
        <f>IFERROR(IF(ISBLANK(H170),"",ABS(H170-I170)/VLOOKUP(C170,設定!$B$9:$D$23,2,FALSE)),"")</f>
        <v/>
      </c>
      <c r="O170" s="38">
        <f>IFERROR(IF(ISBLANK(J170),"",ABS(J170-H170)/ABS(H170-I170)),"")</f>
        <v/>
      </c>
      <c r="P170" s="40">
        <f>IFERROR(IF(OR(ISBLANK(L170),ISBLANK(E170)),"",IF(E170="Long",(L170-H170),(H170-L170))/VLOOKUP(C170,設定!$B$9:$D$23,2,FALSE)),"")</f>
        <v/>
      </c>
      <c r="Q170" s="41">
        <f>IFERROR(IF(OR(ISBLANK(P170),N170=0),"",P170/N170),"")</f>
        <v/>
      </c>
      <c r="R170" s="41">
        <f>IFERROR(IF(ISBLANK(Q170),R169,IF(ISNUMBER(R169),R169,0)+Q170),"")</f>
        <v/>
      </c>
      <c r="S170" s="42">
        <f>IFERROR(IF(OR(ISBLANK(P170),ISBLANK(K170)),"",P170*K170*VLOOKUP(C170,設定!$B$9:$D$23,3,FALSE)),"")</f>
        <v/>
      </c>
      <c r="T170" s="35" t="n"/>
    </row>
    <row r="171">
      <c r="A171" s="43">
        <f>IF(ISBLANK(B171),"",COUNTA($B$2:B171))</f>
        <v/>
      </c>
      <c r="B171" s="44" t="n"/>
      <c r="C171" s="45" t="n"/>
      <c r="D171" s="45" t="n"/>
      <c r="E171" s="45" t="n"/>
      <c r="F171" s="43" t="n"/>
      <c r="G171" s="46" t="n"/>
      <c r="H171" s="47" t="n"/>
      <c r="I171" s="47" t="n"/>
      <c r="J171" s="47" t="n"/>
      <c r="K171" s="48" t="n"/>
      <c r="L171" s="47" t="n"/>
      <c r="M171" s="45" t="n"/>
      <c r="N171" s="49">
        <f>IFERROR(IF(ISBLANK(H171),"",ABS(H171-I171)/VLOOKUP(C171,設定!$B$9:$D$23,2,FALSE)),"")</f>
        <v/>
      </c>
      <c r="O171" s="48">
        <f>IFERROR(IF(ISBLANK(J171),"",ABS(J171-H171)/ABS(H171-I171)),"")</f>
        <v/>
      </c>
      <c r="P171" s="50">
        <f>IFERROR(IF(OR(ISBLANK(L171),ISBLANK(E171)),"",IF(E171="Long",(L171-H171),(H171-L171))/VLOOKUP(C171,設定!$B$9:$D$23,2,FALSE)),"")</f>
        <v/>
      </c>
      <c r="Q171" s="51">
        <f>IFERROR(IF(OR(ISBLANK(P171),N171=0),"",P171/N171),"")</f>
        <v/>
      </c>
      <c r="R171" s="51">
        <f>IFERROR(IF(ISBLANK(Q171),R170,IF(ISNUMBER(R170),R170,0)+Q171),"")</f>
        <v/>
      </c>
      <c r="S171" s="52">
        <f>IFERROR(IF(OR(ISBLANK(P171),ISBLANK(K171)),"",P171*K171*VLOOKUP(C171,設定!$B$9:$D$23,3,FALSE)),"")</f>
        <v/>
      </c>
      <c r="T171" s="45" t="n"/>
    </row>
    <row r="172">
      <c r="A172" s="33">
        <f>IF(ISBLANK(B172),"",COUNTA($B$2:B172))</f>
        <v/>
      </c>
      <c r="B172" s="34" t="n"/>
      <c r="C172" s="35" t="n"/>
      <c r="D172" s="35" t="n"/>
      <c r="E172" s="35" t="n"/>
      <c r="F172" s="33" t="n"/>
      <c r="G172" s="36" t="n"/>
      <c r="H172" s="37" t="n"/>
      <c r="I172" s="37" t="n"/>
      <c r="J172" s="37" t="n"/>
      <c r="K172" s="38" t="n"/>
      <c r="L172" s="37" t="n"/>
      <c r="M172" s="35" t="n"/>
      <c r="N172" s="39">
        <f>IFERROR(IF(ISBLANK(H172),"",ABS(H172-I172)/VLOOKUP(C172,設定!$B$9:$D$23,2,FALSE)),"")</f>
        <v/>
      </c>
      <c r="O172" s="38">
        <f>IFERROR(IF(ISBLANK(J172),"",ABS(J172-H172)/ABS(H172-I172)),"")</f>
        <v/>
      </c>
      <c r="P172" s="40">
        <f>IFERROR(IF(OR(ISBLANK(L172),ISBLANK(E172)),"",IF(E172="Long",(L172-H172),(H172-L172))/VLOOKUP(C172,設定!$B$9:$D$23,2,FALSE)),"")</f>
        <v/>
      </c>
      <c r="Q172" s="41">
        <f>IFERROR(IF(OR(ISBLANK(P172),N172=0),"",P172/N172),"")</f>
        <v/>
      </c>
      <c r="R172" s="41">
        <f>IFERROR(IF(ISBLANK(Q172),R171,IF(ISNUMBER(R171),R171,0)+Q172),"")</f>
        <v/>
      </c>
      <c r="S172" s="42">
        <f>IFERROR(IF(OR(ISBLANK(P172),ISBLANK(K172)),"",P172*K172*VLOOKUP(C172,設定!$B$9:$D$23,3,FALSE)),"")</f>
        <v/>
      </c>
      <c r="T172" s="35" t="n"/>
    </row>
    <row r="173">
      <c r="A173" s="43">
        <f>IF(ISBLANK(B173),"",COUNTA($B$2:B173))</f>
        <v/>
      </c>
      <c r="B173" s="44" t="n"/>
      <c r="C173" s="45" t="n"/>
      <c r="D173" s="45" t="n"/>
      <c r="E173" s="45" t="n"/>
      <c r="F173" s="43" t="n"/>
      <c r="G173" s="46" t="n"/>
      <c r="H173" s="47" t="n"/>
      <c r="I173" s="47" t="n"/>
      <c r="J173" s="47" t="n"/>
      <c r="K173" s="48" t="n"/>
      <c r="L173" s="47" t="n"/>
      <c r="M173" s="45" t="n"/>
      <c r="N173" s="49">
        <f>IFERROR(IF(ISBLANK(H173),"",ABS(H173-I173)/VLOOKUP(C173,設定!$B$9:$D$23,2,FALSE)),"")</f>
        <v/>
      </c>
      <c r="O173" s="48">
        <f>IFERROR(IF(ISBLANK(J173),"",ABS(J173-H173)/ABS(H173-I173)),"")</f>
        <v/>
      </c>
      <c r="P173" s="50">
        <f>IFERROR(IF(OR(ISBLANK(L173),ISBLANK(E173)),"",IF(E173="Long",(L173-H173),(H173-L173))/VLOOKUP(C173,設定!$B$9:$D$23,2,FALSE)),"")</f>
        <v/>
      </c>
      <c r="Q173" s="51">
        <f>IFERROR(IF(OR(ISBLANK(P173),N173=0),"",P173/N173),"")</f>
        <v/>
      </c>
      <c r="R173" s="51">
        <f>IFERROR(IF(ISBLANK(Q173),R172,IF(ISNUMBER(R172),R172,0)+Q173),"")</f>
        <v/>
      </c>
      <c r="S173" s="52">
        <f>IFERROR(IF(OR(ISBLANK(P173),ISBLANK(K173)),"",P173*K173*VLOOKUP(C173,設定!$B$9:$D$23,3,FALSE)),"")</f>
        <v/>
      </c>
      <c r="T173" s="45" t="n"/>
    </row>
    <row r="174">
      <c r="A174" s="33">
        <f>IF(ISBLANK(B174),"",COUNTA($B$2:B174))</f>
        <v/>
      </c>
      <c r="B174" s="34" t="n"/>
      <c r="C174" s="35" t="n"/>
      <c r="D174" s="35" t="n"/>
      <c r="E174" s="35" t="n"/>
      <c r="F174" s="33" t="n"/>
      <c r="G174" s="36" t="n"/>
      <c r="H174" s="37" t="n"/>
      <c r="I174" s="37" t="n"/>
      <c r="J174" s="37" t="n"/>
      <c r="K174" s="38" t="n"/>
      <c r="L174" s="37" t="n"/>
      <c r="M174" s="35" t="n"/>
      <c r="N174" s="39">
        <f>IFERROR(IF(ISBLANK(H174),"",ABS(H174-I174)/VLOOKUP(C174,設定!$B$9:$D$23,2,FALSE)),"")</f>
        <v/>
      </c>
      <c r="O174" s="38">
        <f>IFERROR(IF(ISBLANK(J174),"",ABS(J174-H174)/ABS(H174-I174)),"")</f>
        <v/>
      </c>
      <c r="P174" s="40">
        <f>IFERROR(IF(OR(ISBLANK(L174),ISBLANK(E174)),"",IF(E174="Long",(L174-H174),(H174-L174))/VLOOKUP(C174,設定!$B$9:$D$23,2,FALSE)),"")</f>
        <v/>
      </c>
      <c r="Q174" s="41">
        <f>IFERROR(IF(OR(ISBLANK(P174),N174=0),"",P174/N174),"")</f>
        <v/>
      </c>
      <c r="R174" s="41">
        <f>IFERROR(IF(ISBLANK(Q174),R173,IF(ISNUMBER(R173),R173,0)+Q174),"")</f>
        <v/>
      </c>
      <c r="S174" s="42">
        <f>IFERROR(IF(OR(ISBLANK(P174),ISBLANK(K174)),"",P174*K174*VLOOKUP(C174,設定!$B$9:$D$23,3,FALSE)),"")</f>
        <v/>
      </c>
      <c r="T174" s="35" t="n"/>
    </row>
    <row r="175">
      <c r="A175" s="43">
        <f>IF(ISBLANK(B175),"",COUNTA($B$2:B175))</f>
        <v/>
      </c>
      <c r="B175" s="44" t="n"/>
      <c r="C175" s="45" t="n"/>
      <c r="D175" s="45" t="n"/>
      <c r="E175" s="45" t="n"/>
      <c r="F175" s="43" t="n"/>
      <c r="G175" s="46" t="n"/>
      <c r="H175" s="47" t="n"/>
      <c r="I175" s="47" t="n"/>
      <c r="J175" s="47" t="n"/>
      <c r="K175" s="48" t="n"/>
      <c r="L175" s="47" t="n"/>
      <c r="M175" s="45" t="n"/>
      <c r="N175" s="49">
        <f>IFERROR(IF(ISBLANK(H175),"",ABS(H175-I175)/VLOOKUP(C175,設定!$B$9:$D$23,2,FALSE)),"")</f>
        <v/>
      </c>
      <c r="O175" s="48">
        <f>IFERROR(IF(ISBLANK(J175),"",ABS(J175-H175)/ABS(H175-I175)),"")</f>
        <v/>
      </c>
      <c r="P175" s="50">
        <f>IFERROR(IF(OR(ISBLANK(L175),ISBLANK(E175)),"",IF(E175="Long",(L175-H175),(H175-L175))/VLOOKUP(C175,設定!$B$9:$D$23,2,FALSE)),"")</f>
        <v/>
      </c>
      <c r="Q175" s="51">
        <f>IFERROR(IF(OR(ISBLANK(P175),N175=0),"",P175/N175),"")</f>
        <v/>
      </c>
      <c r="R175" s="51">
        <f>IFERROR(IF(ISBLANK(Q175),R174,IF(ISNUMBER(R174),R174,0)+Q175),"")</f>
        <v/>
      </c>
      <c r="S175" s="52">
        <f>IFERROR(IF(OR(ISBLANK(P175),ISBLANK(K175)),"",P175*K175*VLOOKUP(C175,設定!$B$9:$D$23,3,FALSE)),"")</f>
        <v/>
      </c>
      <c r="T175" s="45" t="n"/>
    </row>
    <row r="176">
      <c r="A176" s="33">
        <f>IF(ISBLANK(B176),"",COUNTA($B$2:B176))</f>
        <v/>
      </c>
      <c r="B176" s="34" t="n"/>
      <c r="C176" s="35" t="n"/>
      <c r="D176" s="35" t="n"/>
      <c r="E176" s="35" t="n"/>
      <c r="F176" s="33" t="n"/>
      <c r="G176" s="36" t="n"/>
      <c r="H176" s="37" t="n"/>
      <c r="I176" s="37" t="n"/>
      <c r="J176" s="37" t="n"/>
      <c r="K176" s="38" t="n"/>
      <c r="L176" s="37" t="n"/>
      <c r="M176" s="35" t="n"/>
      <c r="N176" s="39">
        <f>IFERROR(IF(ISBLANK(H176),"",ABS(H176-I176)/VLOOKUP(C176,設定!$B$9:$D$23,2,FALSE)),"")</f>
        <v/>
      </c>
      <c r="O176" s="38">
        <f>IFERROR(IF(ISBLANK(J176),"",ABS(J176-H176)/ABS(H176-I176)),"")</f>
        <v/>
      </c>
      <c r="P176" s="40">
        <f>IFERROR(IF(OR(ISBLANK(L176),ISBLANK(E176)),"",IF(E176="Long",(L176-H176),(H176-L176))/VLOOKUP(C176,設定!$B$9:$D$23,2,FALSE)),"")</f>
        <v/>
      </c>
      <c r="Q176" s="41">
        <f>IFERROR(IF(OR(ISBLANK(P176),N176=0),"",P176/N176),"")</f>
        <v/>
      </c>
      <c r="R176" s="41">
        <f>IFERROR(IF(ISBLANK(Q176),R175,IF(ISNUMBER(R175),R175,0)+Q176),"")</f>
        <v/>
      </c>
      <c r="S176" s="42">
        <f>IFERROR(IF(OR(ISBLANK(P176),ISBLANK(K176)),"",P176*K176*VLOOKUP(C176,設定!$B$9:$D$23,3,FALSE)),"")</f>
        <v/>
      </c>
      <c r="T176" s="35" t="n"/>
    </row>
    <row r="177">
      <c r="A177" s="43">
        <f>IF(ISBLANK(B177),"",COUNTA($B$2:B177))</f>
        <v/>
      </c>
      <c r="B177" s="44" t="n"/>
      <c r="C177" s="45" t="n"/>
      <c r="D177" s="45" t="n"/>
      <c r="E177" s="45" t="n"/>
      <c r="F177" s="43" t="n"/>
      <c r="G177" s="46" t="n"/>
      <c r="H177" s="47" t="n"/>
      <c r="I177" s="47" t="n"/>
      <c r="J177" s="47" t="n"/>
      <c r="K177" s="48" t="n"/>
      <c r="L177" s="47" t="n"/>
      <c r="M177" s="45" t="n"/>
      <c r="N177" s="49">
        <f>IFERROR(IF(ISBLANK(H177),"",ABS(H177-I177)/VLOOKUP(C177,設定!$B$9:$D$23,2,FALSE)),"")</f>
        <v/>
      </c>
      <c r="O177" s="48">
        <f>IFERROR(IF(ISBLANK(J177),"",ABS(J177-H177)/ABS(H177-I177)),"")</f>
        <v/>
      </c>
      <c r="P177" s="50">
        <f>IFERROR(IF(OR(ISBLANK(L177),ISBLANK(E177)),"",IF(E177="Long",(L177-H177),(H177-L177))/VLOOKUP(C177,設定!$B$9:$D$23,2,FALSE)),"")</f>
        <v/>
      </c>
      <c r="Q177" s="51">
        <f>IFERROR(IF(OR(ISBLANK(P177),N177=0),"",P177/N177),"")</f>
        <v/>
      </c>
      <c r="R177" s="51">
        <f>IFERROR(IF(ISBLANK(Q177),R176,IF(ISNUMBER(R176),R176,0)+Q177),"")</f>
        <v/>
      </c>
      <c r="S177" s="52">
        <f>IFERROR(IF(OR(ISBLANK(P177),ISBLANK(K177)),"",P177*K177*VLOOKUP(C177,設定!$B$9:$D$23,3,FALSE)),"")</f>
        <v/>
      </c>
      <c r="T177" s="45" t="n"/>
    </row>
    <row r="178">
      <c r="A178" s="33">
        <f>IF(ISBLANK(B178),"",COUNTA($B$2:B178))</f>
        <v/>
      </c>
      <c r="B178" s="34" t="n"/>
      <c r="C178" s="35" t="n"/>
      <c r="D178" s="35" t="n"/>
      <c r="E178" s="35" t="n"/>
      <c r="F178" s="33" t="n"/>
      <c r="G178" s="36" t="n"/>
      <c r="H178" s="37" t="n"/>
      <c r="I178" s="37" t="n"/>
      <c r="J178" s="37" t="n"/>
      <c r="K178" s="38" t="n"/>
      <c r="L178" s="37" t="n"/>
      <c r="M178" s="35" t="n"/>
      <c r="N178" s="39">
        <f>IFERROR(IF(ISBLANK(H178),"",ABS(H178-I178)/VLOOKUP(C178,設定!$B$9:$D$23,2,FALSE)),"")</f>
        <v/>
      </c>
      <c r="O178" s="38">
        <f>IFERROR(IF(ISBLANK(J178),"",ABS(J178-H178)/ABS(H178-I178)),"")</f>
        <v/>
      </c>
      <c r="P178" s="40">
        <f>IFERROR(IF(OR(ISBLANK(L178),ISBLANK(E178)),"",IF(E178="Long",(L178-H178),(H178-L178))/VLOOKUP(C178,設定!$B$9:$D$23,2,FALSE)),"")</f>
        <v/>
      </c>
      <c r="Q178" s="41">
        <f>IFERROR(IF(OR(ISBLANK(P178),N178=0),"",P178/N178),"")</f>
        <v/>
      </c>
      <c r="R178" s="41">
        <f>IFERROR(IF(ISBLANK(Q178),R177,IF(ISNUMBER(R177),R177,0)+Q178),"")</f>
        <v/>
      </c>
      <c r="S178" s="42">
        <f>IFERROR(IF(OR(ISBLANK(P178),ISBLANK(K178)),"",P178*K178*VLOOKUP(C178,設定!$B$9:$D$23,3,FALSE)),"")</f>
        <v/>
      </c>
      <c r="T178" s="35" t="n"/>
    </row>
    <row r="179">
      <c r="A179" s="43">
        <f>IF(ISBLANK(B179),"",COUNTA($B$2:B179))</f>
        <v/>
      </c>
      <c r="B179" s="44" t="n"/>
      <c r="C179" s="45" t="n"/>
      <c r="D179" s="45" t="n"/>
      <c r="E179" s="45" t="n"/>
      <c r="F179" s="43" t="n"/>
      <c r="G179" s="46" t="n"/>
      <c r="H179" s="47" t="n"/>
      <c r="I179" s="47" t="n"/>
      <c r="J179" s="47" t="n"/>
      <c r="K179" s="48" t="n"/>
      <c r="L179" s="47" t="n"/>
      <c r="M179" s="45" t="n"/>
      <c r="N179" s="49">
        <f>IFERROR(IF(ISBLANK(H179),"",ABS(H179-I179)/VLOOKUP(C179,設定!$B$9:$D$23,2,FALSE)),"")</f>
        <v/>
      </c>
      <c r="O179" s="48">
        <f>IFERROR(IF(ISBLANK(J179),"",ABS(J179-H179)/ABS(H179-I179)),"")</f>
        <v/>
      </c>
      <c r="P179" s="50">
        <f>IFERROR(IF(OR(ISBLANK(L179),ISBLANK(E179)),"",IF(E179="Long",(L179-H179),(H179-L179))/VLOOKUP(C179,設定!$B$9:$D$23,2,FALSE)),"")</f>
        <v/>
      </c>
      <c r="Q179" s="51">
        <f>IFERROR(IF(OR(ISBLANK(P179),N179=0),"",P179/N179),"")</f>
        <v/>
      </c>
      <c r="R179" s="51">
        <f>IFERROR(IF(ISBLANK(Q179),R178,IF(ISNUMBER(R178),R178,0)+Q179),"")</f>
        <v/>
      </c>
      <c r="S179" s="52">
        <f>IFERROR(IF(OR(ISBLANK(P179),ISBLANK(K179)),"",P179*K179*VLOOKUP(C179,設定!$B$9:$D$23,3,FALSE)),"")</f>
        <v/>
      </c>
      <c r="T179" s="45" t="n"/>
    </row>
    <row r="180">
      <c r="A180" s="33">
        <f>IF(ISBLANK(B180),"",COUNTA($B$2:B180))</f>
        <v/>
      </c>
      <c r="B180" s="34" t="n"/>
      <c r="C180" s="35" t="n"/>
      <c r="D180" s="35" t="n"/>
      <c r="E180" s="35" t="n"/>
      <c r="F180" s="33" t="n"/>
      <c r="G180" s="36" t="n"/>
      <c r="H180" s="37" t="n"/>
      <c r="I180" s="37" t="n"/>
      <c r="J180" s="37" t="n"/>
      <c r="K180" s="38" t="n"/>
      <c r="L180" s="37" t="n"/>
      <c r="M180" s="35" t="n"/>
      <c r="N180" s="39">
        <f>IFERROR(IF(ISBLANK(H180),"",ABS(H180-I180)/VLOOKUP(C180,設定!$B$9:$D$23,2,FALSE)),"")</f>
        <v/>
      </c>
      <c r="O180" s="38">
        <f>IFERROR(IF(ISBLANK(J180),"",ABS(J180-H180)/ABS(H180-I180)),"")</f>
        <v/>
      </c>
      <c r="P180" s="40">
        <f>IFERROR(IF(OR(ISBLANK(L180),ISBLANK(E180)),"",IF(E180="Long",(L180-H180),(H180-L180))/VLOOKUP(C180,設定!$B$9:$D$23,2,FALSE)),"")</f>
        <v/>
      </c>
      <c r="Q180" s="41">
        <f>IFERROR(IF(OR(ISBLANK(P180),N180=0),"",P180/N180),"")</f>
        <v/>
      </c>
      <c r="R180" s="41">
        <f>IFERROR(IF(ISBLANK(Q180),R179,IF(ISNUMBER(R179),R179,0)+Q180),"")</f>
        <v/>
      </c>
      <c r="S180" s="42">
        <f>IFERROR(IF(OR(ISBLANK(P180),ISBLANK(K180)),"",P180*K180*VLOOKUP(C180,設定!$B$9:$D$23,3,FALSE)),"")</f>
        <v/>
      </c>
      <c r="T180" s="35" t="n"/>
    </row>
    <row r="181">
      <c r="A181" s="43">
        <f>IF(ISBLANK(B181),"",COUNTA($B$2:B181))</f>
        <v/>
      </c>
      <c r="B181" s="44" t="n"/>
      <c r="C181" s="45" t="n"/>
      <c r="D181" s="45" t="n"/>
      <c r="E181" s="45" t="n"/>
      <c r="F181" s="43" t="n"/>
      <c r="G181" s="46" t="n"/>
      <c r="H181" s="47" t="n"/>
      <c r="I181" s="47" t="n"/>
      <c r="J181" s="47" t="n"/>
      <c r="K181" s="48" t="n"/>
      <c r="L181" s="47" t="n"/>
      <c r="M181" s="45" t="n"/>
      <c r="N181" s="49">
        <f>IFERROR(IF(ISBLANK(H181),"",ABS(H181-I181)/VLOOKUP(C181,設定!$B$9:$D$23,2,FALSE)),"")</f>
        <v/>
      </c>
      <c r="O181" s="48">
        <f>IFERROR(IF(ISBLANK(J181),"",ABS(J181-H181)/ABS(H181-I181)),"")</f>
        <v/>
      </c>
      <c r="P181" s="50">
        <f>IFERROR(IF(OR(ISBLANK(L181),ISBLANK(E181)),"",IF(E181="Long",(L181-H181),(H181-L181))/VLOOKUP(C181,設定!$B$9:$D$23,2,FALSE)),"")</f>
        <v/>
      </c>
      <c r="Q181" s="51">
        <f>IFERROR(IF(OR(ISBLANK(P181),N181=0),"",P181/N181),"")</f>
        <v/>
      </c>
      <c r="R181" s="51">
        <f>IFERROR(IF(ISBLANK(Q181),R180,IF(ISNUMBER(R180),R180,0)+Q181),"")</f>
        <v/>
      </c>
      <c r="S181" s="52">
        <f>IFERROR(IF(OR(ISBLANK(P181),ISBLANK(K181)),"",P181*K181*VLOOKUP(C181,設定!$B$9:$D$23,3,FALSE)),"")</f>
        <v/>
      </c>
      <c r="T181" s="45" t="n"/>
    </row>
    <row r="182">
      <c r="A182" s="33">
        <f>IF(ISBLANK(B182),"",COUNTA($B$2:B182))</f>
        <v/>
      </c>
      <c r="B182" s="34" t="n"/>
      <c r="C182" s="35" t="n"/>
      <c r="D182" s="35" t="n"/>
      <c r="E182" s="35" t="n"/>
      <c r="F182" s="33" t="n"/>
      <c r="G182" s="36" t="n"/>
      <c r="H182" s="37" t="n"/>
      <c r="I182" s="37" t="n"/>
      <c r="J182" s="37" t="n"/>
      <c r="K182" s="38" t="n"/>
      <c r="L182" s="37" t="n"/>
      <c r="M182" s="35" t="n"/>
      <c r="N182" s="39">
        <f>IFERROR(IF(ISBLANK(H182),"",ABS(H182-I182)/VLOOKUP(C182,設定!$B$9:$D$23,2,FALSE)),"")</f>
        <v/>
      </c>
      <c r="O182" s="38">
        <f>IFERROR(IF(ISBLANK(J182),"",ABS(J182-H182)/ABS(H182-I182)),"")</f>
        <v/>
      </c>
      <c r="P182" s="40">
        <f>IFERROR(IF(OR(ISBLANK(L182),ISBLANK(E182)),"",IF(E182="Long",(L182-H182),(H182-L182))/VLOOKUP(C182,設定!$B$9:$D$23,2,FALSE)),"")</f>
        <v/>
      </c>
      <c r="Q182" s="41">
        <f>IFERROR(IF(OR(ISBLANK(P182),N182=0),"",P182/N182),"")</f>
        <v/>
      </c>
      <c r="R182" s="41">
        <f>IFERROR(IF(ISBLANK(Q182),R181,IF(ISNUMBER(R181),R181,0)+Q182),"")</f>
        <v/>
      </c>
      <c r="S182" s="42">
        <f>IFERROR(IF(OR(ISBLANK(P182),ISBLANK(K182)),"",P182*K182*VLOOKUP(C182,設定!$B$9:$D$23,3,FALSE)),"")</f>
        <v/>
      </c>
      <c r="T182" s="35" t="n"/>
    </row>
    <row r="183">
      <c r="A183" s="43">
        <f>IF(ISBLANK(B183),"",COUNTA($B$2:B183))</f>
        <v/>
      </c>
      <c r="B183" s="44" t="n"/>
      <c r="C183" s="45" t="n"/>
      <c r="D183" s="45" t="n"/>
      <c r="E183" s="45" t="n"/>
      <c r="F183" s="43" t="n"/>
      <c r="G183" s="46" t="n"/>
      <c r="H183" s="47" t="n"/>
      <c r="I183" s="47" t="n"/>
      <c r="J183" s="47" t="n"/>
      <c r="K183" s="48" t="n"/>
      <c r="L183" s="47" t="n"/>
      <c r="M183" s="45" t="n"/>
      <c r="N183" s="49">
        <f>IFERROR(IF(ISBLANK(H183),"",ABS(H183-I183)/VLOOKUP(C183,設定!$B$9:$D$23,2,FALSE)),"")</f>
        <v/>
      </c>
      <c r="O183" s="48">
        <f>IFERROR(IF(ISBLANK(J183),"",ABS(J183-H183)/ABS(H183-I183)),"")</f>
        <v/>
      </c>
      <c r="P183" s="50">
        <f>IFERROR(IF(OR(ISBLANK(L183),ISBLANK(E183)),"",IF(E183="Long",(L183-H183),(H183-L183))/VLOOKUP(C183,設定!$B$9:$D$23,2,FALSE)),"")</f>
        <v/>
      </c>
      <c r="Q183" s="51">
        <f>IFERROR(IF(OR(ISBLANK(P183),N183=0),"",P183/N183),"")</f>
        <v/>
      </c>
      <c r="R183" s="51">
        <f>IFERROR(IF(ISBLANK(Q183),R182,IF(ISNUMBER(R182),R182,0)+Q183),"")</f>
        <v/>
      </c>
      <c r="S183" s="52">
        <f>IFERROR(IF(OR(ISBLANK(P183),ISBLANK(K183)),"",P183*K183*VLOOKUP(C183,設定!$B$9:$D$23,3,FALSE)),"")</f>
        <v/>
      </c>
      <c r="T183" s="45" t="n"/>
    </row>
    <row r="184">
      <c r="A184" s="33">
        <f>IF(ISBLANK(B184),"",COUNTA($B$2:B184))</f>
        <v/>
      </c>
      <c r="B184" s="34" t="n"/>
      <c r="C184" s="35" t="n"/>
      <c r="D184" s="35" t="n"/>
      <c r="E184" s="35" t="n"/>
      <c r="F184" s="33" t="n"/>
      <c r="G184" s="36" t="n"/>
      <c r="H184" s="37" t="n"/>
      <c r="I184" s="37" t="n"/>
      <c r="J184" s="37" t="n"/>
      <c r="K184" s="38" t="n"/>
      <c r="L184" s="37" t="n"/>
      <c r="M184" s="35" t="n"/>
      <c r="N184" s="39">
        <f>IFERROR(IF(ISBLANK(H184),"",ABS(H184-I184)/VLOOKUP(C184,設定!$B$9:$D$23,2,FALSE)),"")</f>
        <v/>
      </c>
      <c r="O184" s="38">
        <f>IFERROR(IF(ISBLANK(J184),"",ABS(J184-H184)/ABS(H184-I184)),"")</f>
        <v/>
      </c>
      <c r="P184" s="40">
        <f>IFERROR(IF(OR(ISBLANK(L184),ISBLANK(E184)),"",IF(E184="Long",(L184-H184),(H184-L184))/VLOOKUP(C184,設定!$B$9:$D$23,2,FALSE)),"")</f>
        <v/>
      </c>
      <c r="Q184" s="41">
        <f>IFERROR(IF(OR(ISBLANK(P184),N184=0),"",P184/N184),"")</f>
        <v/>
      </c>
      <c r="R184" s="41">
        <f>IFERROR(IF(ISBLANK(Q184),R183,IF(ISNUMBER(R183),R183,0)+Q184),"")</f>
        <v/>
      </c>
      <c r="S184" s="42">
        <f>IFERROR(IF(OR(ISBLANK(P184),ISBLANK(K184)),"",P184*K184*VLOOKUP(C184,設定!$B$9:$D$23,3,FALSE)),"")</f>
        <v/>
      </c>
      <c r="T184" s="35" t="n"/>
    </row>
    <row r="185">
      <c r="A185" s="43">
        <f>IF(ISBLANK(B185),"",COUNTA($B$2:B185))</f>
        <v/>
      </c>
      <c r="B185" s="44" t="n"/>
      <c r="C185" s="45" t="n"/>
      <c r="D185" s="45" t="n"/>
      <c r="E185" s="45" t="n"/>
      <c r="F185" s="43" t="n"/>
      <c r="G185" s="46" t="n"/>
      <c r="H185" s="47" t="n"/>
      <c r="I185" s="47" t="n"/>
      <c r="J185" s="47" t="n"/>
      <c r="K185" s="48" t="n"/>
      <c r="L185" s="47" t="n"/>
      <c r="M185" s="45" t="n"/>
      <c r="N185" s="49">
        <f>IFERROR(IF(ISBLANK(H185),"",ABS(H185-I185)/VLOOKUP(C185,設定!$B$9:$D$23,2,FALSE)),"")</f>
        <v/>
      </c>
      <c r="O185" s="48">
        <f>IFERROR(IF(ISBLANK(J185),"",ABS(J185-H185)/ABS(H185-I185)),"")</f>
        <v/>
      </c>
      <c r="P185" s="50">
        <f>IFERROR(IF(OR(ISBLANK(L185),ISBLANK(E185)),"",IF(E185="Long",(L185-H185),(H185-L185))/VLOOKUP(C185,設定!$B$9:$D$23,2,FALSE)),"")</f>
        <v/>
      </c>
      <c r="Q185" s="51">
        <f>IFERROR(IF(OR(ISBLANK(P185),N185=0),"",P185/N185),"")</f>
        <v/>
      </c>
      <c r="R185" s="51">
        <f>IFERROR(IF(ISBLANK(Q185),R184,IF(ISNUMBER(R184),R184,0)+Q185),"")</f>
        <v/>
      </c>
      <c r="S185" s="52">
        <f>IFERROR(IF(OR(ISBLANK(P185),ISBLANK(K185)),"",P185*K185*VLOOKUP(C185,設定!$B$9:$D$23,3,FALSE)),"")</f>
        <v/>
      </c>
      <c r="T185" s="45" t="n"/>
    </row>
    <row r="186">
      <c r="A186" s="33">
        <f>IF(ISBLANK(B186),"",COUNTA($B$2:B186))</f>
        <v/>
      </c>
      <c r="B186" s="34" t="n"/>
      <c r="C186" s="35" t="n"/>
      <c r="D186" s="35" t="n"/>
      <c r="E186" s="35" t="n"/>
      <c r="F186" s="33" t="n"/>
      <c r="G186" s="36" t="n"/>
      <c r="H186" s="37" t="n"/>
      <c r="I186" s="37" t="n"/>
      <c r="J186" s="37" t="n"/>
      <c r="K186" s="38" t="n"/>
      <c r="L186" s="37" t="n"/>
      <c r="M186" s="35" t="n"/>
      <c r="N186" s="39">
        <f>IFERROR(IF(ISBLANK(H186),"",ABS(H186-I186)/VLOOKUP(C186,設定!$B$9:$D$23,2,FALSE)),"")</f>
        <v/>
      </c>
      <c r="O186" s="38">
        <f>IFERROR(IF(ISBLANK(J186),"",ABS(J186-H186)/ABS(H186-I186)),"")</f>
        <v/>
      </c>
      <c r="P186" s="40">
        <f>IFERROR(IF(OR(ISBLANK(L186),ISBLANK(E186)),"",IF(E186="Long",(L186-H186),(H186-L186))/VLOOKUP(C186,設定!$B$9:$D$23,2,FALSE)),"")</f>
        <v/>
      </c>
      <c r="Q186" s="41">
        <f>IFERROR(IF(OR(ISBLANK(P186),N186=0),"",P186/N186),"")</f>
        <v/>
      </c>
      <c r="R186" s="41">
        <f>IFERROR(IF(ISBLANK(Q186),R185,IF(ISNUMBER(R185),R185,0)+Q186),"")</f>
        <v/>
      </c>
      <c r="S186" s="42">
        <f>IFERROR(IF(OR(ISBLANK(P186),ISBLANK(K186)),"",P186*K186*VLOOKUP(C186,設定!$B$9:$D$23,3,FALSE)),"")</f>
        <v/>
      </c>
      <c r="T186" s="35" t="n"/>
    </row>
    <row r="187">
      <c r="A187" s="43">
        <f>IF(ISBLANK(B187),"",COUNTA($B$2:B187))</f>
        <v/>
      </c>
      <c r="B187" s="44" t="n"/>
      <c r="C187" s="45" t="n"/>
      <c r="D187" s="45" t="n"/>
      <c r="E187" s="45" t="n"/>
      <c r="F187" s="43" t="n"/>
      <c r="G187" s="46" t="n"/>
      <c r="H187" s="47" t="n"/>
      <c r="I187" s="47" t="n"/>
      <c r="J187" s="47" t="n"/>
      <c r="K187" s="48" t="n"/>
      <c r="L187" s="47" t="n"/>
      <c r="M187" s="45" t="n"/>
      <c r="N187" s="49">
        <f>IFERROR(IF(ISBLANK(H187),"",ABS(H187-I187)/VLOOKUP(C187,設定!$B$9:$D$23,2,FALSE)),"")</f>
        <v/>
      </c>
      <c r="O187" s="48">
        <f>IFERROR(IF(ISBLANK(J187),"",ABS(J187-H187)/ABS(H187-I187)),"")</f>
        <v/>
      </c>
      <c r="P187" s="50">
        <f>IFERROR(IF(OR(ISBLANK(L187),ISBLANK(E187)),"",IF(E187="Long",(L187-H187),(H187-L187))/VLOOKUP(C187,設定!$B$9:$D$23,2,FALSE)),"")</f>
        <v/>
      </c>
      <c r="Q187" s="51">
        <f>IFERROR(IF(OR(ISBLANK(P187),N187=0),"",P187/N187),"")</f>
        <v/>
      </c>
      <c r="R187" s="51">
        <f>IFERROR(IF(ISBLANK(Q187),R186,IF(ISNUMBER(R186),R186,0)+Q187),"")</f>
        <v/>
      </c>
      <c r="S187" s="52">
        <f>IFERROR(IF(OR(ISBLANK(P187),ISBLANK(K187)),"",P187*K187*VLOOKUP(C187,設定!$B$9:$D$23,3,FALSE)),"")</f>
        <v/>
      </c>
      <c r="T187" s="45" t="n"/>
    </row>
    <row r="188">
      <c r="A188" s="33">
        <f>IF(ISBLANK(B188),"",COUNTA($B$2:B188))</f>
        <v/>
      </c>
      <c r="B188" s="34" t="n"/>
      <c r="C188" s="35" t="n"/>
      <c r="D188" s="35" t="n"/>
      <c r="E188" s="35" t="n"/>
      <c r="F188" s="33" t="n"/>
      <c r="G188" s="36" t="n"/>
      <c r="H188" s="37" t="n"/>
      <c r="I188" s="37" t="n"/>
      <c r="J188" s="37" t="n"/>
      <c r="K188" s="38" t="n"/>
      <c r="L188" s="37" t="n"/>
      <c r="M188" s="35" t="n"/>
      <c r="N188" s="39">
        <f>IFERROR(IF(ISBLANK(H188),"",ABS(H188-I188)/VLOOKUP(C188,設定!$B$9:$D$23,2,FALSE)),"")</f>
        <v/>
      </c>
      <c r="O188" s="38">
        <f>IFERROR(IF(ISBLANK(J188),"",ABS(J188-H188)/ABS(H188-I188)),"")</f>
        <v/>
      </c>
      <c r="P188" s="40">
        <f>IFERROR(IF(OR(ISBLANK(L188),ISBLANK(E188)),"",IF(E188="Long",(L188-H188),(H188-L188))/VLOOKUP(C188,設定!$B$9:$D$23,2,FALSE)),"")</f>
        <v/>
      </c>
      <c r="Q188" s="41">
        <f>IFERROR(IF(OR(ISBLANK(P188),N188=0),"",P188/N188),"")</f>
        <v/>
      </c>
      <c r="R188" s="41">
        <f>IFERROR(IF(ISBLANK(Q188),R187,IF(ISNUMBER(R187),R187,0)+Q188),"")</f>
        <v/>
      </c>
      <c r="S188" s="42">
        <f>IFERROR(IF(OR(ISBLANK(P188),ISBLANK(K188)),"",P188*K188*VLOOKUP(C188,設定!$B$9:$D$23,3,FALSE)),"")</f>
        <v/>
      </c>
      <c r="T188" s="35" t="n"/>
    </row>
    <row r="189">
      <c r="A189" s="43">
        <f>IF(ISBLANK(B189),"",COUNTA($B$2:B189))</f>
        <v/>
      </c>
      <c r="B189" s="44" t="n"/>
      <c r="C189" s="45" t="n"/>
      <c r="D189" s="45" t="n"/>
      <c r="E189" s="45" t="n"/>
      <c r="F189" s="43" t="n"/>
      <c r="G189" s="46" t="n"/>
      <c r="H189" s="47" t="n"/>
      <c r="I189" s="47" t="n"/>
      <c r="J189" s="47" t="n"/>
      <c r="K189" s="48" t="n"/>
      <c r="L189" s="47" t="n"/>
      <c r="M189" s="45" t="n"/>
      <c r="N189" s="49">
        <f>IFERROR(IF(ISBLANK(H189),"",ABS(H189-I189)/VLOOKUP(C189,設定!$B$9:$D$23,2,FALSE)),"")</f>
        <v/>
      </c>
      <c r="O189" s="48">
        <f>IFERROR(IF(ISBLANK(J189),"",ABS(J189-H189)/ABS(H189-I189)),"")</f>
        <v/>
      </c>
      <c r="P189" s="50">
        <f>IFERROR(IF(OR(ISBLANK(L189),ISBLANK(E189)),"",IF(E189="Long",(L189-H189),(H189-L189))/VLOOKUP(C189,設定!$B$9:$D$23,2,FALSE)),"")</f>
        <v/>
      </c>
      <c r="Q189" s="51">
        <f>IFERROR(IF(OR(ISBLANK(P189),N189=0),"",P189/N189),"")</f>
        <v/>
      </c>
      <c r="R189" s="51">
        <f>IFERROR(IF(ISBLANK(Q189),R188,IF(ISNUMBER(R188),R188,0)+Q189),"")</f>
        <v/>
      </c>
      <c r="S189" s="52">
        <f>IFERROR(IF(OR(ISBLANK(P189),ISBLANK(K189)),"",P189*K189*VLOOKUP(C189,設定!$B$9:$D$23,3,FALSE)),"")</f>
        <v/>
      </c>
      <c r="T189" s="45" t="n"/>
    </row>
    <row r="190">
      <c r="A190" s="33">
        <f>IF(ISBLANK(B190),"",COUNTA($B$2:B190))</f>
        <v/>
      </c>
      <c r="B190" s="34" t="n"/>
      <c r="C190" s="35" t="n"/>
      <c r="D190" s="35" t="n"/>
      <c r="E190" s="35" t="n"/>
      <c r="F190" s="33" t="n"/>
      <c r="G190" s="36" t="n"/>
      <c r="H190" s="37" t="n"/>
      <c r="I190" s="37" t="n"/>
      <c r="J190" s="37" t="n"/>
      <c r="K190" s="38" t="n"/>
      <c r="L190" s="37" t="n"/>
      <c r="M190" s="35" t="n"/>
      <c r="N190" s="39">
        <f>IFERROR(IF(ISBLANK(H190),"",ABS(H190-I190)/VLOOKUP(C190,設定!$B$9:$D$23,2,FALSE)),"")</f>
        <v/>
      </c>
      <c r="O190" s="38">
        <f>IFERROR(IF(ISBLANK(J190),"",ABS(J190-H190)/ABS(H190-I190)),"")</f>
        <v/>
      </c>
      <c r="P190" s="40">
        <f>IFERROR(IF(OR(ISBLANK(L190),ISBLANK(E190)),"",IF(E190="Long",(L190-H190),(H190-L190))/VLOOKUP(C190,設定!$B$9:$D$23,2,FALSE)),"")</f>
        <v/>
      </c>
      <c r="Q190" s="41">
        <f>IFERROR(IF(OR(ISBLANK(P190),N190=0),"",P190/N190),"")</f>
        <v/>
      </c>
      <c r="R190" s="41">
        <f>IFERROR(IF(ISBLANK(Q190),R189,IF(ISNUMBER(R189),R189,0)+Q190),"")</f>
        <v/>
      </c>
      <c r="S190" s="42">
        <f>IFERROR(IF(OR(ISBLANK(P190),ISBLANK(K190)),"",P190*K190*VLOOKUP(C190,設定!$B$9:$D$23,3,FALSE)),"")</f>
        <v/>
      </c>
      <c r="T190" s="35" t="n"/>
    </row>
    <row r="191">
      <c r="A191" s="43">
        <f>IF(ISBLANK(B191),"",COUNTA($B$2:B191))</f>
        <v/>
      </c>
      <c r="B191" s="44" t="n"/>
      <c r="C191" s="45" t="n"/>
      <c r="D191" s="45" t="n"/>
      <c r="E191" s="45" t="n"/>
      <c r="F191" s="43" t="n"/>
      <c r="G191" s="46" t="n"/>
      <c r="H191" s="47" t="n"/>
      <c r="I191" s="47" t="n"/>
      <c r="J191" s="47" t="n"/>
      <c r="K191" s="48" t="n"/>
      <c r="L191" s="47" t="n"/>
      <c r="M191" s="45" t="n"/>
      <c r="N191" s="49">
        <f>IFERROR(IF(ISBLANK(H191),"",ABS(H191-I191)/VLOOKUP(C191,設定!$B$9:$D$23,2,FALSE)),"")</f>
        <v/>
      </c>
      <c r="O191" s="48">
        <f>IFERROR(IF(ISBLANK(J191),"",ABS(J191-H191)/ABS(H191-I191)),"")</f>
        <v/>
      </c>
      <c r="P191" s="50">
        <f>IFERROR(IF(OR(ISBLANK(L191),ISBLANK(E191)),"",IF(E191="Long",(L191-H191),(H191-L191))/VLOOKUP(C191,設定!$B$9:$D$23,2,FALSE)),"")</f>
        <v/>
      </c>
      <c r="Q191" s="51">
        <f>IFERROR(IF(OR(ISBLANK(P191),N191=0),"",P191/N191),"")</f>
        <v/>
      </c>
      <c r="R191" s="51">
        <f>IFERROR(IF(ISBLANK(Q191),R190,IF(ISNUMBER(R190),R190,0)+Q191),"")</f>
        <v/>
      </c>
      <c r="S191" s="52">
        <f>IFERROR(IF(OR(ISBLANK(P191),ISBLANK(K191)),"",P191*K191*VLOOKUP(C191,設定!$B$9:$D$23,3,FALSE)),"")</f>
        <v/>
      </c>
      <c r="T191" s="45" t="n"/>
    </row>
    <row r="192">
      <c r="A192" s="33">
        <f>IF(ISBLANK(B192),"",COUNTA($B$2:B192))</f>
        <v/>
      </c>
      <c r="B192" s="34" t="n"/>
      <c r="C192" s="35" t="n"/>
      <c r="D192" s="35" t="n"/>
      <c r="E192" s="35" t="n"/>
      <c r="F192" s="33" t="n"/>
      <c r="G192" s="36" t="n"/>
      <c r="H192" s="37" t="n"/>
      <c r="I192" s="37" t="n"/>
      <c r="J192" s="37" t="n"/>
      <c r="K192" s="38" t="n"/>
      <c r="L192" s="37" t="n"/>
      <c r="M192" s="35" t="n"/>
      <c r="N192" s="39">
        <f>IFERROR(IF(ISBLANK(H192),"",ABS(H192-I192)/VLOOKUP(C192,設定!$B$9:$D$23,2,FALSE)),"")</f>
        <v/>
      </c>
      <c r="O192" s="38">
        <f>IFERROR(IF(ISBLANK(J192),"",ABS(J192-H192)/ABS(H192-I192)),"")</f>
        <v/>
      </c>
      <c r="P192" s="40">
        <f>IFERROR(IF(OR(ISBLANK(L192),ISBLANK(E192)),"",IF(E192="Long",(L192-H192),(H192-L192))/VLOOKUP(C192,設定!$B$9:$D$23,2,FALSE)),"")</f>
        <v/>
      </c>
      <c r="Q192" s="41">
        <f>IFERROR(IF(OR(ISBLANK(P192),N192=0),"",P192/N192),"")</f>
        <v/>
      </c>
      <c r="R192" s="41">
        <f>IFERROR(IF(ISBLANK(Q192),R191,IF(ISNUMBER(R191),R191,0)+Q192),"")</f>
        <v/>
      </c>
      <c r="S192" s="42">
        <f>IFERROR(IF(OR(ISBLANK(P192),ISBLANK(K192)),"",P192*K192*VLOOKUP(C192,設定!$B$9:$D$23,3,FALSE)),"")</f>
        <v/>
      </c>
      <c r="T192" s="35" t="n"/>
    </row>
    <row r="193">
      <c r="A193" s="43">
        <f>IF(ISBLANK(B193),"",COUNTA($B$2:B193))</f>
        <v/>
      </c>
      <c r="B193" s="44" t="n"/>
      <c r="C193" s="45" t="n"/>
      <c r="D193" s="45" t="n"/>
      <c r="E193" s="45" t="n"/>
      <c r="F193" s="43" t="n"/>
      <c r="G193" s="46" t="n"/>
      <c r="H193" s="47" t="n"/>
      <c r="I193" s="47" t="n"/>
      <c r="J193" s="47" t="n"/>
      <c r="K193" s="48" t="n"/>
      <c r="L193" s="47" t="n"/>
      <c r="M193" s="45" t="n"/>
      <c r="N193" s="49">
        <f>IFERROR(IF(ISBLANK(H193),"",ABS(H193-I193)/VLOOKUP(C193,設定!$B$9:$D$23,2,FALSE)),"")</f>
        <v/>
      </c>
      <c r="O193" s="48">
        <f>IFERROR(IF(ISBLANK(J193),"",ABS(J193-H193)/ABS(H193-I193)),"")</f>
        <v/>
      </c>
      <c r="P193" s="50">
        <f>IFERROR(IF(OR(ISBLANK(L193),ISBLANK(E193)),"",IF(E193="Long",(L193-H193),(H193-L193))/VLOOKUP(C193,設定!$B$9:$D$23,2,FALSE)),"")</f>
        <v/>
      </c>
      <c r="Q193" s="51">
        <f>IFERROR(IF(OR(ISBLANK(P193),N193=0),"",P193/N193),"")</f>
        <v/>
      </c>
      <c r="R193" s="51">
        <f>IFERROR(IF(ISBLANK(Q193),R192,IF(ISNUMBER(R192),R192,0)+Q193),"")</f>
        <v/>
      </c>
      <c r="S193" s="52">
        <f>IFERROR(IF(OR(ISBLANK(P193),ISBLANK(K193)),"",P193*K193*VLOOKUP(C193,設定!$B$9:$D$23,3,FALSE)),"")</f>
        <v/>
      </c>
      <c r="T193" s="45" t="n"/>
    </row>
    <row r="194">
      <c r="A194" s="33">
        <f>IF(ISBLANK(B194),"",COUNTA($B$2:B194))</f>
        <v/>
      </c>
      <c r="B194" s="34" t="n"/>
      <c r="C194" s="35" t="n"/>
      <c r="D194" s="35" t="n"/>
      <c r="E194" s="35" t="n"/>
      <c r="F194" s="33" t="n"/>
      <c r="G194" s="36" t="n"/>
      <c r="H194" s="37" t="n"/>
      <c r="I194" s="37" t="n"/>
      <c r="J194" s="37" t="n"/>
      <c r="K194" s="38" t="n"/>
      <c r="L194" s="37" t="n"/>
      <c r="M194" s="35" t="n"/>
      <c r="N194" s="39">
        <f>IFERROR(IF(ISBLANK(H194),"",ABS(H194-I194)/VLOOKUP(C194,設定!$B$9:$D$23,2,FALSE)),"")</f>
        <v/>
      </c>
      <c r="O194" s="38">
        <f>IFERROR(IF(ISBLANK(J194),"",ABS(J194-H194)/ABS(H194-I194)),"")</f>
        <v/>
      </c>
      <c r="P194" s="40">
        <f>IFERROR(IF(OR(ISBLANK(L194),ISBLANK(E194)),"",IF(E194="Long",(L194-H194),(H194-L194))/VLOOKUP(C194,設定!$B$9:$D$23,2,FALSE)),"")</f>
        <v/>
      </c>
      <c r="Q194" s="41">
        <f>IFERROR(IF(OR(ISBLANK(P194),N194=0),"",P194/N194),"")</f>
        <v/>
      </c>
      <c r="R194" s="41">
        <f>IFERROR(IF(ISBLANK(Q194),R193,IF(ISNUMBER(R193),R193,0)+Q194),"")</f>
        <v/>
      </c>
      <c r="S194" s="42">
        <f>IFERROR(IF(OR(ISBLANK(P194),ISBLANK(K194)),"",P194*K194*VLOOKUP(C194,設定!$B$9:$D$23,3,FALSE)),"")</f>
        <v/>
      </c>
      <c r="T194" s="35" t="n"/>
    </row>
    <row r="195">
      <c r="A195" s="43">
        <f>IF(ISBLANK(B195),"",COUNTA($B$2:B195))</f>
        <v/>
      </c>
      <c r="B195" s="44" t="n"/>
      <c r="C195" s="45" t="n"/>
      <c r="D195" s="45" t="n"/>
      <c r="E195" s="45" t="n"/>
      <c r="F195" s="43" t="n"/>
      <c r="G195" s="46" t="n"/>
      <c r="H195" s="47" t="n"/>
      <c r="I195" s="47" t="n"/>
      <c r="J195" s="47" t="n"/>
      <c r="K195" s="48" t="n"/>
      <c r="L195" s="47" t="n"/>
      <c r="M195" s="45" t="n"/>
      <c r="N195" s="49">
        <f>IFERROR(IF(ISBLANK(H195),"",ABS(H195-I195)/VLOOKUP(C195,設定!$B$9:$D$23,2,FALSE)),"")</f>
        <v/>
      </c>
      <c r="O195" s="48">
        <f>IFERROR(IF(ISBLANK(J195),"",ABS(J195-H195)/ABS(H195-I195)),"")</f>
        <v/>
      </c>
      <c r="P195" s="50">
        <f>IFERROR(IF(OR(ISBLANK(L195),ISBLANK(E195)),"",IF(E195="Long",(L195-H195),(H195-L195))/VLOOKUP(C195,設定!$B$9:$D$23,2,FALSE)),"")</f>
        <v/>
      </c>
      <c r="Q195" s="51">
        <f>IFERROR(IF(OR(ISBLANK(P195),N195=0),"",P195/N195),"")</f>
        <v/>
      </c>
      <c r="R195" s="51">
        <f>IFERROR(IF(ISBLANK(Q195),R194,IF(ISNUMBER(R194),R194,0)+Q195),"")</f>
        <v/>
      </c>
      <c r="S195" s="52">
        <f>IFERROR(IF(OR(ISBLANK(P195),ISBLANK(K195)),"",P195*K195*VLOOKUP(C195,設定!$B$9:$D$23,3,FALSE)),"")</f>
        <v/>
      </c>
      <c r="T195" s="45" t="n"/>
    </row>
    <row r="196">
      <c r="A196" s="33">
        <f>IF(ISBLANK(B196),"",COUNTA($B$2:B196))</f>
        <v/>
      </c>
      <c r="B196" s="34" t="n"/>
      <c r="C196" s="35" t="n"/>
      <c r="D196" s="35" t="n"/>
      <c r="E196" s="35" t="n"/>
      <c r="F196" s="33" t="n"/>
      <c r="G196" s="36" t="n"/>
      <c r="H196" s="37" t="n"/>
      <c r="I196" s="37" t="n"/>
      <c r="J196" s="37" t="n"/>
      <c r="K196" s="38" t="n"/>
      <c r="L196" s="37" t="n"/>
      <c r="M196" s="35" t="n"/>
      <c r="N196" s="39">
        <f>IFERROR(IF(ISBLANK(H196),"",ABS(H196-I196)/VLOOKUP(C196,設定!$B$9:$D$23,2,FALSE)),"")</f>
        <v/>
      </c>
      <c r="O196" s="38">
        <f>IFERROR(IF(ISBLANK(J196),"",ABS(J196-H196)/ABS(H196-I196)),"")</f>
        <v/>
      </c>
      <c r="P196" s="40">
        <f>IFERROR(IF(OR(ISBLANK(L196),ISBLANK(E196)),"",IF(E196="Long",(L196-H196),(H196-L196))/VLOOKUP(C196,設定!$B$9:$D$23,2,FALSE)),"")</f>
        <v/>
      </c>
      <c r="Q196" s="41">
        <f>IFERROR(IF(OR(ISBLANK(P196),N196=0),"",P196/N196),"")</f>
        <v/>
      </c>
      <c r="R196" s="41">
        <f>IFERROR(IF(ISBLANK(Q196),R195,IF(ISNUMBER(R195),R195,0)+Q196),"")</f>
        <v/>
      </c>
      <c r="S196" s="42">
        <f>IFERROR(IF(OR(ISBLANK(P196),ISBLANK(K196)),"",P196*K196*VLOOKUP(C196,設定!$B$9:$D$23,3,FALSE)),"")</f>
        <v/>
      </c>
      <c r="T196" s="35" t="n"/>
    </row>
    <row r="197">
      <c r="A197" s="43">
        <f>IF(ISBLANK(B197),"",COUNTA($B$2:B197))</f>
        <v/>
      </c>
      <c r="B197" s="44" t="n"/>
      <c r="C197" s="45" t="n"/>
      <c r="D197" s="45" t="n"/>
      <c r="E197" s="45" t="n"/>
      <c r="F197" s="43" t="n"/>
      <c r="G197" s="46" t="n"/>
      <c r="H197" s="47" t="n"/>
      <c r="I197" s="47" t="n"/>
      <c r="J197" s="47" t="n"/>
      <c r="K197" s="48" t="n"/>
      <c r="L197" s="47" t="n"/>
      <c r="M197" s="45" t="n"/>
      <c r="N197" s="49">
        <f>IFERROR(IF(ISBLANK(H197),"",ABS(H197-I197)/VLOOKUP(C197,設定!$B$9:$D$23,2,FALSE)),"")</f>
        <v/>
      </c>
      <c r="O197" s="48">
        <f>IFERROR(IF(ISBLANK(J197),"",ABS(J197-H197)/ABS(H197-I197)),"")</f>
        <v/>
      </c>
      <c r="P197" s="50">
        <f>IFERROR(IF(OR(ISBLANK(L197),ISBLANK(E197)),"",IF(E197="Long",(L197-H197),(H197-L197))/VLOOKUP(C197,設定!$B$9:$D$23,2,FALSE)),"")</f>
        <v/>
      </c>
      <c r="Q197" s="51">
        <f>IFERROR(IF(OR(ISBLANK(P197),N197=0),"",P197/N197),"")</f>
        <v/>
      </c>
      <c r="R197" s="51">
        <f>IFERROR(IF(ISBLANK(Q197),R196,IF(ISNUMBER(R196),R196,0)+Q197),"")</f>
        <v/>
      </c>
      <c r="S197" s="52">
        <f>IFERROR(IF(OR(ISBLANK(P197),ISBLANK(K197)),"",P197*K197*VLOOKUP(C197,設定!$B$9:$D$23,3,FALSE)),"")</f>
        <v/>
      </c>
      <c r="T197" s="45" t="n"/>
    </row>
    <row r="198">
      <c r="A198" s="33">
        <f>IF(ISBLANK(B198),"",COUNTA($B$2:B198))</f>
        <v/>
      </c>
      <c r="B198" s="34" t="n"/>
      <c r="C198" s="35" t="n"/>
      <c r="D198" s="35" t="n"/>
      <c r="E198" s="35" t="n"/>
      <c r="F198" s="33" t="n"/>
      <c r="G198" s="36" t="n"/>
      <c r="H198" s="37" t="n"/>
      <c r="I198" s="37" t="n"/>
      <c r="J198" s="37" t="n"/>
      <c r="K198" s="38" t="n"/>
      <c r="L198" s="37" t="n"/>
      <c r="M198" s="35" t="n"/>
      <c r="N198" s="39">
        <f>IFERROR(IF(ISBLANK(H198),"",ABS(H198-I198)/VLOOKUP(C198,設定!$B$9:$D$23,2,FALSE)),"")</f>
        <v/>
      </c>
      <c r="O198" s="38">
        <f>IFERROR(IF(ISBLANK(J198),"",ABS(J198-H198)/ABS(H198-I198)),"")</f>
        <v/>
      </c>
      <c r="P198" s="40">
        <f>IFERROR(IF(OR(ISBLANK(L198),ISBLANK(E198)),"",IF(E198="Long",(L198-H198),(H198-L198))/VLOOKUP(C198,設定!$B$9:$D$23,2,FALSE)),"")</f>
        <v/>
      </c>
      <c r="Q198" s="41">
        <f>IFERROR(IF(OR(ISBLANK(P198),N198=0),"",P198/N198),"")</f>
        <v/>
      </c>
      <c r="R198" s="41">
        <f>IFERROR(IF(ISBLANK(Q198),R197,IF(ISNUMBER(R197),R197,0)+Q198),"")</f>
        <v/>
      </c>
      <c r="S198" s="42">
        <f>IFERROR(IF(OR(ISBLANK(P198),ISBLANK(K198)),"",P198*K198*VLOOKUP(C198,設定!$B$9:$D$23,3,FALSE)),"")</f>
        <v/>
      </c>
      <c r="T198" s="35" t="n"/>
    </row>
    <row r="199">
      <c r="A199" s="43">
        <f>IF(ISBLANK(B199),"",COUNTA($B$2:B199))</f>
        <v/>
      </c>
      <c r="B199" s="44" t="n"/>
      <c r="C199" s="45" t="n"/>
      <c r="D199" s="45" t="n"/>
      <c r="E199" s="45" t="n"/>
      <c r="F199" s="43" t="n"/>
      <c r="G199" s="46" t="n"/>
      <c r="H199" s="47" t="n"/>
      <c r="I199" s="47" t="n"/>
      <c r="J199" s="47" t="n"/>
      <c r="K199" s="48" t="n"/>
      <c r="L199" s="47" t="n"/>
      <c r="M199" s="45" t="n"/>
      <c r="N199" s="49">
        <f>IFERROR(IF(ISBLANK(H199),"",ABS(H199-I199)/VLOOKUP(C199,設定!$B$9:$D$23,2,FALSE)),"")</f>
        <v/>
      </c>
      <c r="O199" s="48">
        <f>IFERROR(IF(ISBLANK(J199),"",ABS(J199-H199)/ABS(H199-I199)),"")</f>
        <v/>
      </c>
      <c r="P199" s="50">
        <f>IFERROR(IF(OR(ISBLANK(L199),ISBLANK(E199)),"",IF(E199="Long",(L199-H199),(H199-L199))/VLOOKUP(C199,設定!$B$9:$D$23,2,FALSE)),"")</f>
        <v/>
      </c>
      <c r="Q199" s="51">
        <f>IFERROR(IF(OR(ISBLANK(P199),N199=0),"",P199/N199),"")</f>
        <v/>
      </c>
      <c r="R199" s="51">
        <f>IFERROR(IF(ISBLANK(Q199),R198,IF(ISNUMBER(R198),R198,0)+Q199),"")</f>
        <v/>
      </c>
      <c r="S199" s="52">
        <f>IFERROR(IF(OR(ISBLANK(P199),ISBLANK(K199)),"",P199*K199*VLOOKUP(C199,設定!$B$9:$D$23,3,FALSE)),"")</f>
        <v/>
      </c>
      <c r="T199" s="45" t="n"/>
    </row>
    <row r="200">
      <c r="A200" s="33">
        <f>IF(ISBLANK(B200),"",COUNTA($B$2:B200))</f>
        <v/>
      </c>
      <c r="B200" s="34" t="n"/>
      <c r="C200" s="35" t="n"/>
      <c r="D200" s="35" t="n"/>
      <c r="E200" s="35" t="n"/>
      <c r="F200" s="33" t="n"/>
      <c r="G200" s="36" t="n"/>
      <c r="H200" s="37" t="n"/>
      <c r="I200" s="37" t="n"/>
      <c r="J200" s="37" t="n"/>
      <c r="K200" s="38" t="n"/>
      <c r="L200" s="37" t="n"/>
      <c r="M200" s="35" t="n"/>
      <c r="N200" s="39">
        <f>IFERROR(IF(ISBLANK(H200),"",ABS(H200-I200)/VLOOKUP(C200,設定!$B$9:$D$23,2,FALSE)),"")</f>
        <v/>
      </c>
      <c r="O200" s="38">
        <f>IFERROR(IF(ISBLANK(J200),"",ABS(J200-H200)/ABS(H200-I200)),"")</f>
        <v/>
      </c>
      <c r="P200" s="40">
        <f>IFERROR(IF(OR(ISBLANK(L200),ISBLANK(E200)),"",IF(E200="Long",(L200-H200),(H200-L200))/VLOOKUP(C200,設定!$B$9:$D$23,2,FALSE)),"")</f>
        <v/>
      </c>
      <c r="Q200" s="41">
        <f>IFERROR(IF(OR(ISBLANK(P200),N200=0),"",P200/N200),"")</f>
        <v/>
      </c>
      <c r="R200" s="41">
        <f>IFERROR(IF(ISBLANK(Q200),R199,IF(ISNUMBER(R199),R199,0)+Q200),"")</f>
        <v/>
      </c>
      <c r="S200" s="42">
        <f>IFERROR(IF(OR(ISBLANK(P200),ISBLANK(K200)),"",P200*K200*VLOOKUP(C200,設定!$B$9:$D$23,3,FALSE)),"")</f>
        <v/>
      </c>
      <c r="T200" s="35" t="n"/>
    </row>
    <row r="201">
      <c r="A201" s="43">
        <f>IF(ISBLANK(B201),"",COUNTA($B$2:B201))</f>
        <v/>
      </c>
      <c r="B201" s="44" t="n"/>
      <c r="C201" s="45" t="n"/>
      <c r="D201" s="45" t="n"/>
      <c r="E201" s="45" t="n"/>
      <c r="F201" s="43" t="n"/>
      <c r="G201" s="46" t="n"/>
      <c r="H201" s="47" t="n"/>
      <c r="I201" s="47" t="n"/>
      <c r="J201" s="47" t="n"/>
      <c r="K201" s="48" t="n"/>
      <c r="L201" s="47" t="n"/>
      <c r="M201" s="45" t="n"/>
      <c r="N201" s="49">
        <f>IFERROR(IF(ISBLANK(H201),"",ABS(H201-I201)/VLOOKUP(C201,設定!$B$9:$D$23,2,FALSE)),"")</f>
        <v/>
      </c>
      <c r="O201" s="48">
        <f>IFERROR(IF(ISBLANK(J201),"",ABS(J201-H201)/ABS(H201-I201)),"")</f>
        <v/>
      </c>
      <c r="P201" s="50">
        <f>IFERROR(IF(OR(ISBLANK(L201),ISBLANK(E201)),"",IF(E201="Long",(L201-H201),(H201-L201))/VLOOKUP(C201,設定!$B$9:$D$23,2,FALSE)),"")</f>
        <v/>
      </c>
      <c r="Q201" s="51">
        <f>IFERROR(IF(OR(ISBLANK(P201),N201=0),"",P201/N201),"")</f>
        <v/>
      </c>
      <c r="R201" s="51">
        <f>IFERROR(IF(ISBLANK(Q201),R200,IF(ISNUMBER(R200),R200,0)+Q201),"")</f>
        <v/>
      </c>
      <c r="S201" s="52">
        <f>IFERROR(IF(OR(ISBLANK(P201),ISBLANK(K201)),"",P201*K201*VLOOKUP(C201,設定!$B$9:$D$23,3,FALSE)),"")</f>
        <v/>
      </c>
      <c r="T201" s="45" t="n"/>
    </row>
    <row r="202">
      <c r="A202" s="33">
        <f>IF(ISBLANK(B202),"",COUNTA($B$2:B202))</f>
        <v/>
      </c>
      <c r="B202" s="34" t="n"/>
      <c r="C202" s="35" t="n"/>
      <c r="D202" s="35" t="n"/>
      <c r="E202" s="35" t="n"/>
      <c r="F202" s="33" t="n"/>
      <c r="G202" s="36" t="n"/>
      <c r="H202" s="37" t="n"/>
      <c r="I202" s="37" t="n"/>
      <c r="J202" s="37" t="n"/>
      <c r="K202" s="38" t="n"/>
      <c r="L202" s="37" t="n"/>
      <c r="M202" s="35" t="n"/>
      <c r="N202" s="39">
        <f>IFERROR(IF(ISBLANK(H202),"",ABS(H202-I202)/VLOOKUP(C202,設定!$B$9:$D$23,2,FALSE)),"")</f>
        <v/>
      </c>
      <c r="O202" s="38">
        <f>IFERROR(IF(ISBLANK(J202),"",ABS(J202-H202)/ABS(H202-I202)),"")</f>
        <v/>
      </c>
      <c r="P202" s="40">
        <f>IFERROR(IF(OR(ISBLANK(L202),ISBLANK(E202)),"",IF(E202="Long",(L202-H202),(H202-L202))/VLOOKUP(C202,設定!$B$9:$D$23,2,FALSE)),"")</f>
        <v/>
      </c>
      <c r="Q202" s="41">
        <f>IFERROR(IF(OR(ISBLANK(P202),N202=0),"",P202/N202),"")</f>
        <v/>
      </c>
      <c r="R202" s="41">
        <f>IFERROR(IF(ISBLANK(Q202),R201,IF(ISNUMBER(R201),R201,0)+Q202),"")</f>
        <v/>
      </c>
      <c r="S202" s="42">
        <f>IFERROR(IF(OR(ISBLANK(P202),ISBLANK(K202)),"",P202*K202*VLOOKUP(C202,設定!$B$9:$D$23,3,FALSE)),"")</f>
        <v/>
      </c>
      <c r="T202" s="35" t="n"/>
    </row>
    <row r="203">
      <c r="A203" s="43">
        <f>IF(ISBLANK(B203),"",COUNTA($B$2:B203))</f>
        <v/>
      </c>
      <c r="B203" s="44" t="n"/>
      <c r="C203" s="45" t="n"/>
      <c r="D203" s="45" t="n"/>
      <c r="E203" s="45" t="n"/>
      <c r="F203" s="43" t="n"/>
      <c r="G203" s="46" t="n"/>
      <c r="H203" s="47" t="n"/>
      <c r="I203" s="47" t="n"/>
      <c r="J203" s="47" t="n"/>
      <c r="K203" s="48" t="n"/>
      <c r="L203" s="47" t="n"/>
      <c r="M203" s="45" t="n"/>
      <c r="N203" s="49">
        <f>IFERROR(IF(ISBLANK(H203),"",ABS(H203-I203)/VLOOKUP(C203,設定!$B$9:$D$23,2,FALSE)),"")</f>
        <v/>
      </c>
      <c r="O203" s="48">
        <f>IFERROR(IF(ISBLANK(J203),"",ABS(J203-H203)/ABS(H203-I203)),"")</f>
        <v/>
      </c>
      <c r="P203" s="50">
        <f>IFERROR(IF(OR(ISBLANK(L203),ISBLANK(E203)),"",IF(E203="Long",(L203-H203),(H203-L203))/VLOOKUP(C203,設定!$B$9:$D$23,2,FALSE)),"")</f>
        <v/>
      </c>
      <c r="Q203" s="51">
        <f>IFERROR(IF(OR(ISBLANK(P203),N203=0),"",P203/N203),"")</f>
        <v/>
      </c>
      <c r="R203" s="51">
        <f>IFERROR(IF(ISBLANK(Q203),R202,IF(ISNUMBER(R202),R202,0)+Q203),"")</f>
        <v/>
      </c>
      <c r="S203" s="52">
        <f>IFERROR(IF(OR(ISBLANK(P203),ISBLANK(K203)),"",P203*K203*VLOOKUP(C203,設定!$B$9:$D$23,3,FALSE)),"")</f>
        <v/>
      </c>
      <c r="T203" s="45" t="n"/>
    </row>
    <row r="204">
      <c r="A204" s="33">
        <f>IF(ISBLANK(B204),"",COUNTA($B$2:B204))</f>
        <v/>
      </c>
      <c r="B204" s="34" t="n"/>
      <c r="C204" s="35" t="n"/>
      <c r="D204" s="35" t="n"/>
      <c r="E204" s="35" t="n"/>
      <c r="F204" s="33" t="n"/>
      <c r="G204" s="36" t="n"/>
      <c r="H204" s="37" t="n"/>
      <c r="I204" s="37" t="n"/>
      <c r="J204" s="37" t="n"/>
      <c r="K204" s="38" t="n"/>
      <c r="L204" s="37" t="n"/>
      <c r="M204" s="35" t="n"/>
      <c r="N204" s="39">
        <f>IFERROR(IF(ISBLANK(H204),"",ABS(H204-I204)/VLOOKUP(C204,設定!$B$9:$D$23,2,FALSE)),"")</f>
        <v/>
      </c>
      <c r="O204" s="38">
        <f>IFERROR(IF(ISBLANK(J204),"",ABS(J204-H204)/ABS(H204-I204)),"")</f>
        <v/>
      </c>
      <c r="P204" s="40">
        <f>IFERROR(IF(OR(ISBLANK(L204),ISBLANK(E204)),"",IF(E204="Long",(L204-H204),(H204-L204))/VLOOKUP(C204,設定!$B$9:$D$23,2,FALSE)),"")</f>
        <v/>
      </c>
      <c r="Q204" s="41">
        <f>IFERROR(IF(OR(ISBLANK(P204),N204=0),"",P204/N204),"")</f>
        <v/>
      </c>
      <c r="R204" s="41">
        <f>IFERROR(IF(ISBLANK(Q204),R203,IF(ISNUMBER(R203),R203,0)+Q204),"")</f>
        <v/>
      </c>
      <c r="S204" s="42">
        <f>IFERROR(IF(OR(ISBLANK(P204),ISBLANK(K204)),"",P204*K204*VLOOKUP(C204,設定!$B$9:$D$23,3,FALSE)),"")</f>
        <v/>
      </c>
      <c r="T204" s="35" t="n"/>
    </row>
    <row r="205">
      <c r="A205" s="43">
        <f>IF(ISBLANK(B205),"",COUNTA($B$2:B205))</f>
        <v/>
      </c>
      <c r="B205" s="44" t="n"/>
      <c r="C205" s="45" t="n"/>
      <c r="D205" s="45" t="n"/>
      <c r="E205" s="45" t="n"/>
      <c r="F205" s="43" t="n"/>
      <c r="G205" s="46" t="n"/>
      <c r="H205" s="47" t="n"/>
      <c r="I205" s="47" t="n"/>
      <c r="J205" s="47" t="n"/>
      <c r="K205" s="48" t="n"/>
      <c r="L205" s="47" t="n"/>
      <c r="M205" s="45" t="n"/>
      <c r="N205" s="49">
        <f>IFERROR(IF(ISBLANK(H205),"",ABS(H205-I205)/VLOOKUP(C205,設定!$B$9:$D$23,2,FALSE)),"")</f>
        <v/>
      </c>
      <c r="O205" s="48">
        <f>IFERROR(IF(ISBLANK(J205),"",ABS(J205-H205)/ABS(H205-I205)),"")</f>
        <v/>
      </c>
      <c r="P205" s="50">
        <f>IFERROR(IF(OR(ISBLANK(L205),ISBLANK(E205)),"",IF(E205="Long",(L205-H205),(H205-L205))/VLOOKUP(C205,設定!$B$9:$D$23,2,FALSE)),"")</f>
        <v/>
      </c>
      <c r="Q205" s="51">
        <f>IFERROR(IF(OR(ISBLANK(P205),N205=0),"",P205/N205),"")</f>
        <v/>
      </c>
      <c r="R205" s="51">
        <f>IFERROR(IF(ISBLANK(Q205),R204,IF(ISNUMBER(R204),R204,0)+Q205),"")</f>
        <v/>
      </c>
      <c r="S205" s="52">
        <f>IFERROR(IF(OR(ISBLANK(P205),ISBLANK(K205)),"",P205*K205*VLOOKUP(C205,設定!$B$9:$D$23,3,FALSE)),"")</f>
        <v/>
      </c>
      <c r="T205" s="45" t="n"/>
    </row>
    <row r="206">
      <c r="A206" s="33">
        <f>IF(ISBLANK(B206),"",COUNTA($B$2:B206))</f>
        <v/>
      </c>
      <c r="B206" s="34" t="n"/>
      <c r="C206" s="35" t="n"/>
      <c r="D206" s="35" t="n"/>
      <c r="E206" s="35" t="n"/>
      <c r="F206" s="33" t="n"/>
      <c r="G206" s="36" t="n"/>
      <c r="H206" s="37" t="n"/>
      <c r="I206" s="37" t="n"/>
      <c r="J206" s="37" t="n"/>
      <c r="K206" s="38" t="n"/>
      <c r="L206" s="37" t="n"/>
      <c r="M206" s="35" t="n"/>
      <c r="N206" s="39">
        <f>IFERROR(IF(ISBLANK(H206),"",ABS(H206-I206)/VLOOKUP(C206,設定!$B$9:$D$23,2,FALSE)),"")</f>
        <v/>
      </c>
      <c r="O206" s="38">
        <f>IFERROR(IF(ISBLANK(J206),"",ABS(J206-H206)/ABS(H206-I206)),"")</f>
        <v/>
      </c>
      <c r="P206" s="40">
        <f>IFERROR(IF(OR(ISBLANK(L206),ISBLANK(E206)),"",IF(E206="Long",(L206-H206),(H206-L206))/VLOOKUP(C206,設定!$B$9:$D$23,2,FALSE)),"")</f>
        <v/>
      </c>
      <c r="Q206" s="41">
        <f>IFERROR(IF(OR(ISBLANK(P206),N206=0),"",P206/N206),"")</f>
        <v/>
      </c>
      <c r="R206" s="41">
        <f>IFERROR(IF(ISBLANK(Q206),R205,IF(ISNUMBER(R205),R205,0)+Q206),"")</f>
        <v/>
      </c>
      <c r="S206" s="42">
        <f>IFERROR(IF(OR(ISBLANK(P206),ISBLANK(K206)),"",P206*K206*VLOOKUP(C206,設定!$B$9:$D$23,3,FALSE)),"")</f>
        <v/>
      </c>
      <c r="T206" s="35" t="n"/>
    </row>
    <row r="207">
      <c r="A207" s="43">
        <f>IF(ISBLANK(B207),"",COUNTA($B$2:B207))</f>
        <v/>
      </c>
      <c r="B207" s="44" t="n"/>
      <c r="C207" s="45" t="n"/>
      <c r="D207" s="45" t="n"/>
      <c r="E207" s="45" t="n"/>
      <c r="F207" s="43" t="n"/>
      <c r="G207" s="46" t="n"/>
      <c r="H207" s="47" t="n"/>
      <c r="I207" s="47" t="n"/>
      <c r="J207" s="47" t="n"/>
      <c r="K207" s="48" t="n"/>
      <c r="L207" s="47" t="n"/>
      <c r="M207" s="45" t="n"/>
      <c r="N207" s="49">
        <f>IFERROR(IF(ISBLANK(H207),"",ABS(H207-I207)/VLOOKUP(C207,設定!$B$9:$D$23,2,FALSE)),"")</f>
        <v/>
      </c>
      <c r="O207" s="48">
        <f>IFERROR(IF(ISBLANK(J207),"",ABS(J207-H207)/ABS(H207-I207)),"")</f>
        <v/>
      </c>
      <c r="P207" s="50">
        <f>IFERROR(IF(OR(ISBLANK(L207),ISBLANK(E207)),"",IF(E207="Long",(L207-H207),(H207-L207))/VLOOKUP(C207,設定!$B$9:$D$23,2,FALSE)),"")</f>
        <v/>
      </c>
      <c r="Q207" s="51">
        <f>IFERROR(IF(OR(ISBLANK(P207),N207=0),"",P207/N207),"")</f>
        <v/>
      </c>
      <c r="R207" s="51">
        <f>IFERROR(IF(ISBLANK(Q207),R206,IF(ISNUMBER(R206),R206,0)+Q207),"")</f>
        <v/>
      </c>
      <c r="S207" s="52">
        <f>IFERROR(IF(OR(ISBLANK(P207),ISBLANK(K207)),"",P207*K207*VLOOKUP(C207,設定!$B$9:$D$23,3,FALSE)),"")</f>
        <v/>
      </c>
      <c r="T207" s="45" t="n"/>
    </row>
    <row r="208">
      <c r="A208" s="33">
        <f>IF(ISBLANK(B208),"",COUNTA($B$2:B208))</f>
        <v/>
      </c>
      <c r="B208" s="34" t="n"/>
      <c r="C208" s="35" t="n"/>
      <c r="D208" s="35" t="n"/>
      <c r="E208" s="35" t="n"/>
      <c r="F208" s="33" t="n"/>
      <c r="G208" s="36" t="n"/>
      <c r="H208" s="37" t="n"/>
      <c r="I208" s="37" t="n"/>
      <c r="J208" s="37" t="n"/>
      <c r="K208" s="38" t="n"/>
      <c r="L208" s="37" t="n"/>
      <c r="M208" s="35" t="n"/>
      <c r="N208" s="39">
        <f>IFERROR(IF(ISBLANK(H208),"",ABS(H208-I208)/VLOOKUP(C208,設定!$B$9:$D$23,2,FALSE)),"")</f>
        <v/>
      </c>
      <c r="O208" s="38">
        <f>IFERROR(IF(ISBLANK(J208),"",ABS(J208-H208)/ABS(H208-I208)),"")</f>
        <v/>
      </c>
      <c r="P208" s="40">
        <f>IFERROR(IF(OR(ISBLANK(L208),ISBLANK(E208)),"",IF(E208="Long",(L208-H208),(H208-L208))/VLOOKUP(C208,設定!$B$9:$D$23,2,FALSE)),"")</f>
        <v/>
      </c>
      <c r="Q208" s="41">
        <f>IFERROR(IF(OR(ISBLANK(P208),N208=0),"",P208/N208),"")</f>
        <v/>
      </c>
      <c r="R208" s="41">
        <f>IFERROR(IF(ISBLANK(Q208),R207,IF(ISNUMBER(R207),R207,0)+Q208),"")</f>
        <v/>
      </c>
      <c r="S208" s="42">
        <f>IFERROR(IF(OR(ISBLANK(P208),ISBLANK(K208)),"",P208*K208*VLOOKUP(C208,設定!$B$9:$D$23,3,FALSE)),"")</f>
        <v/>
      </c>
      <c r="T208" s="35" t="n"/>
    </row>
    <row r="209">
      <c r="A209" s="43">
        <f>IF(ISBLANK(B209),"",COUNTA($B$2:B209))</f>
        <v/>
      </c>
      <c r="B209" s="44" t="n"/>
      <c r="C209" s="45" t="n"/>
      <c r="D209" s="45" t="n"/>
      <c r="E209" s="45" t="n"/>
      <c r="F209" s="43" t="n"/>
      <c r="G209" s="46" t="n"/>
      <c r="H209" s="47" t="n"/>
      <c r="I209" s="47" t="n"/>
      <c r="J209" s="47" t="n"/>
      <c r="K209" s="48" t="n"/>
      <c r="L209" s="47" t="n"/>
      <c r="M209" s="45" t="n"/>
      <c r="N209" s="49">
        <f>IFERROR(IF(ISBLANK(H209),"",ABS(H209-I209)/VLOOKUP(C209,設定!$B$9:$D$23,2,FALSE)),"")</f>
        <v/>
      </c>
      <c r="O209" s="48">
        <f>IFERROR(IF(ISBLANK(J209),"",ABS(J209-H209)/ABS(H209-I209)),"")</f>
        <v/>
      </c>
      <c r="P209" s="50">
        <f>IFERROR(IF(OR(ISBLANK(L209),ISBLANK(E209)),"",IF(E209="Long",(L209-H209),(H209-L209))/VLOOKUP(C209,設定!$B$9:$D$23,2,FALSE)),"")</f>
        <v/>
      </c>
      <c r="Q209" s="51">
        <f>IFERROR(IF(OR(ISBLANK(P209),N209=0),"",P209/N209),"")</f>
        <v/>
      </c>
      <c r="R209" s="51">
        <f>IFERROR(IF(ISBLANK(Q209),R208,IF(ISNUMBER(R208),R208,0)+Q209),"")</f>
        <v/>
      </c>
      <c r="S209" s="52">
        <f>IFERROR(IF(OR(ISBLANK(P209),ISBLANK(K209)),"",P209*K209*VLOOKUP(C209,設定!$B$9:$D$23,3,FALSE)),"")</f>
        <v/>
      </c>
      <c r="T209" s="45" t="n"/>
    </row>
    <row r="210">
      <c r="A210" s="33">
        <f>IF(ISBLANK(B210),"",COUNTA($B$2:B210))</f>
        <v/>
      </c>
      <c r="B210" s="34" t="n"/>
      <c r="C210" s="35" t="n"/>
      <c r="D210" s="35" t="n"/>
      <c r="E210" s="35" t="n"/>
      <c r="F210" s="33" t="n"/>
      <c r="G210" s="36" t="n"/>
      <c r="H210" s="37" t="n"/>
      <c r="I210" s="37" t="n"/>
      <c r="J210" s="37" t="n"/>
      <c r="K210" s="38" t="n"/>
      <c r="L210" s="37" t="n"/>
      <c r="M210" s="35" t="n"/>
      <c r="N210" s="39">
        <f>IFERROR(IF(ISBLANK(H210),"",ABS(H210-I210)/VLOOKUP(C210,設定!$B$9:$D$23,2,FALSE)),"")</f>
        <v/>
      </c>
      <c r="O210" s="38">
        <f>IFERROR(IF(ISBLANK(J210),"",ABS(J210-H210)/ABS(H210-I210)),"")</f>
        <v/>
      </c>
      <c r="P210" s="40">
        <f>IFERROR(IF(OR(ISBLANK(L210),ISBLANK(E210)),"",IF(E210="Long",(L210-H210),(H210-L210))/VLOOKUP(C210,設定!$B$9:$D$23,2,FALSE)),"")</f>
        <v/>
      </c>
      <c r="Q210" s="41">
        <f>IFERROR(IF(OR(ISBLANK(P210),N210=0),"",P210/N210),"")</f>
        <v/>
      </c>
      <c r="R210" s="41">
        <f>IFERROR(IF(ISBLANK(Q210),R209,IF(ISNUMBER(R209),R209,0)+Q210),"")</f>
        <v/>
      </c>
      <c r="S210" s="42">
        <f>IFERROR(IF(OR(ISBLANK(P210),ISBLANK(K210)),"",P210*K210*VLOOKUP(C210,設定!$B$9:$D$23,3,FALSE)),"")</f>
        <v/>
      </c>
      <c r="T210" s="35" t="n"/>
    </row>
    <row r="211">
      <c r="A211" s="43">
        <f>IF(ISBLANK(B211),"",COUNTA($B$2:B211))</f>
        <v/>
      </c>
      <c r="B211" s="44" t="n"/>
      <c r="C211" s="45" t="n"/>
      <c r="D211" s="45" t="n"/>
      <c r="E211" s="45" t="n"/>
      <c r="F211" s="43" t="n"/>
      <c r="G211" s="46" t="n"/>
      <c r="H211" s="47" t="n"/>
      <c r="I211" s="47" t="n"/>
      <c r="J211" s="47" t="n"/>
      <c r="K211" s="48" t="n"/>
      <c r="L211" s="47" t="n"/>
      <c r="M211" s="45" t="n"/>
      <c r="N211" s="49">
        <f>IFERROR(IF(ISBLANK(H211),"",ABS(H211-I211)/VLOOKUP(C211,設定!$B$9:$D$23,2,FALSE)),"")</f>
        <v/>
      </c>
      <c r="O211" s="48">
        <f>IFERROR(IF(ISBLANK(J211),"",ABS(J211-H211)/ABS(H211-I211)),"")</f>
        <v/>
      </c>
      <c r="P211" s="50">
        <f>IFERROR(IF(OR(ISBLANK(L211),ISBLANK(E211)),"",IF(E211="Long",(L211-H211),(H211-L211))/VLOOKUP(C211,設定!$B$9:$D$23,2,FALSE)),"")</f>
        <v/>
      </c>
      <c r="Q211" s="51">
        <f>IFERROR(IF(OR(ISBLANK(P211),N211=0),"",P211/N211),"")</f>
        <v/>
      </c>
      <c r="R211" s="51">
        <f>IFERROR(IF(ISBLANK(Q211),R210,IF(ISNUMBER(R210),R210,0)+Q211),"")</f>
        <v/>
      </c>
      <c r="S211" s="52">
        <f>IFERROR(IF(OR(ISBLANK(P211),ISBLANK(K211)),"",P211*K211*VLOOKUP(C211,設定!$B$9:$D$23,3,FALSE)),"")</f>
        <v/>
      </c>
      <c r="T211" s="45" t="n"/>
    </row>
    <row r="212">
      <c r="A212" s="33">
        <f>IF(ISBLANK(B212),"",COUNTA($B$2:B212))</f>
        <v/>
      </c>
      <c r="B212" s="34" t="n"/>
      <c r="C212" s="35" t="n"/>
      <c r="D212" s="35" t="n"/>
      <c r="E212" s="35" t="n"/>
      <c r="F212" s="33" t="n"/>
      <c r="G212" s="36" t="n"/>
      <c r="H212" s="37" t="n"/>
      <c r="I212" s="37" t="n"/>
      <c r="J212" s="37" t="n"/>
      <c r="K212" s="38" t="n"/>
      <c r="L212" s="37" t="n"/>
      <c r="M212" s="35" t="n"/>
      <c r="N212" s="39">
        <f>IFERROR(IF(ISBLANK(H212),"",ABS(H212-I212)/VLOOKUP(C212,設定!$B$9:$D$23,2,FALSE)),"")</f>
        <v/>
      </c>
      <c r="O212" s="38">
        <f>IFERROR(IF(ISBLANK(J212),"",ABS(J212-H212)/ABS(H212-I212)),"")</f>
        <v/>
      </c>
      <c r="P212" s="40">
        <f>IFERROR(IF(OR(ISBLANK(L212),ISBLANK(E212)),"",IF(E212="Long",(L212-H212),(H212-L212))/VLOOKUP(C212,設定!$B$9:$D$23,2,FALSE)),"")</f>
        <v/>
      </c>
      <c r="Q212" s="41">
        <f>IFERROR(IF(OR(ISBLANK(P212),N212=0),"",P212/N212),"")</f>
        <v/>
      </c>
      <c r="R212" s="41">
        <f>IFERROR(IF(ISBLANK(Q212),R211,IF(ISNUMBER(R211),R211,0)+Q212),"")</f>
        <v/>
      </c>
      <c r="S212" s="42">
        <f>IFERROR(IF(OR(ISBLANK(P212),ISBLANK(K212)),"",P212*K212*VLOOKUP(C212,設定!$B$9:$D$23,3,FALSE)),"")</f>
        <v/>
      </c>
      <c r="T212" s="35" t="n"/>
    </row>
    <row r="213">
      <c r="A213" s="43">
        <f>IF(ISBLANK(B213),"",COUNTA($B$2:B213))</f>
        <v/>
      </c>
      <c r="B213" s="44" t="n"/>
      <c r="C213" s="45" t="n"/>
      <c r="D213" s="45" t="n"/>
      <c r="E213" s="45" t="n"/>
      <c r="F213" s="43" t="n"/>
      <c r="G213" s="46" t="n"/>
      <c r="H213" s="47" t="n"/>
      <c r="I213" s="47" t="n"/>
      <c r="J213" s="47" t="n"/>
      <c r="K213" s="48" t="n"/>
      <c r="L213" s="47" t="n"/>
      <c r="M213" s="45" t="n"/>
      <c r="N213" s="49">
        <f>IFERROR(IF(ISBLANK(H213),"",ABS(H213-I213)/VLOOKUP(C213,設定!$B$9:$D$23,2,FALSE)),"")</f>
        <v/>
      </c>
      <c r="O213" s="48">
        <f>IFERROR(IF(ISBLANK(J213),"",ABS(J213-H213)/ABS(H213-I213)),"")</f>
        <v/>
      </c>
      <c r="P213" s="50">
        <f>IFERROR(IF(OR(ISBLANK(L213),ISBLANK(E213)),"",IF(E213="Long",(L213-H213),(H213-L213))/VLOOKUP(C213,設定!$B$9:$D$23,2,FALSE)),"")</f>
        <v/>
      </c>
      <c r="Q213" s="51">
        <f>IFERROR(IF(OR(ISBLANK(P213),N213=0),"",P213/N213),"")</f>
        <v/>
      </c>
      <c r="R213" s="51">
        <f>IFERROR(IF(ISBLANK(Q213),R212,IF(ISNUMBER(R212),R212,0)+Q213),"")</f>
        <v/>
      </c>
      <c r="S213" s="52">
        <f>IFERROR(IF(OR(ISBLANK(P213),ISBLANK(K213)),"",P213*K213*VLOOKUP(C213,設定!$B$9:$D$23,3,FALSE)),"")</f>
        <v/>
      </c>
      <c r="T213" s="45" t="n"/>
    </row>
    <row r="214">
      <c r="A214" s="33">
        <f>IF(ISBLANK(B214),"",COUNTA($B$2:B214))</f>
        <v/>
      </c>
      <c r="B214" s="34" t="n"/>
      <c r="C214" s="35" t="n"/>
      <c r="D214" s="35" t="n"/>
      <c r="E214" s="35" t="n"/>
      <c r="F214" s="33" t="n"/>
      <c r="G214" s="36" t="n"/>
      <c r="H214" s="37" t="n"/>
      <c r="I214" s="37" t="n"/>
      <c r="J214" s="37" t="n"/>
      <c r="K214" s="38" t="n"/>
      <c r="L214" s="37" t="n"/>
      <c r="M214" s="35" t="n"/>
      <c r="N214" s="39">
        <f>IFERROR(IF(ISBLANK(H214),"",ABS(H214-I214)/VLOOKUP(C214,設定!$B$9:$D$23,2,FALSE)),"")</f>
        <v/>
      </c>
      <c r="O214" s="38">
        <f>IFERROR(IF(ISBLANK(J214),"",ABS(J214-H214)/ABS(H214-I214)),"")</f>
        <v/>
      </c>
      <c r="P214" s="40">
        <f>IFERROR(IF(OR(ISBLANK(L214),ISBLANK(E214)),"",IF(E214="Long",(L214-H214),(H214-L214))/VLOOKUP(C214,設定!$B$9:$D$23,2,FALSE)),"")</f>
        <v/>
      </c>
      <c r="Q214" s="41">
        <f>IFERROR(IF(OR(ISBLANK(P214),N214=0),"",P214/N214),"")</f>
        <v/>
      </c>
      <c r="R214" s="41">
        <f>IFERROR(IF(ISBLANK(Q214),R213,IF(ISNUMBER(R213),R213,0)+Q214),"")</f>
        <v/>
      </c>
      <c r="S214" s="42">
        <f>IFERROR(IF(OR(ISBLANK(P214),ISBLANK(K214)),"",P214*K214*VLOOKUP(C214,設定!$B$9:$D$23,3,FALSE)),"")</f>
        <v/>
      </c>
      <c r="T214" s="35" t="n"/>
    </row>
    <row r="215">
      <c r="A215" s="43">
        <f>IF(ISBLANK(B215),"",COUNTA($B$2:B215))</f>
        <v/>
      </c>
      <c r="B215" s="44" t="n"/>
      <c r="C215" s="45" t="n"/>
      <c r="D215" s="45" t="n"/>
      <c r="E215" s="45" t="n"/>
      <c r="F215" s="43" t="n"/>
      <c r="G215" s="46" t="n"/>
      <c r="H215" s="47" t="n"/>
      <c r="I215" s="47" t="n"/>
      <c r="J215" s="47" t="n"/>
      <c r="K215" s="48" t="n"/>
      <c r="L215" s="47" t="n"/>
      <c r="M215" s="45" t="n"/>
      <c r="N215" s="49">
        <f>IFERROR(IF(ISBLANK(H215),"",ABS(H215-I215)/VLOOKUP(C215,設定!$B$9:$D$23,2,FALSE)),"")</f>
        <v/>
      </c>
      <c r="O215" s="48">
        <f>IFERROR(IF(ISBLANK(J215),"",ABS(J215-H215)/ABS(H215-I215)),"")</f>
        <v/>
      </c>
      <c r="P215" s="50">
        <f>IFERROR(IF(OR(ISBLANK(L215),ISBLANK(E215)),"",IF(E215="Long",(L215-H215),(H215-L215))/VLOOKUP(C215,設定!$B$9:$D$23,2,FALSE)),"")</f>
        <v/>
      </c>
      <c r="Q215" s="51">
        <f>IFERROR(IF(OR(ISBLANK(P215),N215=0),"",P215/N215),"")</f>
        <v/>
      </c>
      <c r="R215" s="51">
        <f>IFERROR(IF(ISBLANK(Q215),R214,IF(ISNUMBER(R214),R214,0)+Q215),"")</f>
        <v/>
      </c>
      <c r="S215" s="52">
        <f>IFERROR(IF(OR(ISBLANK(P215),ISBLANK(K215)),"",P215*K215*VLOOKUP(C215,設定!$B$9:$D$23,3,FALSE)),"")</f>
        <v/>
      </c>
      <c r="T215" s="45" t="n"/>
    </row>
    <row r="216">
      <c r="A216" s="33">
        <f>IF(ISBLANK(B216),"",COUNTA($B$2:B216))</f>
        <v/>
      </c>
      <c r="B216" s="34" t="n"/>
      <c r="C216" s="35" t="n"/>
      <c r="D216" s="35" t="n"/>
      <c r="E216" s="35" t="n"/>
      <c r="F216" s="33" t="n"/>
      <c r="G216" s="36" t="n"/>
      <c r="H216" s="37" t="n"/>
      <c r="I216" s="37" t="n"/>
      <c r="J216" s="37" t="n"/>
      <c r="K216" s="38" t="n"/>
      <c r="L216" s="37" t="n"/>
      <c r="M216" s="35" t="n"/>
      <c r="N216" s="39">
        <f>IFERROR(IF(ISBLANK(H216),"",ABS(H216-I216)/VLOOKUP(C216,設定!$B$9:$D$23,2,FALSE)),"")</f>
        <v/>
      </c>
      <c r="O216" s="38">
        <f>IFERROR(IF(ISBLANK(J216),"",ABS(J216-H216)/ABS(H216-I216)),"")</f>
        <v/>
      </c>
      <c r="P216" s="40">
        <f>IFERROR(IF(OR(ISBLANK(L216),ISBLANK(E216)),"",IF(E216="Long",(L216-H216),(H216-L216))/VLOOKUP(C216,設定!$B$9:$D$23,2,FALSE)),"")</f>
        <v/>
      </c>
      <c r="Q216" s="41">
        <f>IFERROR(IF(OR(ISBLANK(P216),N216=0),"",P216/N216),"")</f>
        <v/>
      </c>
      <c r="R216" s="41">
        <f>IFERROR(IF(ISBLANK(Q216),R215,IF(ISNUMBER(R215),R215,0)+Q216),"")</f>
        <v/>
      </c>
      <c r="S216" s="42">
        <f>IFERROR(IF(OR(ISBLANK(P216),ISBLANK(K216)),"",P216*K216*VLOOKUP(C216,設定!$B$9:$D$23,3,FALSE)),"")</f>
        <v/>
      </c>
      <c r="T216" s="35" t="n"/>
    </row>
    <row r="217">
      <c r="A217" s="43">
        <f>IF(ISBLANK(B217),"",COUNTA($B$2:B217))</f>
        <v/>
      </c>
      <c r="B217" s="44" t="n"/>
      <c r="C217" s="45" t="n"/>
      <c r="D217" s="45" t="n"/>
      <c r="E217" s="45" t="n"/>
      <c r="F217" s="43" t="n"/>
      <c r="G217" s="46" t="n"/>
      <c r="H217" s="47" t="n"/>
      <c r="I217" s="47" t="n"/>
      <c r="J217" s="47" t="n"/>
      <c r="K217" s="48" t="n"/>
      <c r="L217" s="47" t="n"/>
      <c r="M217" s="45" t="n"/>
      <c r="N217" s="49">
        <f>IFERROR(IF(ISBLANK(H217),"",ABS(H217-I217)/VLOOKUP(C217,設定!$B$9:$D$23,2,FALSE)),"")</f>
        <v/>
      </c>
      <c r="O217" s="48">
        <f>IFERROR(IF(ISBLANK(J217),"",ABS(J217-H217)/ABS(H217-I217)),"")</f>
        <v/>
      </c>
      <c r="P217" s="50">
        <f>IFERROR(IF(OR(ISBLANK(L217),ISBLANK(E217)),"",IF(E217="Long",(L217-H217),(H217-L217))/VLOOKUP(C217,設定!$B$9:$D$23,2,FALSE)),"")</f>
        <v/>
      </c>
      <c r="Q217" s="51">
        <f>IFERROR(IF(OR(ISBLANK(P217),N217=0),"",P217/N217),"")</f>
        <v/>
      </c>
      <c r="R217" s="51">
        <f>IFERROR(IF(ISBLANK(Q217),R216,IF(ISNUMBER(R216),R216,0)+Q217),"")</f>
        <v/>
      </c>
      <c r="S217" s="52">
        <f>IFERROR(IF(OR(ISBLANK(P217),ISBLANK(K217)),"",P217*K217*VLOOKUP(C217,設定!$B$9:$D$23,3,FALSE)),"")</f>
        <v/>
      </c>
      <c r="T217" s="45" t="n"/>
    </row>
    <row r="218">
      <c r="A218" s="33">
        <f>IF(ISBLANK(B218),"",COUNTA($B$2:B218))</f>
        <v/>
      </c>
      <c r="B218" s="34" t="n"/>
      <c r="C218" s="35" t="n"/>
      <c r="D218" s="35" t="n"/>
      <c r="E218" s="35" t="n"/>
      <c r="F218" s="33" t="n"/>
      <c r="G218" s="36" t="n"/>
      <c r="H218" s="37" t="n"/>
      <c r="I218" s="37" t="n"/>
      <c r="J218" s="37" t="n"/>
      <c r="K218" s="38" t="n"/>
      <c r="L218" s="37" t="n"/>
      <c r="M218" s="35" t="n"/>
      <c r="N218" s="39">
        <f>IFERROR(IF(ISBLANK(H218),"",ABS(H218-I218)/VLOOKUP(C218,設定!$B$9:$D$23,2,FALSE)),"")</f>
        <v/>
      </c>
      <c r="O218" s="38">
        <f>IFERROR(IF(ISBLANK(J218),"",ABS(J218-H218)/ABS(H218-I218)),"")</f>
        <v/>
      </c>
      <c r="P218" s="40">
        <f>IFERROR(IF(OR(ISBLANK(L218),ISBLANK(E218)),"",IF(E218="Long",(L218-H218),(H218-L218))/VLOOKUP(C218,設定!$B$9:$D$23,2,FALSE)),"")</f>
        <v/>
      </c>
      <c r="Q218" s="41">
        <f>IFERROR(IF(OR(ISBLANK(P218),N218=0),"",P218/N218),"")</f>
        <v/>
      </c>
      <c r="R218" s="41">
        <f>IFERROR(IF(ISBLANK(Q218),R217,IF(ISNUMBER(R217),R217,0)+Q218),"")</f>
        <v/>
      </c>
      <c r="S218" s="42">
        <f>IFERROR(IF(OR(ISBLANK(P218),ISBLANK(K218)),"",P218*K218*VLOOKUP(C218,設定!$B$9:$D$23,3,FALSE)),"")</f>
        <v/>
      </c>
      <c r="T218" s="35" t="n"/>
    </row>
    <row r="219">
      <c r="A219" s="43">
        <f>IF(ISBLANK(B219),"",COUNTA($B$2:B219))</f>
        <v/>
      </c>
      <c r="B219" s="44" t="n"/>
      <c r="C219" s="45" t="n"/>
      <c r="D219" s="45" t="n"/>
      <c r="E219" s="45" t="n"/>
      <c r="F219" s="43" t="n"/>
      <c r="G219" s="46" t="n"/>
      <c r="H219" s="47" t="n"/>
      <c r="I219" s="47" t="n"/>
      <c r="J219" s="47" t="n"/>
      <c r="K219" s="48" t="n"/>
      <c r="L219" s="47" t="n"/>
      <c r="M219" s="45" t="n"/>
      <c r="N219" s="49">
        <f>IFERROR(IF(ISBLANK(H219),"",ABS(H219-I219)/VLOOKUP(C219,設定!$B$9:$D$23,2,FALSE)),"")</f>
        <v/>
      </c>
      <c r="O219" s="48">
        <f>IFERROR(IF(ISBLANK(J219),"",ABS(J219-H219)/ABS(H219-I219)),"")</f>
        <v/>
      </c>
      <c r="P219" s="50">
        <f>IFERROR(IF(OR(ISBLANK(L219),ISBLANK(E219)),"",IF(E219="Long",(L219-H219),(H219-L219))/VLOOKUP(C219,設定!$B$9:$D$23,2,FALSE)),"")</f>
        <v/>
      </c>
      <c r="Q219" s="51">
        <f>IFERROR(IF(OR(ISBLANK(P219),N219=0),"",P219/N219),"")</f>
        <v/>
      </c>
      <c r="R219" s="51">
        <f>IFERROR(IF(ISBLANK(Q219),R218,IF(ISNUMBER(R218),R218,0)+Q219),"")</f>
        <v/>
      </c>
      <c r="S219" s="52">
        <f>IFERROR(IF(OR(ISBLANK(P219),ISBLANK(K219)),"",P219*K219*VLOOKUP(C219,設定!$B$9:$D$23,3,FALSE)),"")</f>
        <v/>
      </c>
      <c r="T219" s="45" t="n"/>
    </row>
    <row r="220">
      <c r="A220" s="33">
        <f>IF(ISBLANK(B220),"",COUNTA($B$2:B220))</f>
        <v/>
      </c>
      <c r="B220" s="34" t="n"/>
      <c r="C220" s="35" t="n"/>
      <c r="D220" s="35" t="n"/>
      <c r="E220" s="35" t="n"/>
      <c r="F220" s="33" t="n"/>
      <c r="G220" s="36" t="n"/>
      <c r="H220" s="37" t="n"/>
      <c r="I220" s="37" t="n"/>
      <c r="J220" s="37" t="n"/>
      <c r="K220" s="38" t="n"/>
      <c r="L220" s="37" t="n"/>
      <c r="M220" s="35" t="n"/>
      <c r="N220" s="39">
        <f>IFERROR(IF(ISBLANK(H220),"",ABS(H220-I220)/VLOOKUP(C220,設定!$B$9:$D$23,2,FALSE)),"")</f>
        <v/>
      </c>
      <c r="O220" s="38">
        <f>IFERROR(IF(ISBLANK(J220),"",ABS(J220-H220)/ABS(H220-I220)),"")</f>
        <v/>
      </c>
      <c r="P220" s="40">
        <f>IFERROR(IF(OR(ISBLANK(L220),ISBLANK(E220)),"",IF(E220="Long",(L220-H220),(H220-L220))/VLOOKUP(C220,設定!$B$9:$D$23,2,FALSE)),"")</f>
        <v/>
      </c>
      <c r="Q220" s="41">
        <f>IFERROR(IF(OR(ISBLANK(P220),N220=0),"",P220/N220),"")</f>
        <v/>
      </c>
      <c r="R220" s="41">
        <f>IFERROR(IF(ISBLANK(Q220),R219,IF(ISNUMBER(R219),R219,0)+Q220),"")</f>
        <v/>
      </c>
      <c r="S220" s="42">
        <f>IFERROR(IF(OR(ISBLANK(P220),ISBLANK(K220)),"",P220*K220*VLOOKUP(C220,設定!$B$9:$D$23,3,FALSE)),"")</f>
        <v/>
      </c>
      <c r="T220" s="35" t="n"/>
    </row>
    <row r="221">
      <c r="A221" s="43">
        <f>IF(ISBLANK(B221),"",COUNTA($B$2:B221))</f>
        <v/>
      </c>
      <c r="B221" s="44" t="n"/>
      <c r="C221" s="45" t="n"/>
      <c r="D221" s="45" t="n"/>
      <c r="E221" s="45" t="n"/>
      <c r="F221" s="43" t="n"/>
      <c r="G221" s="46" t="n"/>
      <c r="H221" s="47" t="n"/>
      <c r="I221" s="47" t="n"/>
      <c r="J221" s="47" t="n"/>
      <c r="K221" s="48" t="n"/>
      <c r="L221" s="47" t="n"/>
      <c r="M221" s="45" t="n"/>
      <c r="N221" s="49">
        <f>IFERROR(IF(ISBLANK(H221),"",ABS(H221-I221)/VLOOKUP(C221,設定!$B$9:$D$23,2,FALSE)),"")</f>
        <v/>
      </c>
      <c r="O221" s="48">
        <f>IFERROR(IF(ISBLANK(J221),"",ABS(J221-H221)/ABS(H221-I221)),"")</f>
        <v/>
      </c>
      <c r="P221" s="50">
        <f>IFERROR(IF(OR(ISBLANK(L221),ISBLANK(E221)),"",IF(E221="Long",(L221-H221),(H221-L221))/VLOOKUP(C221,設定!$B$9:$D$23,2,FALSE)),"")</f>
        <v/>
      </c>
      <c r="Q221" s="51">
        <f>IFERROR(IF(OR(ISBLANK(P221),N221=0),"",P221/N221),"")</f>
        <v/>
      </c>
      <c r="R221" s="51">
        <f>IFERROR(IF(ISBLANK(Q221),R220,IF(ISNUMBER(R220),R220,0)+Q221),"")</f>
        <v/>
      </c>
      <c r="S221" s="52">
        <f>IFERROR(IF(OR(ISBLANK(P221),ISBLANK(K221)),"",P221*K221*VLOOKUP(C221,設定!$B$9:$D$23,3,FALSE)),"")</f>
        <v/>
      </c>
      <c r="T221" s="45" t="n"/>
    </row>
    <row r="222">
      <c r="A222" s="33">
        <f>IF(ISBLANK(B222),"",COUNTA($B$2:B222))</f>
        <v/>
      </c>
      <c r="B222" s="34" t="n"/>
      <c r="C222" s="35" t="n"/>
      <c r="D222" s="35" t="n"/>
      <c r="E222" s="35" t="n"/>
      <c r="F222" s="33" t="n"/>
      <c r="G222" s="36" t="n"/>
      <c r="H222" s="37" t="n"/>
      <c r="I222" s="37" t="n"/>
      <c r="J222" s="37" t="n"/>
      <c r="K222" s="38" t="n"/>
      <c r="L222" s="37" t="n"/>
      <c r="M222" s="35" t="n"/>
      <c r="N222" s="39">
        <f>IFERROR(IF(ISBLANK(H222),"",ABS(H222-I222)/VLOOKUP(C222,設定!$B$9:$D$23,2,FALSE)),"")</f>
        <v/>
      </c>
      <c r="O222" s="38">
        <f>IFERROR(IF(ISBLANK(J222),"",ABS(J222-H222)/ABS(H222-I222)),"")</f>
        <v/>
      </c>
      <c r="P222" s="40">
        <f>IFERROR(IF(OR(ISBLANK(L222),ISBLANK(E222)),"",IF(E222="Long",(L222-H222),(H222-L222))/VLOOKUP(C222,設定!$B$9:$D$23,2,FALSE)),"")</f>
        <v/>
      </c>
      <c r="Q222" s="41">
        <f>IFERROR(IF(OR(ISBLANK(P222),N222=0),"",P222/N222),"")</f>
        <v/>
      </c>
      <c r="R222" s="41">
        <f>IFERROR(IF(ISBLANK(Q222),R221,IF(ISNUMBER(R221),R221,0)+Q222),"")</f>
        <v/>
      </c>
      <c r="S222" s="42">
        <f>IFERROR(IF(OR(ISBLANK(P222),ISBLANK(K222)),"",P222*K222*VLOOKUP(C222,設定!$B$9:$D$23,3,FALSE)),"")</f>
        <v/>
      </c>
      <c r="T222" s="35" t="n"/>
    </row>
    <row r="223">
      <c r="A223" s="43">
        <f>IF(ISBLANK(B223),"",COUNTA($B$2:B223))</f>
        <v/>
      </c>
      <c r="B223" s="44" t="n"/>
      <c r="C223" s="45" t="n"/>
      <c r="D223" s="45" t="n"/>
      <c r="E223" s="45" t="n"/>
      <c r="F223" s="43" t="n"/>
      <c r="G223" s="46" t="n"/>
      <c r="H223" s="47" t="n"/>
      <c r="I223" s="47" t="n"/>
      <c r="J223" s="47" t="n"/>
      <c r="K223" s="48" t="n"/>
      <c r="L223" s="47" t="n"/>
      <c r="M223" s="45" t="n"/>
      <c r="N223" s="49">
        <f>IFERROR(IF(ISBLANK(H223),"",ABS(H223-I223)/VLOOKUP(C223,設定!$B$9:$D$23,2,FALSE)),"")</f>
        <v/>
      </c>
      <c r="O223" s="48">
        <f>IFERROR(IF(ISBLANK(J223),"",ABS(J223-H223)/ABS(H223-I223)),"")</f>
        <v/>
      </c>
      <c r="P223" s="50">
        <f>IFERROR(IF(OR(ISBLANK(L223),ISBLANK(E223)),"",IF(E223="Long",(L223-H223),(H223-L223))/VLOOKUP(C223,設定!$B$9:$D$23,2,FALSE)),"")</f>
        <v/>
      </c>
      <c r="Q223" s="51">
        <f>IFERROR(IF(OR(ISBLANK(P223),N223=0),"",P223/N223),"")</f>
        <v/>
      </c>
      <c r="R223" s="51">
        <f>IFERROR(IF(ISBLANK(Q223),R222,IF(ISNUMBER(R222),R222,0)+Q223),"")</f>
        <v/>
      </c>
      <c r="S223" s="52">
        <f>IFERROR(IF(OR(ISBLANK(P223),ISBLANK(K223)),"",P223*K223*VLOOKUP(C223,設定!$B$9:$D$23,3,FALSE)),"")</f>
        <v/>
      </c>
      <c r="T223" s="45" t="n"/>
    </row>
    <row r="224">
      <c r="A224" s="33">
        <f>IF(ISBLANK(B224),"",COUNTA($B$2:B224))</f>
        <v/>
      </c>
      <c r="B224" s="34" t="n"/>
      <c r="C224" s="35" t="n"/>
      <c r="D224" s="35" t="n"/>
      <c r="E224" s="35" t="n"/>
      <c r="F224" s="33" t="n"/>
      <c r="G224" s="36" t="n"/>
      <c r="H224" s="37" t="n"/>
      <c r="I224" s="37" t="n"/>
      <c r="J224" s="37" t="n"/>
      <c r="K224" s="38" t="n"/>
      <c r="L224" s="37" t="n"/>
      <c r="M224" s="35" t="n"/>
      <c r="N224" s="39">
        <f>IFERROR(IF(ISBLANK(H224),"",ABS(H224-I224)/VLOOKUP(C224,設定!$B$9:$D$23,2,FALSE)),"")</f>
        <v/>
      </c>
      <c r="O224" s="38">
        <f>IFERROR(IF(ISBLANK(J224),"",ABS(J224-H224)/ABS(H224-I224)),"")</f>
        <v/>
      </c>
      <c r="P224" s="40">
        <f>IFERROR(IF(OR(ISBLANK(L224),ISBLANK(E224)),"",IF(E224="Long",(L224-H224),(H224-L224))/VLOOKUP(C224,設定!$B$9:$D$23,2,FALSE)),"")</f>
        <v/>
      </c>
      <c r="Q224" s="41">
        <f>IFERROR(IF(OR(ISBLANK(P224),N224=0),"",P224/N224),"")</f>
        <v/>
      </c>
      <c r="R224" s="41">
        <f>IFERROR(IF(ISBLANK(Q224),R223,IF(ISNUMBER(R223),R223,0)+Q224),"")</f>
        <v/>
      </c>
      <c r="S224" s="42">
        <f>IFERROR(IF(OR(ISBLANK(P224),ISBLANK(K224)),"",P224*K224*VLOOKUP(C224,設定!$B$9:$D$23,3,FALSE)),"")</f>
        <v/>
      </c>
      <c r="T224" s="35" t="n"/>
    </row>
    <row r="225">
      <c r="A225" s="43">
        <f>IF(ISBLANK(B225),"",COUNTA($B$2:B225))</f>
        <v/>
      </c>
      <c r="B225" s="44" t="n"/>
      <c r="C225" s="45" t="n"/>
      <c r="D225" s="45" t="n"/>
      <c r="E225" s="45" t="n"/>
      <c r="F225" s="43" t="n"/>
      <c r="G225" s="46" t="n"/>
      <c r="H225" s="47" t="n"/>
      <c r="I225" s="47" t="n"/>
      <c r="J225" s="47" t="n"/>
      <c r="K225" s="48" t="n"/>
      <c r="L225" s="47" t="n"/>
      <c r="M225" s="45" t="n"/>
      <c r="N225" s="49">
        <f>IFERROR(IF(ISBLANK(H225),"",ABS(H225-I225)/VLOOKUP(C225,設定!$B$9:$D$23,2,FALSE)),"")</f>
        <v/>
      </c>
      <c r="O225" s="48">
        <f>IFERROR(IF(ISBLANK(J225),"",ABS(J225-H225)/ABS(H225-I225)),"")</f>
        <v/>
      </c>
      <c r="P225" s="50">
        <f>IFERROR(IF(OR(ISBLANK(L225),ISBLANK(E225)),"",IF(E225="Long",(L225-H225),(H225-L225))/VLOOKUP(C225,設定!$B$9:$D$23,2,FALSE)),"")</f>
        <v/>
      </c>
      <c r="Q225" s="51">
        <f>IFERROR(IF(OR(ISBLANK(P225),N225=0),"",P225/N225),"")</f>
        <v/>
      </c>
      <c r="R225" s="51">
        <f>IFERROR(IF(ISBLANK(Q225),R224,IF(ISNUMBER(R224),R224,0)+Q225),"")</f>
        <v/>
      </c>
      <c r="S225" s="52">
        <f>IFERROR(IF(OR(ISBLANK(P225),ISBLANK(K225)),"",P225*K225*VLOOKUP(C225,設定!$B$9:$D$23,3,FALSE)),"")</f>
        <v/>
      </c>
      <c r="T225" s="45" t="n"/>
    </row>
    <row r="226">
      <c r="A226" s="33">
        <f>IF(ISBLANK(B226),"",COUNTA($B$2:B226))</f>
        <v/>
      </c>
      <c r="B226" s="34" t="n"/>
      <c r="C226" s="35" t="n"/>
      <c r="D226" s="35" t="n"/>
      <c r="E226" s="35" t="n"/>
      <c r="F226" s="33" t="n"/>
      <c r="G226" s="36" t="n"/>
      <c r="H226" s="37" t="n"/>
      <c r="I226" s="37" t="n"/>
      <c r="J226" s="37" t="n"/>
      <c r="K226" s="38" t="n"/>
      <c r="L226" s="37" t="n"/>
      <c r="M226" s="35" t="n"/>
      <c r="N226" s="39">
        <f>IFERROR(IF(ISBLANK(H226),"",ABS(H226-I226)/VLOOKUP(C226,設定!$B$9:$D$23,2,FALSE)),"")</f>
        <v/>
      </c>
      <c r="O226" s="38">
        <f>IFERROR(IF(ISBLANK(J226),"",ABS(J226-H226)/ABS(H226-I226)),"")</f>
        <v/>
      </c>
      <c r="P226" s="40">
        <f>IFERROR(IF(OR(ISBLANK(L226),ISBLANK(E226)),"",IF(E226="Long",(L226-H226),(H226-L226))/VLOOKUP(C226,設定!$B$9:$D$23,2,FALSE)),"")</f>
        <v/>
      </c>
      <c r="Q226" s="41">
        <f>IFERROR(IF(OR(ISBLANK(P226),N226=0),"",P226/N226),"")</f>
        <v/>
      </c>
      <c r="R226" s="41">
        <f>IFERROR(IF(ISBLANK(Q226),R225,IF(ISNUMBER(R225),R225,0)+Q226),"")</f>
        <v/>
      </c>
      <c r="S226" s="42">
        <f>IFERROR(IF(OR(ISBLANK(P226),ISBLANK(K226)),"",P226*K226*VLOOKUP(C226,設定!$B$9:$D$23,3,FALSE)),"")</f>
        <v/>
      </c>
      <c r="T226" s="35" t="n"/>
    </row>
    <row r="227">
      <c r="A227" s="43">
        <f>IF(ISBLANK(B227),"",COUNTA($B$2:B227))</f>
        <v/>
      </c>
      <c r="B227" s="44" t="n"/>
      <c r="C227" s="45" t="n"/>
      <c r="D227" s="45" t="n"/>
      <c r="E227" s="45" t="n"/>
      <c r="F227" s="43" t="n"/>
      <c r="G227" s="46" t="n"/>
      <c r="H227" s="47" t="n"/>
      <c r="I227" s="47" t="n"/>
      <c r="J227" s="47" t="n"/>
      <c r="K227" s="48" t="n"/>
      <c r="L227" s="47" t="n"/>
      <c r="M227" s="45" t="n"/>
      <c r="N227" s="49">
        <f>IFERROR(IF(ISBLANK(H227),"",ABS(H227-I227)/VLOOKUP(C227,設定!$B$9:$D$23,2,FALSE)),"")</f>
        <v/>
      </c>
      <c r="O227" s="48">
        <f>IFERROR(IF(ISBLANK(J227),"",ABS(J227-H227)/ABS(H227-I227)),"")</f>
        <v/>
      </c>
      <c r="P227" s="50">
        <f>IFERROR(IF(OR(ISBLANK(L227),ISBLANK(E227)),"",IF(E227="Long",(L227-H227),(H227-L227))/VLOOKUP(C227,設定!$B$9:$D$23,2,FALSE)),"")</f>
        <v/>
      </c>
      <c r="Q227" s="51">
        <f>IFERROR(IF(OR(ISBLANK(P227),N227=0),"",P227/N227),"")</f>
        <v/>
      </c>
      <c r="R227" s="51">
        <f>IFERROR(IF(ISBLANK(Q227),R226,IF(ISNUMBER(R226),R226,0)+Q227),"")</f>
        <v/>
      </c>
      <c r="S227" s="52">
        <f>IFERROR(IF(OR(ISBLANK(P227),ISBLANK(K227)),"",P227*K227*VLOOKUP(C227,設定!$B$9:$D$23,3,FALSE)),"")</f>
        <v/>
      </c>
      <c r="T227" s="45" t="n"/>
    </row>
    <row r="228">
      <c r="A228" s="33">
        <f>IF(ISBLANK(B228),"",COUNTA($B$2:B228))</f>
        <v/>
      </c>
      <c r="B228" s="34" t="n"/>
      <c r="C228" s="35" t="n"/>
      <c r="D228" s="35" t="n"/>
      <c r="E228" s="35" t="n"/>
      <c r="F228" s="33" t="n"/>
      <c r="G228" s="36" t="n"/>
      <c r="H228" s="37" t="n"/>
      <c r="I228" s="37" t="n"/>
      <c r="J228" s="37" t="n"/>
      <c r="K228" s="38" t="n"/>
      <c r="L228" s="37" t="n"/>
      <c r="M228" s="35" t="n"/>
      <c r="N228" s="39">
        <f>IFERROR(IF(ISBLANK(H228),"",ABS(H228-I228)/VLOOKUP(C228,設定!$B$9:$D$23,2,FALSE)),"")</f>
        <v/>
      </c>
      <c r="O228" s="38">
        <f>IFERROR(IF(ISBLANK(J228),"",ABS(J228-H228)/ABS(H228-I228)),"")</f>
        <v/>
      </c>
      <c r="P228" s="40">
        <f>IFERROR(IF(OR(ISBLANK(L228),ISBLANK(E228)),"",IF(E228="Long",(L228-H228),(H228-L228))/VLOOKUP(C228,設定!$B$9:$D$23,2,FALSE)),"")</f>
        <v/>
      </c>
      <c r="Q228" s="41">
        <f>IFERROR(IF(OR(ISBLANK(P228),N228=0),"",P228/N228),"")</f>
        <v/>
      </c>
      <c r="R228" s="41">
        <f>IFERROR(IF(ISBLANK(Q228),R227,IF(ISNUMBER(R227),R227,0)+Q228),"")</f>
        <v/>
      </c>
      <c r="S228" s="42">
        <f>IFERROR(IF(OR(ISBLANK(P228),ISBLANK(K228)),"",P228*K228*VLOOKUP(C228,設定!$B$9:$D$23,3,FALSE)),"")</f>
        <v/>
      </c>
      <c r="T228" s="35" t="n"/>
    </row>
    <row r="229">
      <c r="A229" s="43">
        <f>IF(ISBLANK(B229),"",COUNTA($B$2:B229))</f>
        <v/>
      </c>
      <c r="B229" s="44" t="n"/>
      <c r="C229" s="45" t="n"/>
      <c r="D229" s="45" t="n"/>
      <c r="E229" s="45" t="n"/>
      <c r="F229" s="43" t="n"/>
      <c r="G229" s="46" t="n"/>
      <c r="H229" s="47" t="n"/>
      <c r="I229" s="47" t="n"/>
      <c r="J229" s="47" t="n"/>
      <c r="K229" s="48" t="n"/>
      <c r="L229" s="47" t="n"/>
      <c r="M229" s="45" t="n"/>
      <c r="N229" s="49">
        <f>IFERROR(IF(ISBLANK(H229),"",ABS(H229-I229)/VLOOKUP(C229,設定!$B$9:$D$23,2,FALSE)),"")</f>
        <v/>
      </c>
      <c r="O229" s="48">
        <f>IFERROR(IF(ISBLANK(J229),"",ABS(J229-H229)/ABS(H229-I229)),"")</f>
        <v/>
      </c>
      <c r="P229" s="50">
        <f>IFERROR(IF(OR(ISBLANK(L229),ISBLANK(E229)),"",IF(E229="Long",(L229-H229),(H229-L229))/VLOOKUP(C229,設定!$B$9:$D$23,2,FALSE)),"")</f>
        <v/>
      </c>
      <c r="Q229" s="51">
        <f>IFERROR(IF(OR(ISBLANK(P229),N229=0),"",P229/N229),"")</f>
        <v/>
      </c>
      <c r="R229" s="51">
        <f>IFERROR(IF(ISBLANK(Q229),R228,IF(ISNUMBER(R228),R228,0)+Q229),"")</f>
        <v/>
      </c>
      <c r="S229" s="52">
        <f>IFERROR(IF(OR(ISBLANK(P229),ISBLANK(K229)),"",P229*K229*VLOOKUP(C229,設定!$B$9:$D$23,3,FALSE)),"")</f>
        <v/>
      </c>
      <c r="T229" s="45" t="n"/>
    </row>
    <row r="230">
      <c r="A230" s="33">
        <f>IF(ISBLANK(B230),"",COUNTA($B$2:B230))</f>
        <v/>
      </c>
      <c r="B230" s="34" t="n"/>
      <c r="C230" s="35" t="n"/>
      <c r="D230" s="35" t="n"/>
      <c r="E230" s="35" t="n"/>
      <c r="F230" s="33" t="n"/>
      <c r="G230" s="36" t="n"/>
      <c r="H230" s="37" t="n"/>
      <c r="I230" s="37" t="n"/>
      <c r="J230" s="37" t="n"/>
      <c r="K230" s="38" t="n"/>
      <c r="L230" s="37" t="n"/>
      <c r="M230" s="35" t="n"/>
      <c r="N230" s="39">
        <f>IFERROR(IF(ISBLANK(H230),"",ABS(H230-I230)/VLOOKUP(C230,設定!$B$9:$D$23,2,FALSE)),"")</f>
        <v/>
      </c>
      <c r="O230" s="38">
        <f>IFERROR(IF(ISBLANK(J230),"",ABS(J230-H230)/ABS(H230-I230)),"")</f>
        <v/>
      </c>
      <c r="P230" s="40">
        <f>IFERROR(IF(OR(ISBLANK(L230),ISBLANK(E230)),"",IF(E230="Long",(L230-H230),(H230-L230))/VLOOKUP(C230,設定!$B$9:$D$23,2,FALSE)),"")</f>
        <v/>
      </c>
      <c r="Q230" s="41">
        <f>IFERROR(IF(OR(ISBLANK(P230),N230=0),"",P230/N230),"")</f>
        <v/>
      </c>
      <c r="R230" s="41">
        <f>IFERROR(IF(ISBLANK(Q230),R229,IF(ISNUMBER(R229),R229,0)+Q230),"")</f>
        <v/>
      </c>
      <c r="S230" s="42">
        <f>IFERROR(IF(OR(ISBLANK(P230),ISBLANK(K230)),"",P230*K230*VLOOKUP(C230,設定!$B$9:$D$23,3,FALSE)),"")</f>
        <v/>
      </c>
      <c r="T230" s="35" t="n"/>
    </row>
    <row r="231">
      <c r="A231" s="43">
        <f>IF(ISBLANK(B231),"",COUNTA($B$2:B231))</f>
        <v/>
      </c>
      <c r="B231" s="44" t="n"/>
      <c r="C231" s="45" t="n"/>
      <c r="D231" s="45" t="n"/>
      <c r="E231" s="45" t="n"/>
      <c r="F231" s="43" t="n"/>
      <c r="G231" s="46" t="n"/>
      <c r="H231" s="47" t="n"/>
      <c r="I231" s="47" t="n"/>
      <c r="J231" s="47" t="n"/>
      <c r="K231" s="48" t="n"/>
      <c r="L231" s="47" t="n"/>
      <c r="M231" s="45" t="n"/>
      <c r="N231" s="49">
        <f>IFERROR(IF(ISBLANK(H231),"",ABS(H231-I231)/VLOOKUP(C231,設定!$B$9:$D$23,2,FALSE)),"")</f>
        <v/>
      </c>
      <c r="O231" s="48">
        <f>IFERROR(IF(ISBLANK(J231),"",ABS(J231-H231)/ABS(H231-I231)),"")</f>
        <v/>
      </c>
      <c r="P231" s="50">
        <f>IFERROR(IF(OR(ISBLANK(L231),ISBLANK(E231)),"",IF(E231="Long",(L231-H231),(H231-L231))/VLOOKUP(C231,設定!$B$9:$D$23,2,FALSE)),"")</f>
        <v/>
      </c>
      <c r="Q231" s="51">
        <f>IFERROR(IF(OR(ISBLANK(P231),N231=0),"",P231/N231),"")</f>
        <v/>
      </c>
      <c r="R231" s="51">
        <f>IFERROR(IF(ISBLANK(Q231),R230,IF(ISNUMBER(R230),R230,0)+Q231),"")</f>
        <v/>
      </c>
      <c r="S231" s="52">
        <f>IFERROR(IF(OR(ISBLANK(P231),ISBLANK(K231)),"",P231*K231*VLOOKUP(C231,設定!$B$9:$D$23,3,FALSE)),"")</f>
        <v/>
      </c>
      <c r="T231" s="45" t="n"/>
    </row>
    <row r="232">
      <c r="A232" s="33">
        <f>IF(ISBLANK(B232),"",COUNTA($B$2:B232))</f>
        <v/>
      </c>
      <c r="B232" s="34" t="n"/>
      <c r="C232" s="35" t="n"/>
      <c r="D232" s="35" t="n"/>
      <c r="E232" s="35" t="n"/>
      <c r="F232" s="33" t="n"/>
      <c r="G232" s="36" t="n"/>
      <c r="H232" s="37" t="n"/>
      <c r="I232" s="37" t="n"/>
      <c r="J232" s="37" t="n"/>
      <c r="K232" s="38" t="n"/>
      <c r="L232" s="37" t="n"/>
      <c r="M232" s="35" t="n"/>
      <c r="N232" s="39">
        <f>IFERROR(IF(ISBLANK(H232),"",ABS(H232-I232)/VLOOKUP(C232,設定!$B$9:$D$23,2,FALSE)),"")</f>
        <v/>
      </c>
      <c r="O232" s="38">
        <f>IFERROR(IF(ISBLANK(J232),"",ABS(J232-H232)/ABS(H232-I232)),"")</f>
        <v/>
      </c>
      <c r="P232" s="40">
        <f>IFERROR(IF(OR(ISBLANK(L232),ISBLANK(E232)),"",IF(E232="Long",(L232-H232),(H232-L232))/VLOOKUP(C232,設定!$B$9:$D$23,2,FALSE)),"")</f>
        <v/>
      </c>
      <c r="Q232" s="41">
        <f>IFERROR(IF(OR(ISBLANK(P232),N232=0),"",P232/N232),"")</f>
        <v/>
      </c>
      <c r="R232" s="41">
        <f>IFERROR(IF(ISBLANK(Q232),R231,IF(ISNUMBER(R231),R231,0)+Q232),"")</f>
        <v/>
      </c>
      <c r="S232" s="42">
        <f>IFERROR(IF(OR(ISBLANK(P232),ISBLANK(K232)),"",P232*K232*VLOOKUP(C232,設定!$B$9:$D$23,3,FALSE)),"")</f>
        <v/>
      </c>
      <c r="T232" s="35" t="n"/>
    </row>
    <row r="233">
      <c r="A233" s="43">
        <f>IF(ISBLANK(B233),"",COUNTA($B$2:B233))</f>
        <v/>
      </c>
      <c r="B233" s="44" t="n"/>
      <c r="C233" s="45" t="n"/>
      <c r="D233" s="45" t="n"/>
      <c r="E233" s="45" t="n"/>
      <c r="F233" s="43" t="n"/>
      <c r="G233" s="46" t="n"/>
      <c r="H233" s="47" t="n"/>
      <c r="I233" s="47" t="n"/>
      <c r="J233" s="47" t="n"/>
      <c r="K233" s="48" t="n"/>
      <c r="L233" s="47" t="n"/>
      <c r="M233" s="45" t="n"/>
      <c r="N233" s="49">
        <f>IFERROR(IF(ISBLANK(H233),"",ABS(H233-I233)/VLOOKUP(C233,設定!$B$9:$D$23,2,FALSE)),"")</f>
        <v/>
      </c>
      <c r="O233" s="48">
        <f>IFERROR(IF(ISBLANK(J233),"",ABS(J233-H233)/ABS(H233-I233)),"")</f>
        <v/>
      </c>
      <c r="P233" s="50">
        <f>IFERROR(IF(OR(ISBLANK(L233),ISBLANK(E233)),"",IF(E233="Long",(L233-H233),(H233-L233))/VLOOKUP(C233,設定!$B$9:$D$23,2,FALSE)),"")</f>
        <v/>
      </c>
      <c r="Q233" s="51">
        <f>IFERROR(IF(OR(ISBLANK(P233),N233=0),"",P233/N233),"")</f>
        <v/>
      </c>
      <c r="R233" s="51">
        <f>IFERROR(IF(ISBLANK(Q233),R232,IF(ISNUMBER(R232),R232,0)+Q233),"")</f>
        <v/>
      </c>
      <c r="S233" s="52">
        <f>IFERROR(IF(OR(ISBLANK(P233),ISBLANK(K233)),"",P233*K233*VLOOKUP(C233,設定!$B$9:$D$23,3,FALSE)),"")</f>
        <v/>
      </c>
      <c r="T233" s="45" t="n"/>
    </row>
    <row r="234">
      <c r="A234" s="33">
        <f>IF(ISBLANK(B234),"",COUNTA($B$2:B234))</f>
        <v/>
      </c>
      <c r="B234" s="34" t="n"/>
      <c r="C234" s="35" t="n"/>
      <c r="D234" s="35" t="n"/>
      <c r="E234" s="35" t="n"/>
      <c r="F234" s="33" t="n"/>
      <c r="G234" s="36" t="n"/>
      <c r="H234" s="37" t="n"/>
      <c r="I234" s="37" t="n"/>
      <c r="J234" s="37" t="n"/>
      <c r="K234" s="38" t="n"/>
      <c r="L234" s="37" t="n"/>
      <c r="M234" s="35" t="n"/>
      <c r="N234" s="39">
        <f>IFERROR(IF(ISBLANK(H234),"",ABS(H234-I234)/VLOOKUP(C234,設定!$B$9:$D$23,2,FALSE)),"")</f>
        <v/>
      </c>
      <c r="O234" s="38">
        <f>IFERROR(IF(ISBLANK(J234),"",ABS(J234-H234)/ABS(H234-I234)),"")</f>
        <v/>
      </c>
      <c r="P234" s="40">
        <f>IFERROR(IF(OR(ISBLANK(L234),ISBLANK(E234)),"",IF(E234="Long",(L234-H234),(H234-L234))/VLOOKUP(C234,設定!$B$9:$D$23,2,FALSE)),"")</f>
        <v/>
      </c>
      <c r="Q234" s="41">
        <f>IFERROR(IF(OR(ISBLANK(P234),N234=0),"",P234/N234),"")</f>
        <v/>
      </c>
      <c r="R234" s="41">
        <f>IFERROR(IF(ISBLANK(Q234),R233,IF(ISNUMBER(R233),R233,0)+Q234),"")</f>
        <v/>
      </c>
      <c r="S234" s="42">
        <f>IFERROR(IF(OR(ISBLANK(P234),ISBLANK(K234)),"",P234*K234*VLOOKUP(C234,設定!$B$9:$D$23,3,FALSE)),"")</f>
        <v/>
      </c>
      <c r="T234" s="35" t="n"/>
    </row>
    <row r="235">
      <c r="A235" s="43">
        <f>IF(ISBLANK(B235),"",COUNTA($B$2:B235))</f>
        <v/>
      </c>
      <c r="B235" s="44" t="n"/>
      <c r="C235" s="45" t="n"/>
      <c r="D235" s="45" t="n"/>
      <c r="E235" s="45" t="n"/>
      <c r="F235" s="43" t="n"/>
      <c r="G235" s="46" t="n"/>
      <c r="H235" s="47" t="n"/>
      <c r="I235" s="47" t="n"/>
      <c r="J235" s="47" t="n"/>
      <c r="K235" s="48" t="n"/>
      <c r="L235" s="47" t="n"/>
      <c r="M235" s="45" t="n"/>
      <c r="N235" s="49">
        <f>IFERROR(IF(ISBLANK(H235),"",ABS(H235-I235)/VLOOKUP(C235,設定!$B$9:$D$23,2,FALSE)),"")</f>
        <v/>
      </c>
      <c r="O235" s="48">
        <f>IFERROR(IF(ISBLANK(J235),"",ABS(J235-H235)/ABS(H235-I235)),"")</f>
        <v/>
      </c>
      <c r="P235" s="50">
        <f>IFERROR(IF(OR(ISBLANK(L235),ISBLANK(E235)),"",IF(E235="Long",(L235-H235),(H235-L235))/VLOOKUP(C235,設定!$B$9:$D$23,2,FALSE)),"")</f>
        <v/>
      </c>
      <c r="Q235" s="51">
        <f>IFERROR(IF(OR(ISBLANK(P235),N235=0),"",P235/N235),"")</f>
        <v/>
      </c>
      <c r="R235" s="51">
        <f>IFERROR(IF(ISBLANK(Q235),R234,IF(ISNUMBER(R234),R234,0)+Q235),"")</f>
        <v/>
      </c>
      <c r="S235" s="52">
        <f>IFERROR(IF(OR(ISBLANK(P235),ISBLANK(K235)),"",P235*K235*VLOOKUP(C235,設定!$B$9:$D$23,3,FALSE)),"")</f>
        <v/>
      </c>
      <c r="T235" s="45" t="n"/>
    </row>
    <row r="236">
      <c r="A236" s="33">
        <f>IF(ISBLANK(B236),"",COUNTA($B$2:B236))</f>
        <v/>
      </c>
      <c r="B236" s="34" t="n"/>
      <c r="C236" s="35" t="n"/>
      <c r="D236" s="35" t="n"/>
      <c r="E236" s="35" t="n"/>
      <c r="F236" s="33" t="n"/>
      <c r="G236" s="36" t="n"/>
      <c r="H236" s="37" t="n"/>
      <c r="I236" s="37" t="n"/>
      <c r="J236" s="37" t="n"/>
      <c r="K236" s="38" t="n"/>
      <c r="L236" s="37" t="n"/>
      <c r="M236" s="35" t="n"/>
      <c r="N236" s="39">
        <f>IFERROR(IF(ISBLANK(H236),"",ABS(H236-I236)/VLOOKUP(C236,設定!$B$9:$D$23,2,FALSE)),"")</f>
        <v/>
      </c>
      <c r="O236" s="38">
        <f>IFERROR(IF(ISBLANK(J236),"",ABS(J236-H236)/ABS(H236-I236)),"")</f>
        <v/>
      </c>
      <c r="P236" s="40">
        <f>IFERROR(IF(OR(ISBLANK(L236),ISBLANK(E236)),"",IF(E236="Long",(L236-H236),(H236-L236))/VLOOKUP(C236,設定!$B$9:$D$23,2,FALSE)),"")</f>
        <v/>
      </c>
      <c r="Q236" s="41">
        <f>IFERROR(IF(OR(ISBLANK(P236),N236=0),"",P236/N236),"")</f>
        <v/>
      </c>
      <c r="R236" s="41">
        <f>IFERROR(IF(ISBLANK(Q236),R235,IF(ISNUMBER(R235),R235,0)+Q236),"")</f>
        <v/>
      </c>
      <c r="S236" s="42">
        <f>IFERROR(IF(OR(ISBLANK(P236),ISBLANK(K236)),"",P236*K236*VLOOKUP(C236,設定!$B$9:$D$23,3,FALSE)),"")</f>
        <v/>
      </c>
      <c r="T236" s="35" t="n"/>
    </row>
    <row r="237">
      <c r="A237" s="43">
        <f>IF(ISBLANK(B237),"",COUNTA($B$2:B237))</f>
        <v/>
      </c>
      <c r="B237" s="44" t="n"/>
      <c r="C237" s="45" t="n"/>
      <c r="D237" s="45" t="n"/>
      <c r="E237" s="45" t="n"/>
      <c r="F237" s="43" t="n"/>
      <c r="G237" s="46" t="n"/>
      <c r="H237" s="47" t="n"/>
      <c r="I237" s="47" t="n"/>
      <c r="J237" s="47" t="n"/>
      <c r="K237" s="48" t="n"/>
      <c r="L237" s="47" t="n"/>
      <c r="M237" s="45" t="n"/>
      <c r="N237" s="49">
        <f>IFERROR(IF(ISBLANK(H237),"",ABS(H237-I237)/VLOOKUP(C237,設定!$B$9:$D$23,2,FALSE)),"")</f>
        <v/>
      </c>
      <c r="O237" s="48">
        <f>IFERROR(IF(ISBLANK(J237),"",ABS(J237-H237)/ABS(H237-I237)),"")</f>
        <v/>
      </c>
      <c r="P237" s="50">
        <f>IFERROR(IF(OR(ISBLANK(L237),ISBLANK(E237)),"",IF(E237="Long",(L237-H237),(H237-L237))/VLOOKUP(C237,設定!$B$9:$D$23,2,FALSE)),"")</f>
        <v/>
      </c>
      <c r="Q237" s="51">
        <f>IFERROR(IF(OR(ISBLANK(P237),N237=0),"",P237/N237),"")</f>
        <v/>
      </c>
      <c r="R237" s="51">
        <f>IFERROR(IF(ISBLANK(Q237),R236,IF(ISNUMBER(R236),R236,0)+Q237),"")</f>
        <v/>
      </c>
      <c r="S237" s="52">
        <f>IFERROR(IF(OR(ISBLANK(P237),ISBLANK(K237)),"",P237*K237*VLOOKUP(C237,設定!$B$9:$D$23,3,FALSE)),"")</f>
        <v/>
      </c>
      <c r="T237" s="45" t="n"/>
    </row>
    <row r="238">
      <c r="A238" s="33">
        <f>IF(ISBLANK(B238),"",COUNTA($B$2:B238))</f>
        <v/>
      </c>
      <c r="B238" s="34" t="n"/>
      <c r="C238" s="35" t="n"/>
      <c r="D238" s="35" t="n"/>
      <c r="E238" s="35" t="n"/>
      <c r="F238" s="33" t="n"/>
      <c r="G238" s="36" t="n"/>
      <c r="H238" s="37" t="n"/>
      <c r="I238" s="37" t="n"/>
      <c r="J238" s="37" t="n"/>
      <c r="K238" s="38" t="n"/>
      <c r="L238" s="37" t="n"/>
      <c r="M238" s="35" t="n"/>
      <c r="N238" s="39">
        <f>IFERROR(IF(ISBLANK(H238),"",ABS(H238-I238)/VLOOKUP(C238,設定!$B$9:$D$23,2,FALSE)),"")</f>
        <v/>
      </c>
      <c r="O238" s="38">
        <f>IFERROR(IF(ISBLANK(J238),"",ABS(J238-H238)/ABS(H238-I238)),"")</f>
        <v/>
      </c>
      <c r="P238" s="40">
        <f>IFERROR(IF(OR(ISBLANK(L238),ISBLANK(E238)),"",IF(E238="Long",(L238-H238),(H238-L238))/VLOOKUP(C238,設定!$B$9:$D$23,2,FALSE)),"")</f>
        <v/>
      </c>
      <c r="Q238" s="41">
        <f>IFERROR(IF(OR(ISBLANK(P238),N238=0),"",P238/N238),"")</f>
        <v/>
      </c>
      <c r="R238" s="41">
        <f>IFERROR(IF(ISBLANK(Q238),R237,IF(ISNUMBER(R237),R237,0)+Q238),"")</f>
        <v/>
      </c>
      <c r="S238" s="42">
        <f>IFERROR(IF(OR(ISBLANK(P238),ISBLANK(K238)),"",P238*K238*VLOOKUP(C238,設定!$B$9:$D$23,3,FALSE)),"")</f>
        <v/>
      </c>
      <c r="T238" s="35" t="n"/>
    </row>
    <row r="239">
      <c r="A239" s="43">
        <f>IF(ISBLANK(B239),"",COUNTA($B$2:B239))</f>
        <v/>
      </c>
      <c r="B239" s="44" t="n"/>
      <c r="C239" s="45" t="n"/>
      <c r="D239" s="45" t="n"/>
      <c r="E239" s="45" t="n"/>
      <c r="F239" s="43" t="n"/>
      <c r="G239" s="46" t="n"/>
      <c r="H239" s="47" t="n"/>
      <c r="I239" s="47" t="n"/>
      <c r="J239" s="47" t="n"/>
      <c r="K239" s="48" t="n"/>
      <c r="L239" s="47" t="n"/>
      <c r="M239" s="45" t="n"/>
      <c r="N239" s="49">
        <f>IFERROR(IF(ISBLANK(H239),"",ABS(H239-I239)/VLOOKUP(C239,設定!$B$9:$D$23,2,FALSE)),"")</f>
        <v/>
      </c>
      <c r="O239" s="48">
        <f>IFERROR(IF(ISBLANK(J239),"",ABS(J239-H239)/ABS(H239-I239)),"")</f>
        <v/>
      </c>
      <c r="P239" s="50">
        <f>IFERROR(IF(OR(ISBLANK(L239),ISBLANK(E239)),"",IF(E239="Long",(L239-H239),(H239-L239))/VLOOKUP(C239,設定!$B$9:$D$23,2,FALSE)),"")</f>
        <v/>
      </c>
      <c r="Q239" s="51">
        <f>IFERROR(IF(OR(ISBLANK(P239),N239=0),"",P239/N239),"")</f>
        <v/>
      </c>
      <c r="R239" s="51">
        <f>IFERROR(IF(ISBLANK(Q239),R238,IF(ISNUMBER(R238),R238,0)+Q239),"")</f>
        <v/>
      </c>
      <c r="S239" s="52">
        <f>IFERROR(IF(OR(ISBLANK(P239),ISBLANK(K239)),"",P239*K239*VLOOKUP(C239,設定!$B$9:$D$23,3,FALSE)),"")</f>
        <v/>
      </c>
      <c r="T239" s="45" t="n"/>
    </row>
    <row r="240">
      <c r="A240" s="33">
        <f>IF(ISBLANK(B240),"",COUNTA($B$2:B240))</f>
        <v/>
      </c>
      <c r="B240" s="34" t="n"/>
      <c r="C240" s="35" t="n"/>
      <c r="D240" s="35" t="n"/>
      <c r="E240" s="35" t="n"/>
      <c r="F240" s="33" t="n"/>
      <c r="G240" s="36" t="n"/>
      <c r="H240" s="37" t="n"/>
      <c r="I240" s="37" t="n"/>
      <c r="J240" s="37" t="n"/>
      <c r="K240" s="38" t="n"/>
      <c r="L240" s="37" t="n"/>
      <c r="M240" s="35" t="n"/>
      <c r="N240" s="39">
        <f>IFERROR(IF(ISBLANK(H240),"",ABS(H240-I240)/VLOOKUP(C240,設定!$B$9:$D$23,2,FALSE)),"")</f>
        <v/>
      </c>
      <c r="O240" s="38">
        <f>IFERROR(IF(ISBLANK(J240),"",ABS(J240-H240)/ABS(H240-I240)),"")</f>
        <v/>
      </c>
      <c r="P240" s="40">
        <f>IFERROR(IF(OR(ISBLANK(L240),ISBLANK(E240)),"",IF(E240="Long",(L240-H240),(H240-L240))/VLOOKUP(C240,設定!$B$9:$D$23,2,FALSE)),"")</f>
        <v/>
      </c>
      <c r="Q240" s="41">
        <f>IFERROR(IF(OR(ISBLANK(P240),N240=0),"",P240/N240),"")</f>
        <v/>
      </c>
      <c r="R240" s="41">
        <f>IFERROR(IF(ISBLANK(Q240),R239,IF(ISNUMBER(R239),R239,0)+Q240),"")</f>
        <v/>
      </c>
      <c r="S240" s="42">
        <f>IFERROR(IF(OR(ISBLANK(P240),ISBLANK(K240)),"",P240*K240*VLOOKUP(C240,設定!$B$9:$D$23,3,FALSE)),"")</f>
        <v/>
      </c>
      <c r="T240" s="35" t="n"/>
    </row>
    <row r="241">
      <c r="A241" s="43">
        <f>IF(ISBLANK(B241),"",COUNTA($B$2:B241))</f>
        <v/>
      </c>
      <c r="B241" s="44" t="n"/>
      <c r="C241" s="45" t="n"/>
      <c r="D241" s="45" t="n"/>
      <c r="E241" s="45" t="n"/>
      <c r="F241" s="43" t="n"/>
      <c r="G241" s="46" t="n"/>
      <c r="H241" s="47" t="n"/>
      <c r="I241" s="47" t="n"/>
      <c r="J241" s="47" t="n"/>
      <c r="K241" s="48" t="n"/>
      <c r="L241" s="47" t="n"/>
      <c r="M241" s="45" t="n"/>
      <c r="N241" s="49">
        <f>IFERROR(IF(ISBLANK(H241),"",ABS(H241-I241)/VLOOKUP(C241,設定!$B$9:$D$23,2,FALSE)),"")</f>
        <v/>
      </c>
      <c r="O241" s="48">
        <f>IFERROR(IF(ISBLANK(J241),"",ABS(J241-H241)/ABS(H241-I241)),"")</f>
        <v/>
      </c>
      <c r="P241" s="50">
        <f>IFERROR(IF(OR(ISBLANK(L241),ISBLANK(E241)),"",IF(E241="Long",(L241-H241),(H241-L241))/VLOOKUP(C241,設定!$B$9:$D$23,2,FALSE)),"")</f>
        <v/>
      </c>
      <c r="Q241" s="51">
        <f>IFERROR(IF(OR(ISBLANK(P241),N241=0),"",P241/N241),"")</f>
        <v/>
      </c>
      <c r="R241" s="51">
        <f>IFERROR(IF(ISBLANK(Q241),R240,IF(ISNUMBER(R240),R240,0)+Q241),"")</f>
        <v/>
      </c>
      <c r="S241" s="52">
        <f>IFERROR(IF(OR(ISBLANK(P241),ISBLANK(K241)),"",P241*K241*VLOOKUP(C241,設定!$B$9:$D$23,3,FALSE)),"")</f>
        <v/>
      </c>
      <c r="T241" s="45" t="n"/>
    </row>
    <row r="242">
      <c r="A242" s="33">
        <f>IF(ISBLANK(B242),"",COUNTA($B$2:B242))</f>
        <v/>
      </c>
      <c r="B242" s="34" t="n"/>
      <c r="C242" s="35" t="n"/>
      <c r="D242" s="35" t="n"/>
      <c r="E242" s="35" t="n"/>
      <c r="F242" s="33" t="n"/>
      <c r="G242" s="36" t="n"/>
      <c r="H242" s="37" t="n"/>
      <c r="I242" s="37" t="n"/>
      <c r="J242" s="37" t="n"/>
      <c r="K242" s="38" t="n"/>
      <c r="L242" s="37" t="n"/>
      <c r="M242" s="35" t="n"/>
      <c r="N242" s="39">
        <f>IFERROR(IF(ISBLANK(H242),"",ABS(H242-I242)/VLOOKUP(C242,設定!$B$9:$D$23,2,FALSE)),"")</f>
        <v/>
      </c>
      <c r="O242" s="38">
        <f>IFERROR(IF(ISBLANK(J242),"",ABS(J242-H242)/ABS(H242-I242)),"")</f>
        <v/>
      </c>
      <c r="P242" s="40">
        <f>IFERROR(IF(OR(ISBLANK(L242),ISBLANK(E242)),"",IF(E242="Long",(L242-H242),(H242-L242))/VLOOKUP(C242,設定!$B$9:$D$23,2,FALSE)),"")</f>
        <v/>
      </c>
      <c r="Q242" s="41">
        <f>IFERROR(IF(OR(ISBLANK(P242),N242=0),"",P242/N242),"")</f>
        <v/>
      </c>
      <c r="R242" s="41">
        <f>IFERROR(IF(ISBLANK(Q242),R241,IF(ISNUMBER(R241),R241,0)+Q242),"")</f>
        <v/>
      </c>
      <c r="S242" s="42">
        <f>IFERROR(IF(OR(ISBLANK(P242),ISBLANK(K242)),"",P242*K242*VLOOKUP(C242,設定!$B$9:$D$23,3,FALSE)),"")</f>
        <v/>
      </c>
      <c r="T242" s="35" t="n"/>
    </row>
    <row r="243">
      <c r="A243" s="43">
        <f>IF(ISBLANK(B243),"",COUNTA($B$2:B243))</f>
        <v/>
      </c>
      <c r="B243" s="44" t="n"/>
      <c r="C243" s="45" t="n"/>
      <c r="D243" s="45" t="n"/>
      <c r="E243" s="45" t="n"/>
      <c r="F243" s="43" t="n"/>
      <c r="G243" s="46" t="n"/>
      <c r="H243" s="47" t="n"/>
      <c r="I243" s="47" t="n"/>
      <c r="J243" s="47" t="n"/>
      <c r="K243" s="48" t="n"/>
      <c r="L243" s="47" t="n"/>
      <c r="M243" s="45" t="n"/>
      <c r="N243" s="49">
        <f>IFERROR(IF(ISBLANK(H243),"",ABS(H243-I243)/VLOOKUP(C243,設定!$B$9:$D$23,2,FALSE)),"")</f>
        <v/>
      </c>
      <c r="O243" s="48">
        <f>IFERROR(IF(ISBLANK(J243),"",ABS(J243-H243)/ABS(H243-I243)),"")</f>
        <v/>
      </c>
      <c r="P243" s="50">
        <f>IFERROR(IF(OR(ISBLANK(L243),ISBLANK(E243)),"",IF(E243="Long",(L243-H243),(H243-L243))/VLOOKUP(C243,設定!$B$9:$D$23,2,FALSE)),"")</f>
        <v/>
      </c>
      <c r="Q243" s="51">
        <f>IFERROR(IF(OR(ISBLANK(P243),N243=0),"",P243/N243),"")</f>
        <v/>
      </c>
      <c r="R243" s="51">
        <f>IFERROR(IF(ISBLANK(Q243),R242,IF(ISNUMBER(R242),R242,0)+Q243),"")</f>
        <v/>
      </c>
      <c r="S243" s="52">
        <f>IFERROR(IF(OR(ISBLANK(P243),ISBLANK(K243)),"",P243*K243*VLOOKUP(C243,設定!$B$9:$D$23,3,FALSE)),"")</f>
        <v/>
      </c>
      <c r="T243" s="45" t="n"/>
    </row>
    <row r="244">
      <c r="A244" s="33">
        <f>IF(ISBLANK(B244),"",COUNTA($B$2:B244))</f>
        <v/>
      </c>
      <c r="B244" s="34" t="n"/>
      <c r="C244" s="35" t="n"/>
      <c r="D244" s="35" t="n"/>
      <c r="E244" s="35" t="n"/>
      <c r="F244" s="33" t="n"/>
      <c r="G244" s="36" t="n"/>
      <c r="H244" s="37" t="n"/>
      <c r="I244" s="37" t="n"/>
      <c r="J244" s="37" t="n"/>
      <c r="K244" s="38" t="n"/>
      <c r="L244" s="37" t="n"/>
      <c r="M244" s="35" t="n"/>
      <c r="N244" s="39">
        <f>IFERROR(IF(ISBLANK(H244),"",ABS(H244-I244)/VLOOKUP(C244,設定!$B$9:$D$23,2,FALSE)),"")</f>
        <v/>
      </c>
      <c r="O244" s="38">
        <f>IFERROR(IF(ISBLANK(J244),"",ABS(J244-H244)/ABS(H244-I244)),"")</f>
        <v/>
      </c>
      <c r="P244" s="40">
        <f>IFERROR(IF(OR(ISBLANK(L244),ISBLANK(E244)),"",IF(E244="Long",(L244-H244),(H244-L244))/VLOOKUP(C244,設定!$B$9:$D$23,2,FALSE)),"")</f>
        <v/>
      </c>
      <c r="Q244" s="41">
        <f>IFERROR(IF(OR(ISBLANK(P244),N244=0),"",P244/N244),"")</f>
        <v/>
      </c>
      <c r="R244" s="41">
        <f>IFERROR(IF(ISBLANK(Q244),R243,IF(ISNUMBER(R243),R243,0)+Q244),"")</f>
        <v/>
      </c>
      <c r="S244" s="42">
        <f>IFERROR(IF(OR(ISBLANK(P244),ISBLANK(K244)),"",P244*K244*VLOOKUP(C244,設定!$B$9:$D$23,3,FALSE)),"")</f>
        <v/>
      </c>
      <c r="T244" s="35" t="n"/>
    </row>
    <row r="245">
      <c r="A245" s="43">
        <f>IF(ISBLANK(B245),"",COUNTA($B$2:B245))</f>
        <v/>
      </c>
      <c r="B245" s="44" t="n"/>
      <c r="C245" s="45" t="n"/>
      <c r="D245" s="45" t="n"/>
      <c r="E245" s="45" t="n"/>
      <c r="F245" s="43" t="n"/>
      <c r="G245" s="46" t="n"/>
      <c r="H245" s="47" t="n"/>
      <c r="I245" s="47" t="n"/>
      <c r="J245" s="47" t="n"/>
      <c r="K245" s="48" t="n"/>
      <c r="L245" s="47" t="n"/>
      <c r="M245" s="45" t="n"/>
      <c r="N245" s="49">
        <f>IFERROR(IF(ISBLANK(H245),"",ABS(H245-I245)/VLOOKUP(C245,設定!$B$9:$D$23,2,FALSE)),"")</f>
        <v/>
      </c>
      <c r="O245" s="48">
        <f>IFERROR(IF(ISBLANK(J245),"",ABS(J245-H245)/ABS(H245-I245)),"")</f>
        <v/>
      </c>
      <c r="P245" s="50">
        <f>IFERROR(IF(OR(ISBLANK(L245),ISBLANK(E245)),"",IF(E245="Long",(L245-H245),(H245-L245))/VLOOKUP(C245,設定!$B$9:$D$23,2,FALSE)),"")</f>
        <v/>
      </c>
      <c r="Q245" s="51">
        <f>IFERROR(IF(OR(ISBLANK(P245),N245=0),"",P245/N245),"")</f>
        <v/>
      </c>
      <c r="R245" s="51">
        <f>IFERROR(IF(ISBLANK(Q245),R244,IF(ISNUMBER(R244),R244,0)+Q245),"")</f>
        <v/>
      </c>
      <c r="S245" s="52">
        <f>IFERROR(IF(OR(ISBLANK(P245),ISBLANK(K245)),"",P245*K245*VLOOKUP(C245,設定!$B$9:$D$23,3,FALSE)),"")</f>
        <v/>
      </c>
      <c r="T245" s="45" t="n"/>
    </row>
    <row r="246">
      <c r="A246" s="33">
        <f>IF(ISBLANK(B246),"",COUNTA($B$2:B246))</f>
        <v/>
      </c>
      <c r="B246" s="34" t="n"/>
      <c r="C246" s="35" t="n"/>
      <c r="D246" s="35" t="n"/>
      <c r="E246" s="35" t="n"/>
      <c r="F246" s="33" t="n"/>
      <c r="G246" s="36" t="n"/>
      <c r="H246" s="37" t="n"/>
      <c r="I246" s="37" t="n"/>
      <c r="J246" s="37" t="n"/>
      <c r="K246" s="38" t="n"/>
      <c r="L246" s="37" t="n"/>
      <c r="M246" s="35" t="n"/>
      <c r="N246" s="39">
        <f>IFERROR(IF(ISBLANK(H246),"",ABS(H246-I246)/VLOOKUP(C246,設定!$B$9:$D$23,2,FALSE)),"")</f>
        <v/>
      </c>
      <c r="O246" s="38">
        <f>IFERROR(IF(ISBLANK(J246),"",ABS(J246-H246)/ABS(H246-I246)),"")</f>
        <v/>
      </c>
      <c r="P246" s="40">
        <f>IFERROR(IF(OR(ISBLANK(L246),ISBLANK(E246)),"",IF(E246="Long",(L246-H246),(H246-L246))/VLOOKUP(C246,設定!$B$9:$D$23,2,FALSE)),"")</f>
        <v/>
      </c>
      <c r="Q246" s="41">
        <f>IFERROR(IF(OR(ISBLANK(P246),N246=0),"",P246/N246),"")</f>
        <v/>
      </c>
      <c r="R246" s="41">
        <f>IFERROR(IF(ISBLANK(Q246),R245,IF(ISNUMBER(R245),R245,0)+Q246),"")</f>
        <v/>
      </c>
      <c r="S246" s="42">
        <f>IFERROR(IF(OR(ISBLANK(P246),ISBLANK(K246)),"",P246*K246*VLOOKUP(C246,設定!$B$9:$D$23,3,FALSE)),"")</f>
        <v/>
      </c>
      <c r="T246" s="35" t="n"/>
    </row>
    <row r="247">
      <c r="A247" s="43">
        <f>IF(ISBLANK(B247),"",COUNTA($B$2:B247))</f>
        <v/>
      </c>
      <c r="B247" s="44" t="n"/>
      <c r="C247" s="45" t="n"/>
      <c r="D247" s="45" t="n"/>
      <c r="E247" s="45" t="n"/>
      <c r="F247" s="43" t="n"/>
      <c r="G247" s="46" t="n"/>
      <c r="H247" s="47" t="n"/>
      <c r="I247" s="47" t="n"/>
      <c r="J247" s="47" t="n"/>
      <c r="K247" s="48" t="n"/>
      <c r="L247" s="47" t="n"/>
      <c r="M247" s="45" t="n"/>
      <c r="N247" s="49">
        <f>IFERROR(IF(ISBLANK(H247),"",ABS(H247-I247)/VLOOKUP(C247,設定!$B$9:$D$23,2,FALSE)),"")</f>
        <v/>
      </c>
      <c r="O247" s="48">
        <f>IFERROR(IF(ISBLANK(J247),"",ABS(J247-H247)/ABS(H247-I247)),"")</f>
        <v/>
      </c>
      <c r="P247" s="50">
        <f>IFERROR(IF(OR(ISBLANK(L247),ISBLANK(E247)),"",IF(E247="Long",(L247-H247),(H247-L247))/VLOOKUP(C247,設定!$B$9:$D$23,2,FALSE)),"")</f>
        <v/>
      </c>
      <c r="Q247" s="51">
        <f>IFERROR(IF(OR(ISBLANK(P247),N247=0),"",P247/N247),"")</f>
        <v/>
      </c>
      <c r="R247" s="51">
        <f>IFERROR(IF(ISBLANK(Q247),R246,IF(ISNUMBER(R246),R246,0)+Q247),"")</f>
        <v/>
      </c>
      <c r="S247" s="52">
        <f>IFERROR(IF(OR(ISBLANK(P247),ISBLANK(K247)),"",P247*K247*VLOOKUP(C247,設定!$B$9:$D$23,3,FALSE)),"")</f>
        <v/>
      </c>
      <c r="T247" s="45" t="n"/>
    </row>
    <row r="248">
      <c r="A248" s="33">
        <f>IF(ISBLANK(B248),"",COUNTA($B$2:B248))</f>
        <v/>
      </c>
      <c r="B248" s="34" t="n"/>
      <c r="C248" s="35" t="n"/>
      <c r="D248" s="35" t="n"/>
      <c r="E248" s="35" t="n"/>
      <c r="F248" s="33" t="n"/>
      <c r="G248" s="36" t="n"/>
      <c r="H248" s="37" t="n"/>
      <c r="I248" s="37" t="n"/>
      <c r="J248" s="37" t="n"/>
      <c r="K248" s="38" t="n"/>
      <c r="L248" s="37" t="n"/>
      <c r="M248" s="35" t="n"/>
      <c r="N248" s="39">
        <f>IFERROR(IF(ISBLANK(H248),"",ABS(H248-I248)/VLOOKUP(C248,設定!$B$9:$D$23,2,FALSE)),"")</f>
        <v/>
      </c>
      <c r="O248" s="38">
        <f>IFERROR(IF(ISBLANK(J248),"",ABS(J248-H248)/ABS(H248-I248)),"")</f>
        <v/>
      </c>
      <c r="P248" s="40">
        <f>IFERROR(IF(OR(ISBLANK(L248),ISBLANK(E248)),"",IF(E248="Long",(L248-H248),(H248-L248))/VLOOKUP(C248,設定!$B$9:$D$23,2,FALSE)),"")</f>
        <v/>
      </c>
      <c r="Q248" s="41">
        <f>IFERROR(IF(OR(ISBLANK(P248),N248=0),"",P248/N248),"")</f>
        <v/>
      </c>
      <c r="R248" s="41">
        <f>IFERROR(IF(ISBLANK(Q248),R247,IF(ISNUMBER(R247),R247,0)+Q248),"")</f>
        <v/>
      </c>
      <c r="S248" s="42">
        <f>IFERROR(IF(OR(ISBLANK(P248),ISBLANK(K248)),"",P248*K248*VLOOKUP(C248,設定!$B$9:$D$23,3,FALSE)),"")</f>
        <v/>
      </c>
      <c r="T248" s="35" t="n"/>
    </row>
    <row r="249">
      <c r="A249" s="43">
        <f>IF(ISBLANK(B249),"",COUNTA($B$2:B249))</f>
        <v/>
      </c>
      <c r="B249" s="44" t="n"/>
      <c r="C249" s="45" t="n"/>
      <c r="D249" s="45" t="n"/>
      <c r="E249" s="45" t="n"/>
      <c r="F249" s="43" t="n"/>
      <c r="G249" s="46" t="n"/>
      <c r="H249" s="47" t="n"/>
      <c r="I249" s="47" t="n"/>
      <c r="J249" s="47" t="n"/>
      <c r="K249" s="48" t="n"/>
      <c r="L249" s="47" t="n"/>
      <c r="M249" s="45" t="n"/>
      <c r="N249" s="49">
        <f>IFERROR(IF(ISBLANK(H249),"",ABS(H249-I249)/VLOOKUP(C249,設定!$B$9:$D$23,2,FALSE)),"")</f>
        <v/>
      </c>
      <c r="O249" s="48">
        <f>IFERROR(IF(ISBLANK(J249),"",ABS(J249-H249)/ABS(H249-I249)),"")</f>
        <v/>
      </c>
      <c r="P249" s="50">
        <f>IFERROR(IF(OR(ISBLANK(L249),ISBLANK(E249)),"",IF(E249="Long",(L249-H249),(H249-L249))/VLOOKUP(C249,設定!$B$9:$D$23,2,FALSE)),"")</f>
        <v/>
      </c>
      <c r="Q249" s="51">
        <f>IFERROR(IF(OR(ISBLANK(P249),N249=0),"",P249/N249),"")</f>
        <v/>
      </c>
      <c r="R249" s="51">
        <f>IFERROR(IF(ISBLANK(Q249),R248,IF(ISNUMBER(R248),R248,0)+Q249),"")</f>
        <v/>
      </c>
      <c r="S249" s="52">
        <f>IFERROR(IF(OR(ISBLANK(P249),ISBLANK(K249)),"",P249*K249*VLOOKUP(C249,設定!$B$9:$D$23,3,FALSE)),"")</f>
        <v/>
      </c>
      <c r="T249" s="45" t="n"/>
    </row>
    <row r="250">
      <c r="A250" s="33">
        <f>IF(ISBLANK(B250),"",COUNTA($B$2:B250))</f>
        <v/>
      </c>
      <c r="B250" s="34" t="n"/>
      <c r="C250" s="35" t="n"/>
      <c r="D250" s="35" t="n"/>
      <c r="E250" s="35" t="n"/>
      <c r="F250" s="33" t="n"/>
      <c r="G250" s="36" t="n"/>
      <c r="H250" s="37" t="n"/>
      <c r="I250" s="37" t="n"/>
      <c r="J250" s="37" t="n"/>
      <c r="K250" s="38" t="n"/>
      <c r="L250" s="37" t="n"/>
      <c r="M250" s="35" t="n"/>
      <c r="N250" s="39">
        <f>IFERROR(IF(ISBLANK(H250),"",ABS(H250-I250)/VLOOKUP(C250,設定!$B$9:$D$23,2,FALSE)),"")</f>
        <v/>
      </c>
      <c r="O250" s="38">
        <f>IFERROR(IF(ISBLANK(J250),"",ABS(J250-H250)/ABS(H250-I250)),"")</f>
        <v/>
      </c>
      <c r="P250" s="40">
        <f>IFERROR(IF(OR(ISBLANK(L250),ISBLANK(E250)),"",IF(E250="Long",(L250-H250),(H250-L250))/VLOOKUP(C250,設定!$B$9:$D$23,2,FALSE)),"")</f>
        <v/>
      </c>
      <c r="Q250" s="41">
        <f>IFERROR(IF(OR(ISBLANK(P250),N250=0),"",P250/N250),"")</f>
        <v/>
      </c>
      <c r="R250" s="41">
        <f>IFERROR(IF(ISBLANK(Q250),R249,IF(ISNUMBER(R249),R249,0)+Q250),"")</f>
        <v/>
      </c>
      <c r="S250" s="42">
        <f>IFERROR(IF(OR(ISBLANK(P250),ISBLANK(K250)),"",P250*K250*VLOOKUP(C250,設定!$B$9:$D$23,3,FALSE)),"")</f>
        <v/>
      </c>
      <c r="T250" s="35" t="n"/>
    </row>
    <row r="251">
      <c r="A251" s="43">
        <f>IF(ISBLANK(B251),"",COUNTA($B$2:B251))</f>
        <v/>
      </c>
      <c r="B251" s="44" t="n"/>
      <c r="C251" s="45" t="n"/>
      <c r="D251" s="45" t="n"/>
      <c r="E251" s="45" t="n"/>
      <c r="F251" s="43" t="n"/>
      <c r="G251" s="46" t="n"/>
      <c r="H251" s="47" t="n"/>
      <c r="I251" s="47" t="n"/>
      <c r="J251" s="47" t="n"/>
      <c r="K251" s="48" t="n"/>
      <c r="L251" s="47" t="n"/>
      <c r="M251" s="45" t="n"/>
      <c r="N251" s="49">
        <f>IFERROR(IF(ISBLANK(H251),"",ABS(H251-I251)/VLOOKUP(C251,設定!$B$9:$D$23,2,FALSE)),"")</f>
        <v/>
      </c>
      <c r="O251" s="48">
        <f>IFERROR(IF(ISBLANK(J251),"",ABS(J251-H251)/ABS(H251-I251)),"")</f>
        <v/>
      </c>
      <c r="P251" s="50">
        <f>IFERROR(IF(OR(ISBLANK(L251),ISBLANK(E251)),"",IF(E251="Long",(L251-H251),(H251-L251))/VLOOKUP(C251,設定!$B$9:$D$23,2,FALSE)),"")</f>
        <v/>
      </c>
      <c r="Q251" s="51">
        <f>IFERROR(IF(OR(ISBLANK(P251),N251=0),"",P251/N251),"")</f>
        <v/>
      </c>
      <c r="R251" s="51">
        <f>IFERROR(IF(ISBLANK(Q251),R250,IF(ISNUMBER(R250),R250,0)+Q251),"")</f>
        <v/>
      </c>
      <c r="S251" s="52">
        <f>IFERROR(IF(OR(ISBLANK(P251),ISBLANK(K251)),"",P251*K251*VLOOKUP(C251,設定!$B$9:$D$23,3,FALSE)),"")</f>
        <v/>
      </c>
      <c r="T251" s="45" t="n"/>
    </row>
    <row r="252">
      <c r="A252" s="33">
        <f>IF(ISBLANK(B252),"",COUNTA($B$2:B252))</f>
        <v/>
      </c>
      <c r="B252" s="34" t="n"/>
      <c r="C252" s="35" t="n"/>
      <c r="D252" s="35" t="n"/>
      <c r="E252" s="35" t="n"/>
      <c r="F252" s="33" t="n"/>
      <c r="G252" s="36" t="n"/>
      <c r="H252" s="37" t="n"/>
      <c r="I252" s="37" t="n"/>
      <c r="J252" s="37" t="n"/>
      <c r="K252" s="38" t="n"/>
      <c r="L252" s="37" t="n"/>
      <c r="M252" s="35" t="n"/>
      <c r="N252" s="39">
        <f>IFERROR(IF(ISBLANK(H252),"",ABS(H252-I252)/VLOOKUP(C252,設定!$B$9:$D$23,2,FALSE)),"")</f>
        <v/>
      </c>
      <c r="O252" s="38">
        <f>IFERROR(IF(ISBLANK(J252),"",ABS(J252-H252)/ABS(H252-I252)),"")</f>
        <v/>
      </c>
      <c r="P252" s="40">
        <f>IFERROR(IF(OR(ISBLANK(L252),ISBLANK(E252)),"",IF(E252="Long",(L252-H252),(H252-L252))/VLOOKUP(C252,設定!$B$9:$D$23,2,FALSE)),"")</f>
        <v/>
      </c>
      <c r="Q252" s="41">
        <f>IFERROR(IF(OR(ISBLANK(P252),N252=0),"",P252/N252),"")</f>
        <v/>
      </c>
      <c r="R252" s="41">
        <f>IFERROR(IF(ISBLANK(Q252),R251,IF(ISNUMBER(R251),R251,0)+Q252),"")</f>
        <v/>
      </c>
      <c r="S252" s="42">
        <f>IFERROR(IF(OR(ISBLANK(P252),ISBLANK(K252)),"",P252*K252*VLOOKUP(C252,設定!$B$9:$D$23,3,FALSE)),"")</f>
        <v/>
      </c>
      <c r="T252" s="35" t="n"/>
    </row>
    <row r="253">
      <c r="A253" s="43">
        <f>IF(ISBLANK(B253),"",COUNTA($B$2:B253))</f>
        <v/>
      </c>
      <c r="B253" s="44" t="n"/>
      <c r="C253" s="45" t="n"/>
      <c r="D253" s="45" t="n"/>
      <c r="E253" s="45" t="n"/>
      <c r="F253" s="43" t="n"/>
      <c r="G253" s="46" t="n"/>
      <c r="H253" s="47" t="n"/>
      <c r="I253" s="47" t="n"/>
      <c r="J253" s="47" t="n"/>
      <c r="K253" s="48" t="n"/>
      <c r="L253" s="47" t="n"/>
      <c r="M253" s="45" t="n"/>
      <c r="N253" s="49">
        <f>IFERROR(IF(ISBLANK(H253),"",ABS(H253-I253)/VLOOKUP(C253,設定!$B$9:$D$23,2,FALSE)),"")</f>
        <v/>
      </c>
      <c r="O253" s="48">
        <f>IFERROR(IF(ISBLANK(J253),"",ABS(J253-H253)/ABS(H253-I253)),"")</f>
        <v/>
      </c>
      <c r="P253" s="50">
        <f>IFERROR(IF(OR(ISBLANK(L253),ISBLANK(E253)),"",IF(E253="Long",(L253-H253),(H253-L253))/VLOOKUP(C253,設定!$B$9:$D$23,2,FALSE)),"")</f>
        <v/>
      </c>
      <c r="Q253" s="51">
        <f>IFERROR(IF(OR(ISBLANK(P253),N253=0),"",P253/N253),"")</f>
        <v/>
      </c>
      <c r="R253" s="51">
        <f>IFERROR(IF(ISBLANK(Q253),R252,IF(ISNUMBER(R252),R252,0)+Q253),"")</f>
        <v/>
      </c>
      <c r="S253" s="52">
        <f>IFERROR(IF(OR(ISBLANK(P253),ISBLANK(K253)),"",P253*K253*VLOOKUP(C253,設定!$B$9:$D$23,3,FALSE)),"")</f>
        <v/>
      </c>
      <c r="T253" s="45" t="n"/>
    </row>
    <row r="254">
      <c r="A254" s="33">
        <f>IF(ISBLANK(B254),"",COUNTA($B$2:B254))</f>
        <v/>
      </c>
      <c r="B254" s="34" t="n"/>
      <c r="C254" s="35" t="n"/>
      <c r="D254" s="35" t="n"/>
      <c r="E254" s="35" t="n"/>
      <c r="F254" s="33" t="n"/>
      <c r="G254" s="36" t="n"/>
      <c r="H254" s="37" t="n"/>
      <c r="I254" s="37" t="n"/>
      <c r="J254" s="37" t="n"/>
      <c r="K254" s="38" t="n"/>
      <c r="L254" s="37" t="n"/>
      <c r="M254" s="35" t="n"/>
      <c r="N254" s="39">
        <f>IFERROR(IF(ISBLANK(H254),"",ABS(H254-I254)/VLOOKUP(C254,設定!$B$9:$D$23,2,FALSE)),"")</f>
        <v/>
      </c>
      <c r="O254" s="38">
        <f>IFERROR(IF(ISBLANK(J254),"",ABS(J254-H254)/ABS(H254-I254)),"")</f>
        <v/>
      </c>
      <c r="P254" s="40">
        <f>IFERROR(IF(OR(ISBLANK(L254),ISBLANK(E254)),"",IF(E254="Long",(L254-H254),(H254-L254))/VLOOKUP(C254,設定!$B$9:$D$23,2,FALSE)),"")</f>
        <v/>
      </c>
      <c r="Q254" s="41">
        <f>IFERROR(IF(OR(ISBLANK(P254),N254=0),"",P254/N254),"")</f>
        <v/>
      </c>
      <c r="R254" s="41">
        <f>IFERROR(IF(ISBLANK(Q254),R253,IF(ISNUMBER(R253),R253,0)+Q254),"")</f>
        <v/>
      </c>
      <c r="S254" s="42">
        <f>IFERROR(IF(OR(ISBLANK(P254),ISBLANK(K254)),"",P254*K254*VLOOKUP(C254,設定!$B$9:$D$23,3,FALSE)),"")</f>
        <v/>
      </c>
      <c r="T254" s="35" t="n"/>
    </row>
    <row r="255">
      <c r="A255" s="43">
        <f>IF(ISBLANK(B255),"",COUNTA($B$2:B255))</f>
        <v/>
      </c>
      <c r="B255" s="44" t="n"/>
      <c r="C255" s="45" t="n"/>
      <c r="D255" s="45" t="n"/>
      <c r="E255" s="45" t="n"/>
      <c r="F255" s="43" t="n"/>
      <c r="G255" s="46" t="n"/>
      <c r="H255" s="47" t="n"/>
      <c r="I255" s="47" t="n"/>
      <c r="J255" s="47" t="n"/>
      <c r="K255" s="48" t="n"/>
      <c r="L255" s="47" t="n"/>
      <c r="M255" s="45" t="n"/>
      <c r="N255" s="49">
        <f>IFERROR(IF(ISBLANK(H255),"",ABS(H255-I255)/VLOOKUP(C255,設定!$B$9:$D$23,2,FALSE)),"")</f>
        <v/>
      </c>
      <c r="O255" s="48">
        <f>IFERROR(IF(ISBLANK(J255),"",ABS(J255-H255)/ABS(H255-I255)),"")</f>
        <v/>
      </c>
      <c r="P255" s="50">
        <f>IFERROR(IF(OR(ISBLANK(L255),ISBLANK(E255)),"",IF(E255="Long",(L255-H255),(H255-L255))/VLOOKUP(C255,設定!$B$9:$D$23,2,FALSE)),"")</f>
        <v/>
      </c>
      <c r="Q255" s="51">
        <f>IFERROR(IF(OR(ISBLANK(P255),N255=0),"",P255/N255),"")</f>
        <v/>
      </c>
      <c r="R255" s="51">
        <f>IFERROR(IF(ISBLANK(Q255),R254,IF(ISNUMBER(R254),R254,0)+Q255),"")</f>
        <v/>
      </c>
      <c r="S255" s="52">
        <f>IFERROR(IF(OR(ISBLANK(P255),ISBLANK(K255)),"",P255*K255*VLOOKUP(C255,設定!$B$9:$D$23,3,FALSE)),"")</f>
        <v/>
      </c>
      <c r="T255" s="45" t="n"/>
    </row>
    <row r="256">
      <c r="A256" s="33">
        <f>IF(ISBLANK(B256),"",COUNTA($B$2:B256))</f>
        <v/>
      </c>
      <c r="B256" s="34" t="n"/>
      <c r="C256" s="35" t="n"/>
      <c r="D256" s="35" t="n"/>
      <c r="E256" s="35" t="n"/>
      <c r="F256" s="33" t="n"/>
      <c r="G256" s="36" t="n"/>
      <c r="H256" s="37" t="n"/>
      <c r="I256" s="37" t="n"/>
      <c r="J256" s="37" t="n"/>
      <c r="K256" s="38" t="n"/>
      <c r="L256" s="37" t="n"/>
      <c r="M256" s="35" t="n"/>
      <c r="N256" s="39">
        <f>IFERROR(IF(ISBLANK(H256),"",ABS(H256-I256)/VLOOKUP(C256,設定!$B$9:$D$23,2,FALSE)),"")</f>
        <v/>
      </c>
      <c r="O256" s="38">
        <f>IFERROR(IF(ISBLANK(J256),"",ABS(J256-H256)/ABS(H256-I256)),"")</f>
        <v/>
      </c>
      <c r="P256" s="40">
        <f>IFERROR(IF(OR(ISBLANK(L256),ISBLANK(E256)),"",IF(E256="Long",(L256-H256),(H256-L256))/VLOOKUP(C256,設定!$B$9:$D$23,2,FALSE)),"")</f>
        <v/>
      </c>
      <c r="Q256" s="41">
        <f>IFERROR(IF(OR(ISBLANK(P256),N256=0),"",P256/N256),"")</f>
        <v/>
      </c>
      <c r="R256" s="41">
        <f>IFERROR(IF(ISBLANK(Q256),R255,IF(ISNUMBER(R255),R255,0)+Q256),"")</f>
        <v/>
      </c>
      <c r="S256" s="42">
        <f>IFERROR(IF(OR(ISBLANK(P256),ISBLANK(K256)),"",P256*K256*VLOOKUP(C256,設定!$B$9:$D$23,3,FALSE)),"")</f>
        <v/>
      </c>
      <c r="T256" s="35" t="n"/>
    </row>
    <row r="257">
      <c r="A257" s="43">
        <f>IF(ISBLANK(B257),"",COUNTA($B$2:B257))</f>
        <v/>
      </c>
      <c r="B257" s="44" t="n"/>
      <c r="C257" s="45" t="n"/>
      <c r="D257" s="45" t="n"/>
      <c r="E257" s="45" t="n"/>
      <c r="F257" s="43" t="n"/>
      <c r="G257" s="46" t="n"/>
      <c r="H257" s="47" t="n"/>
      <c r="I257" s="47" t="n"/>
      <c r="J257" s="47" t="n"/>
      <c r="K257" s="48" t="n"/>
      <c r="L257" s="47" t="n"/>
      <c r="M257" s="45" t="n"/>
      <c r="N257" s="49">
        <f>IFERROR(IF(ISBLANK(H257),"",ABS(H257-I257)/VLOOKUP(C257,設定!$B$9:$D$23,2,FALSE)),"")</f>
        <v/>
      </c>
      <c r="O257" s="48">
        <f>IFERROR(IF(ISBLANK(J257),"",ABS(J257-H257)/ABS(H257-I257)),"")</f>
        <v/>
      </c>
      <c r="P257" s="50">
        <f>IFERROR(IF(OR(ISBLANK(L257),ISBLANK(E257)),"",IF(E257="Long",(L257-H257),(H257-L257))/VLOOKUP(C257,設定!$B$9:$D$23,2,FALSE)),"")</f>
        <v/>
      </c>
      <c r="Q257" s="51">
        <f>IFERROR(IF(OR(ISBLANK(P257),N257=0),"",P257/N257),"")</f>
        <v/>
      </c>
      <c r="R257" s="51">
        <f>IFERROR(IF(ISBLANK(Q257),R256,IF(ISNUMBER(R256),R256,0)+Q257),"")</f>
        <v/>
      </c>
      <c r="S257" s="52">
        <f>IFERROR(IF(OR(ISBLANK(P257),ISBLANK(K257)),"",P257*K257*VLOOKUP(C257,設定!$B$9:$D$23,3,FALSE)),"")</f>
        <v/>
      </c>
      <c r="T257" s="45" t="n"/>
    </row>
    <row r="258">
      <c r="A258" s="33">
        <f>IF(ISBLANK(B258),"",COUNTA($B$2:B258))</f>
        <v/>
      </c>
      <c r="B258" s="34" t="n"/>
      <c r="C258" s="35" t="n"/>
      <c r="D258" s="35" t="n"/>
      <c r="E258" s="35" t="n"/>
      <c r="F258" s="33" t="n"/>
      <c r="G258" s="36" t="n"/>
      <c r="H258" s="37" t="n"/>
      <c r="I258" s="37" t="n"/>
      <c r="J258" s="37" t="n"/>
      <c r="K258" s="38" t="n"/>
      <c r="L258" s="37" t="n"/>
      <c r="M258" s="35" t="n"/>
      <c r="N258" s="39">
        <f>IFERROR(IF(ISBLANK(H258),"",ABS(H258-I258)/VLOOKUP(C258,設定!$B$9:$D$23,2,FALSE)),"")</f>
        <v/>
      </c>
      <c r="O258" s="38">
        <f>IFERROR(IF(ISBLANK(J258),"",ABS(J258-H258)/ABS(H258-I258)),"")</f>
        <v/>
      </c>
      <c r="P258" s="40">
        <f>IFERROR(IF(OR(ISBLANK(L258),ISBLANK(E258)),"",IF(E258="Long",(L258-H258),(H258-L258))/VLOOKUP(C258,設定!$B$9:$D$23,2,FALSE)),"")</f>
        <v/>
      </c>
      <c r="Q258" s="41">
        <f>IFERROR(IF(OR(ISBLANK(P258),N258=0),"",P258/N258),"")</f>
        <v/>
      </c>
      <c r="R258" s="41">
        <f>IFERROR(IF(ISBLANK(Q258),R257,IF(ISNUMBER(R257),R257,0)+Q258),"")</f>
        <v/>
      </c>
      <c r="S258" s="42">
        <f>IFERROR(IF(OR(ISBLANK(P258),ISBLANK(K258)),"",P258*K258*VLOOKUP(C258,設定!$B$9:$D$23,3,FALSE)),"")</f>
        <v/>
      </c>
      <c r="T258" s="35" t="n"/>
    </row>
    <row r="259">
      <c r="A259" s="43">
        <f>IF(ISBLANK(B259),"",COUNTA($B$2:B259))</f>
        <v/>
      </c>
      <c r="B259" s="44" t="n"/>
      <c r="C259" s="45" t="n"/>
      <c r="D259" s="45" t="n"/>
      <c r="E259" s="45" t="n"/>
      <c r="F259" s="43" t="n"/>
      <c r="G259" s="46" t="n"/>
      <c r="H259" s="47" t="n"/>
      <c r="I259" s="47" t="n"/>
      <c r="J259" s="47" t="n"/>
      <c r="K259" s="48" t="n"/>
      <c r="L259" s="47" t="n"/>
      <c r="M259" s="45" t="n"/>
      <c r="N259" s="49">
        <f>IFERROR(IF(ISBLANK(H259),"",ABS(H259-I259)/VLOOKUP(C259,設定!$B$9:$D$23,2,FALSE)),"")</f>
        <v/>
      </c>
      <c r="O259" s="48">
        <f>IFERROR(IF(ISBLANK(J259),"",ABS(J259-H259)/ABS(H259-I259)),"")</f>
        <v/>
      </c>
      <c r="P259" s="50">
        <f>IFERROR(IF(OR(ISBLANK(L259),ISBLANK(E259)),"",IF(E259="Long",(L259-H259),(H259-L259))/VLOOKUP(C259,設定!$B$9:$D$23,2,FALSE)),"")</f>
        <v/>
      </c>
      <c r="Q259" s="51">
        <f>IFERROR(IF(OR(ISBLANK(P259),N259=0),"",P259/N259),"")</f>
        <v/>
      </c>
      <c r="R259" s="51">
        <f>IFERROR(IF(ISBLANK(Q259),R258,IF(ISNUMBER(R258),R258,0)+Q259),"")</f>
        <v/>
      </c>
      <c r="S259" s="52">
        <f>IFERROR(IF(OR(ISBLANK(P259),ISBLANK(K259)),"",P259*K259*VLOOKUP(C259,設定!$B$9:$D$23,3,FALSE)),"")</f>
        <v/>
      </c>
      <c r="T259" s="45" t="n"/>
    </row>
    <row r="260">
      <c r="A260" s="33">
        <f>IF(ISBLANK(B260),"",COUNTA($B$2:B260))</f>
        <v/>
      </c>
      <c r="B260" s="34" t="n"/>
      <c r="C260" s="35" t="n"/>
      <c r="D260" s="35" t="n"/>
      <c r="E260" s="35" t="n"/>
      <c r="F260" s="33" t="n"/>
      <c r="G260" s="36" t="n"/>
      <c r="H260" s="37" t="n"/>
      <c r="I260" s="37" t="n"/>
      <c r="J260" s="37" t="n"/>
      <c r="K260" s="38" t="n"/>
      <c r="L260" s="37" t="n"/>
      <c r="M260" s="35" t="n"/>
      <c r="N260" s="39">
        <f>IFERROR(IF(ISBLANK(H260),"",ABS(H260-I260)/VLOOKUP(C260,設定!$B$9:$D$23,2,FALSE)),"")</f>
        <v/>
      </c>
      <c r="O260" s="38">
        <f>IFERROR(IF(ISBLANK(J260),"",ABS(J260-H260)/ABS(H260-I260)),"")</f>
        <v/>
      </c>
      <c r="P260" s="40">
        <f>IFERROR(IF(OR(ISBLANK(L260),ISBLANK(E260)),"",IF(E260="Long",(L260-H260),(H260-L260))/VLOOKUP(C260,設定!$B$9:$D$23,2,FALSE)),"")</f>
        <v/>
      </c>
      <c r="Q260" s="41">
        <f>IFERROR(IF(OR(ISBLANK(P260),N260=0),"",P260/N260),"")</f>
        <v/>
      </c>
      <c r="R260" s="41">
        <f>IFERROR(IF(ISBLANK(Q260),R259,IF(ISNUMBER(R259),R259,0)+Q260),"")</f>
        <v/>
      </c>
      <c r="S260" s="42">
        <f>IFERROR(IF(OR(ISBLANK(P260),ISBLANK(K260)),"",P260*K260*VLOOKUP(C260,設定!$B$9:$D$23,3,FALSE)),"")</f>
        <v/>
      </c>
      <c r="T260" s="35" t="n"/>
    </row>
    <row r="261">
      <c r="A261" s="43">
        <f>IF(ISBLANK(B261),"",COUNTA($B$2:B261))</f>
        <v/>
      </c>
      <c r="B261" s="44" t="n"/>
      <c r="C261" s="45" t="n"/>
      <c r="D261" s="45" t="n"/>
      <c r="E261" s="45" t="n"/>
      <c r="F261" s="43" t="n"/>
      <c r="G261" s="46" t="n"/>
      <c r="H261" s="47" t="n"/>
      <c r="I261" s="47" t="n"/>
      <c r="J261" s="47" t="n"/>
      <c r="K261" s="48" t="n"/>
      <c r="L261" s="47" t="n"/>
      <c r="M261" s="45" t="n"/>
      <c r="N261" s="49">
        <f>IFERROR(IF(ISBLANK(H261),"",ABS(H261-I261)/VLOOKUP(C261,設定!$B$9:$D$23,2,FALSE)),"")</f>
        <v/>
      </c>
      <c r="O261" s="48">
        <f>IFERROR(IF(ISBLANK(J261),"",ABS(J261-H261)/ABS(H261-I261)),"")</f>
        <v/>
      </c>
      <c r="P261" s="50">
        <f>IFERROR(IF(OR(ISBLANK(L261),ISBLANK(E261)),"",IF(E261="Long",(L261-H261),(H261-L261))/VLOOKUP(C261,設定!$B$9:$D$23,2,FALSE)),"")</f>
        <v/>
      </c>
      <c r="Q261" s="51">
        <f>IFERROR(IF(OR(ISBLANK(P261),N261=0),"",P261/N261),"")</f>
        <v/>
      </c>
      <c r="R261" s="51">
        <f>IFERROR(IF(ISBLANK(Q261),R260,IF(ISNUMBER(R260),R260,0)+Q261),"")</f>
        <v/>
      </c>
      <c r="S261" s="52">
        <f>IFERROR(IF(OR(ISBLANK(P261),ISBLANK(K261)),"",P261*K261*VLOOKUP(C261,設定!$B$9:$D$23,3,FALSE)),"")</f>
        <v/>
      </c>
      <c r="T261" s="45" t="n"/>
    </row>
    <row r="262">
      <c r="A262" s="33">
        <f>IF(ISBLANK(B262),"",COUNTA($B$2:B262))</f>
        <v/>
      </c>
      <c r="B262" s="34" t="n"/>
      <c r="C262" s="35" t="n"/>
      <c r="D262" s="35" t="n"/>
      <c r="E262" s="35" t="n"/>
      <c r="F262" s="33" t="n"/>
      <c r="G262" s="36" t="n"/>
      <c r="H262" s="37" t="n"/>
      <c r="I262" s="37" t="n"/>
      <c r="J262" s="37" t="n"/>
      <c r="K262" s="38" t="n"/>
      <c r="L262" s="37" t="n"/>
      <c r="M262" s="35" t="n"/>
      <c r="N262" s="39">
        <f>IFERROR(IF(ISBLANK(H262),"",ABS(H262-I262)/VLOOKUP(C262,設定!$B$9:$D$23,2,FALSE)),"")</f>
        <v/>
      </c>
      <c r="O262" s="38">
        <f>IFERROR(IF(ISBLANK(J262),"",ABS(J262-H262)/ABS(H262-I262)),"")</f>
        <v/>
      </c>
      <c r="P262" s="40">
        <f>IFERROR(IF(OR(ISBLANK(L262),ISBLANK(E262)),"",IF(E262="Long",(L262-H262),(H262-L262))/VLOOKUP(C262,設定!$B$9:$D$23,2,FALSE)),"")</f>
        <v/>
      </c>
      <c r="Q262" s="41">
        <f>IFERROR(IF(OR(ISBLANK(P262),N262=0),"",P262/N262),"")</f>
        <v/>
      </c>
      <c r="R262" s="41">
        <f>IFERROR(IF(ISBLANK(Q262),R261,IF(ISNUMBER(R261),R261,0)+Q262),"")</f>
        <v/>
      </c>
      <c r="S262" s="42">
        <f>IFERROR(IF(OR(ISBLANK(P262),ISBLANK(K262)),"",P262*K262*VLOOKUP(C262,設定!$B$9:$D$23,3,FALSE)),"")</f>
        <v/>
      </c>
      <c r="T262" s="35" t="n"/>
    </row>
    <row r="263">
      <c r="A263" s="43">
        <f>IF(ISBLANK(B263),"",COUNTA($B$2:B263))</f>
        <v/>
      </c>
      <c r="B263" s="44" t="n"/>
      <c r="C263" s="45" t="n"/>
      <c r="D263" s="45" t="n"/>
      <c r="E263" s="45" t="n"/>
      <c r="F263" s="43" t="n"/>
      <c r="G263" s="46" t="n"/>
      <c r="H263" s="47" t="n"/>
      <c r="I263" s="47" t="n"/>
      <c r="J263" s="47" t="n"/>
      <c r="K263" s="48" t="n"/>
      <c r="L263" s="47" t="n"/>
      <c r="M263" s="45" t="n"/>
      <c r="N263" s="49">
        <f>IFERROR(IF(ISBLANK(H263),"",ABS(H263-I263)/VLOOKUP(C263,設定!$B$9:$D$23,2,FALSE)),"")</f>
        <v/>
      </c>
      <c r="O263" s="48">
        <f>IFERROR(IF(ISBLANK(J263),"",ABS(J263-H263)/ABS(H263-I263)),"")</f>
        <v/>
      </c>
      <c r="P263" s="50">
        <f>IFERROR(IF(OR(ISBLANK(L263),ISBLANK(E263)),"",IF(E263="Long",(L263-H263),(H263-L263))/VLOOKUP(C263,設定!$B$9:$D$23,2,FALSE)),"")</f>
        <v/>
      </c>
      <c r="Q263" s="51">
        <f>IFERROR(IF(OR(ISBLANK(P263),N263=0),"",P263/N263),"")</f>
        <v/>
      </c>
      <c r="R263" s="51">
        <f>IFERROR(IF(ISBLANK(Q263),R262,IF(ISNUMBER(R262),R262,0)+Q263),"")</f>
        <v/>
      </c>
      <c r="S263" s="52">
        <f>IFERROR(IF(OR(ISBLANK(P263),ISBLANK(K263)),"",P263*K263*VLOOKUP(C263,設定!$B$9:$D$23,3,FALSE)),"")</f>
        <v/>
      </c>
      <c r="T263" s="45" t="n"/>
    </row>
    <row r="264">
      <c r="A264" s="33">
        <f>IF(ISBLANK(B264),"",COUNTA($B$2:B264))</f>
        <v/>
      </c>
      <c r="B264" s="34" t="n"/>
      <c r="C264" s="35" t="n"/>
      <c r="D264" s="35" t="n"/>
      <c r="E264" s="35" t="n"/>
      <c r="F264" s="33" t="n"/>
      <c r="G264" s="36" t="n"/>
      <c r="H264" s="37" t="n"/>
      <c r="I264" s="37" t="n"/>
      <c r="J264" s="37" t="n"/>
      <c r="K264" s="38" t="n"/>
      <c r="L264" s="37" t="n"/>
      <c r="M264" s="35" t="n"/>
      <c r="N264" s="39">
        <f>IFERROR(IF(ISBLANK(H264),"",ABS(H264-I264)/VLOOKUP(C264,設定!$B$9:$D$23,2,FALSE)),"")</f>
        <v/>
      </c>
      <c r="O264" s="38">
        <f>IFERROR(IF(ISBLANK(J264),"",ABS(J264-H264)/ABS(H264-I264)),"")</f>
        <v/>
      </c>
      <c r="P264" s="40">
        <f>IFERROR(IF(OR(ISBLANK(L264),ISBLANK(E264)),"",IF(E264="Long",(L264-H264),(H264-L264))/VLOOKUP(C264,設定!$B$9:$D$23,2,FALSE)),"")</f>
        <v/>
      </c>
      <c r="Q264" s="41">
        <f>IFERROR(IF(OR(ISBLANK(P264),N264=0),"",P264/N264),"")</f>
        <v/>
      </c>
      <c r="R264" s="41">
        <f>IFERROR(IF(ISBLANK(Q264),R263,IF(ISNUMBER(R263),R263,0)+Q264),"")</f>
        <v/>
      </c>
      <c r="S264" s="42">
        <f>IFERROR(IF(OR(ISBLANK(P264),ISBLANK(K264)),"",P264*K264*VLOOKUP(C264,設定!$B$9:$D$23,3,FALSE)),"")</f>
        <v/>
      </c>
      <c r="T264" s="35" t="n"/>
    </row>
    <row r="265">
      <c r="A265" s="43">
        <f>IF(ISBLANK(B265),"",COUNTA($B$2:B265))</f>
        <v/>
      </c>
      <c r="B265" s="44" t="n"/>
      <c r="C265" s="45" t="n"/>
      <c r="D265" s="45" t="n"/>
      <c r="E265" s="45" t="n"/>
      <c r="F265" s="43" t="n"/>
      <c r="G265" s="46" t="n"/>
      <c r="H265" s="47" t="n"/>
      <c r="I265" s="47" t="n"/>
      <c r="J265" s="47" t="n"/>
      <c r="K265" s="48" t="n"/>
      <c r="L265" s="47" t="n"/>
      <c r="M265" s="45" t="n"/>
      <c r="N265" s="49">
        <f>IFERROR(IF(ISBLANK(H265),"",ABS(H265-I265)/VLOOKUP(C265,設定!$B$9:$D$23,2,FALSE)),"")</f>
        <v/>
      </c>
      <c r="O265" s="48">
        <f>IFERROR(IF(ISBLANK(J265),"",ABS(J265-H265)/ABS(H265-I265)),"")</f>
        <v/>
      </c>
      <c r="P265" s="50">
        <f>IFERROR(IF(OR(ISBLANK(L265),ISBLANK(E265)),"",IF(E265="Long",(L265-H265),(H265-L265))/VLOOKUP(C265,設定!$B$9:$D$23,2,FALSE)),"")</f>
        <v/>
      </c>
      <c r="Q265" s="51">
        <f>IFERROR(IF(OR(ISBLANK(P265),N265=0),"",P265/N265),"")</f>
        <v/>
      </c>
      <c r="R265" s="51">
        <f>IFERROR(IF(ISBLANK(Q265),R264,IF(ISNUMBER(R264),R264,0)+Q265),"")</f>
        <v/>
      </c>
      <c r="S265" s="52">
        <f>IFERROR(IF(OR(ISBLANK(P265),ISBLANK(K265)),"",P265*K265*VLOOKUP(C265,設定!$B$9:$D$23,3,FALSE)),"")</f>
        <v/>
      </c>
      <c r="T265" s="45" t="n"/>
    </row>
    <row r="266">
      <c r="A266" s="33">
        <f>IF(ISBLANK(B266),"",COUNTA($B$2:B266))</f>
        <v/>
      </c>
      <c r="B266" s="34" t="n"/>
      <c r="C266" s="35" t="n"/>
      <c r="D266" s="35" t="n"/>
      <c r="E266" s="35" t="n"/>
      <c r="F266" s="33" t="n"/>
      <c r="G266" s="36" t="n"/>
      <c r="H266" s="37" t="n"/>
      <c r="I266" s="37" t="n"/>
      <c r="J266" s="37" t="n"/>
      <c r="K266" s="38" t="n"/>
      <c r="L266" s="37" t="n"/>
      <c r="M266" s="35" t="n"/>
      <c r="N266" s="39">
        <f>IFERROR(IF(ISBLANK(H266),"",ABS(H266-I266)/VLOOKUP(C266,設定!$B$9:$D$23,2,FALSE)),"")</f>
        <v/>
      </c>
      <c r="O266" s="38">
        <f>IFERROR(IF(ISBLANK(J266),"",ABS(J266-H266)/ABS(H266-I266)),"")</f>
        <v/>
      </c>
      <c r="P266" s="40">
        <f>IFERROR(IF(OR(ISBLANK(L266),ISBLANK(E266)),"",IF(E266="Long",(L266-H266),(H266-L266))/VLOOKUP(C266,設定!$B$9:$D$23,2,FALSE)),"")</f>
        <v/>
      </c>
      <c r="Q266" s="41">
        <f>IFERROR(IF(OR(ISBLANK(P266),N266=0),"",P266/N266),"")</f>
        <v/>
      </c>
      <c r="R266" s="41">
        <f>IFERROR(IF(ISBLANK(Q266),R265,IF(ISNUMBER(R265),R265,0)+Q266),"")</f>
        <v/>
      </c>
      <c r="S266" s="42">
        <f>IFERROR(IF(OR(ISBLANK(P266),ISBLANK(K266)),"",P266*K266*VLOOKUP(C266,設定!$B$9:$D$23,3,FALSE)),"")</f>
        <v/>
      </c>
      <c r="T266" s="35" t="n"/>
    </row>
    <row r="267">
      <c r="A267" s="43">
        <f>IF(ISBLANK(B267),"",COUNTA($B$2:B267))</f>
        <v/>
      </c>
      <c r="B267" s="44" t="n"/>
      <c r="C267" s="45" t="n"/>
      <c r="D267" s="45" t="n"/>
      <c r="E267" s="45" t="n"/>
      <c r="F267" s="43" t="n"/>
      <c r="G267" s="46" t="n"/>
      <c r="H267" s="47" t="n"/>
      <c r="I267" s="47" t="n"/>
      <c r="J267" s="47" t="n"/>
      <c r="K267" s="48" t="n"/>
      <c r="L267" s="47" t="n"/>
      <c r="M267" s="45" t="n"/>
      <c r="N267" s="49">
        <f>IFERROR(IF(ISBLANK(H267),"",ABS(H267-I267)/VLOOKUP(C267,設定!$B$9:$D$23,2,FALSE)),"")</f>
        <v/>
      </c>
      <c r="O267" s="48">
        <f>IFERROR(IF(ISBLANK(J267),"",ABS(J267-H267)/ABS(H267-I267)),"")</f>
        <v/>
      </c>
      <c r="P267" s="50">
        <f>IFERROR(IF(OR(ISBLANK(L267),ISBLANK(E267)),"",IF(E267="Long",(L267-H267),(H267-L267))/VLOOKUP(C267,設定!$B$9:$D$23,2,FALSE)),"")</f>
        <v/>
      </c>
      <c r="Q267" s="51">
        <f>IFERROR(IF(OR(ISBLANK(P267),N267=0),"",P267/N267),"")</f>
        <v/>
      </c>
      <c r="R267" s="51">
        <f>IFERROR(IF(ISBLANK(Q267),R266,IF(ISNUMBER(R266),R266,0)+Q267),"")</f>
        <v/>
      </c>
      <c r="S267" s="52">
        <f>IFERROR(IF(OR(ISBLANK(P267),ISBLANK(K267)),"",P267*K267*VLOOKUP(C267,設定!$B$9:$D$23,3,FALSE)),"")</f>
        <v/>
      </c>
      <c r="T267" s="45" t="n"/>
    </row>
    <row r="268">
      <c r="A268" s="33">
        <f>IF(ISBLANK(B268),"",COUNTA($B$2:B268))</f>
        <v/>
      </c>
      <c r="B268" s="34" t="n"/>
      <c r="C268" s="35" t="n"/>
      <c r="D268" s="35" t="n"/>
      <c r="E268" s="35" t="n"/>
      <c r="F268" s="33" t="n"/>
      <c r="G268" s="36" t="n"/>
      <c r="H268" s="37" t="n"/>
      <c r="I268" s="37" t="n"/>
      <c r="J268" s="37" t="n"/>
      <c r="K268" s="38" t="n"/>
      <c r="L268" s="37" t="n"/>
      <c r="M268" s="35" t="n"/>
      <c r="N268" s="39">
        <f>IFERROR(IF(ISBLANK(H268),"",ABS(H268-I268)/VLOOKUP(C268,設定!$B$9:$D$23,2,FALSE)),"")</f>
        <v/>
      </c>
      <c r="O268" s="38">
        <f>IFERROR(IF(ISBLANK(J268),"",ABS(J268-H268)/ABS(H268-I268)),"")</f>
        <v/>
      </c>
      <c r="P268" s="40">
        <f>IFERROR(IF(OR(ISBLANK(L268),ISBLANK(E268)),"",IF(E268="Long",(L268-H268),(H268-L268))/VLOOKUP(C268,設定!$B$9:$D$23,2,FALSE)),"")</f>
        <v/>
      </c>
      <c r="Q268" s="41">
        <f>IFERROR(IF(OR(ISBLANK(P268),N268=0),"",P268/N268),"")</f>
        <v/>
      </c>
      <c r="R268" s="41">
        <f>IFERROR(IF(ISBLANK(Q268),R267,IF(ISNUMBER(R267),R267,0)+Q268),"")</f>
        <v/>
      </c>
      <c r="S268" s="42">
        <f>IFERROR(IF(OR(ISBLANK(P268),ISBLANK(K268)),"",P268*K268*VLOOKUP(C268,設定!$B$9:$D$23,3,FALSE)),"")</f>
        <v/>
      </c>
      <c r="T268" s="35" t="n"/>
    </row>
    <row r="269">
      <c r="A269" s="43">
        <f>IF(ISBLANK(B269),"",COUNTA($B$2:B269))</f>
        <v/>
      </c>
      <c r="B269" s="44" t="n"/>
      <c r="C269" s="45" t="n"/>
      <c r="D269" s="45" t="n"/>
      <c r="E269" s="45" t="n"/>
      <c r="F269" s="43" t="n"/>
      <c r="G269" s="46" t="n"/>
      <c r="H269" s="47" t="n"/>
      <c r="I269" s="47" t="n"/>
      <c r="J269" s="47" t="n"/>
      <c r="K269" s="48" t="n"/>
      <c r="L269" s="47" t="n"/>
      <c r="M269" s="45" t="n"/>
      <c r="N269" s="49">
        <f>IFERROR(IF(ISBLANK(H269),"",ABS(H269-I269)/VLOOKUP(C269,設定!$B$9:$D$23,2,FALSE)),"")</f>
        <v/>
      </c>
      <c r="O269" s="48">
        <f>IFERROR(IF(ISBLANK(J269),"",ABS(J269-H269)/ABS(H269-I269)),"")</f>
        <v/>
      </c>
      <c r="P269" s="50">
        <f>IFERROR(IF(OR(ISBLANK(L269),ISBLANK(E269)),"",IF(E269="Long",(L269-H269),(H269-L269))/VLOOKUP(C269,設定!$B$9:$D$23,2,FALSE)),"")</f>
        <v/>
      </c>
      <c r="Q269" s="51">
        <f>IFERROR(IF(OR(ISBLANK(P269),N269=0),"",P269/N269),"")</f>
        <v/>
      </c>
      <c r="R269" s="51">
        <f>IFERROR(IF(ISBLANK(Q269),R268,IF(ISNUMBER(R268),R268,0)+Q269),"")</f>
        <v/>
      </c>
      <c r="S269" s="52">
        <f>IFERROR(IF(OR(ISBLANK(P269),ISBLANK(K269)),"",P269*K269*VLOOKUP(C269,設定!$B$9:$D$23,3,FALSE)),"")</f>
        <v/>
      </c>
      <c r="T269" s="45" t="n"/>
    </row>
    <row r="270">
      <c r="A270" s="33">
        <f>IF(ISBLANK(B270),"",COUNTA($B$2:B270))</f>
        <v/>
      </c>
      <c r="B270" s="34" t="n"/>
      <c r="C270" s="35" t="n"/>
      <c r="D270" s="35" t="n"/>
      <c r="E270" s="35" t="n"/>
      <c r="F270" s="33" t="n"/>
      <c r="G270" s="36" t="n"/>
      <c r="H270" s="37" t="n"/>
      <c r="I270" s="37" t="n"/>
      <c r="J270" s="37" t="n"/>
      <c r="K270" s="38" t="n"/>
      <c r="L270" s="37" t="n"/>
      <c r="M270" s="35" t="n"/>
      <c r="N270" s="39">
        <f>IFERROR(IF(ISBLANK(H270),"",ABS(H270-I270)/VLOOKUP(C270,設定!$B$9:$D$23,2,FALSE)),"")</f>
        <v/>
      </c>
      <c r="O270" s="38">
        <f>IFERROR(IF(ISBLANK(J270),"",ABS(J270-H270)/ABS(H270-I270)),"")</f>
        <v/>
      </c>
      <c r="P270" s="40">
        <f>IFERROR(IF(OR(ISBLANK(L270),ISBLANK(E270)),"",IF(E270="Long",(L270-H270),(H270-L270))/VLOOKUP(C270,設定!$B$9:$D$23,2,FALSE)),"")</f>
        <v/>
      </c>
      <c r="Q270" s="41">
        <f>IFERROR(IF(OR(ISBLANK(P270),N270=0),"",P270/N270),"")</f>
        <v/>
      </c>
      <c r="R270" s="41">
        <f>IFERROR(IF(ISBLANK(Q270),R269,IF(ISNUMBER(R269),R269,0)+Q270),"")</f>
        <v/>
      </c>
      <c r="S270" s="42">
        <f>IFERROR(IF(OR(ISBLANK(P270),ISBLANK(K270)),"",P270*K270*VLOOKUP(C270,設定!$B$9:$D$23,3,FALSE)),"")</f>
        <v/>
      </c>
      <c r="T270" s="35" t="n"/>
    </row>
    <row r="271">
      <c r="A271" s="43">
        <f>IF(ISBLANK(B271),"",COUNTA($B$2:B271))</f>
        <v/>
      </c>
      <c r="B271" s="44" t="n"/>
      <c r="C271" s="45" t="n"/>
      <c r="D271" s="45" t="n"/>
      <c r="E271" s="45" t="n"/>
      <c r="F271" s="43" t="n"/>
      <c r="G271" s="46" t="n"/>
      <c r="H271" s="47" t="n"/>
      <c r="I271" s="47" t="n"/>
      <c r="J271" s="47" t="n"/>
      <c r="K271" s="48" t="n"/>
      <c r="L271" s="47" t="n"/>
      <c r="M271" s="45" t="n"/>
      <c r="N271" s="49">
        <f>IFERROR(IF(ISBLANK(H271),"",ABS(H271-I271)/VLOOKUP(C271,設定!$B$9:$D$23,2,FALSE)),"")</f>
        <v/>
      </c>
      <c r="O271" s="48">
        <f>IFERROR(IF(ISBLANK(J271),"",ABS(J271-H271)/ABS(H271-I271)),"")</f>
        <v/>
      </c>
      <c r="P271" s="50">
        <f>IFERROR(IF(OR(ISBLANK(L271),ISBLANK(E271)),"",IF(E271="Long",(L271-H271),(H271-L271))/VLOOKUP(C271,設定!$B$9:$D$23,2,FALSE)),"")</f>
        <v/>
      </c>
      <c r="Q271" s="51">
        <f>IFERROR(IF(OR(ISBLANK(P271),N271=0),"",P271/N271),"")</f>
        <v/>
      </c>
      <c r="R271" s="51">
        <f>IFERROR(IF(ISBLANK(Q271),R270,IF(ISNUMBER(R270),R270,0)+Q271),"")</f>
        <v/>
      </c>
      <c r="S271" s="52">
        <f>IFERROR(IF(OR(ISBLANK(P271),ISBLANK(K271)),"",P271*K271*VLOOKUP(C271,設定!$B$9:$D$23,3,FALSE)),"")</f>
        <v/>
      </c>
      <c r="T271" s="45" t="n"/>
    </row>
    <row r="272">
      <c r="A272" s="33">
        <f>IF(ISBLANK(B272),"",COUNTA($B$2:B272))</f>
        <v/>
      </c>
      <c r="B272" s="34" t="n"/>
      <c r="C272" s="35" t="n"/>
      <c r="D272" s="35" t="n"/>
      <c r="E272" s="35" t="n"/>
      <c r="F272" s="33" t="n"/>
      <c r="G272" s="36" t="n"/>
      <c r="H272" s="37" t="n"/>
      <c r="I272" s="37" t="n"/>
      <c r="J272" s="37" t="n"/>
      <c r="K272" s="38" t="n"/>
      <c r="L272" s="37" t="n"/>
      <c r="M272" s="35" t="n"/>
      <c r="N272" s="39">
        <f>IFERROR(IF(ISBLANK(H272),"",ABS(H272-I272)/VLOOKUP(C272,設定!$B$9:$D$23,2,FALSE)),"")</f>
        <v/>
      </c>
      <c r="O272" s="38">
        <f>IFERROR(IF(ISBLANK(J272),"",ABS(J272-H272)/ABS(H272-I272)),"")</f>
        <v/>
      </c>
      <c r="P272" s="40">
        <f>IFERROR(IF(OR(ISBLANK(L272),ISBLANK(E272)),"",IF(E272="Long",(L272-H272),(H272-L272))/VLOOKUP(C272,設定!$B$9:$D$23,2,FALSE)),"")</f>
        <v/>
      </c>
      <c r="Q272" s="41">
        <f>IFERROR(IF(OR(ISBLANK(P272),N272=0),"",P272/N272),"")</f>
        <v/>
      </c>
      <c r="R272" s="41">
        <f>IFERROR(IF(ISBLANK(Q272),R271,IF(ISNUMBER(R271),R271,0)+Q272),"")</f>
        <v/>
      </c>
      <c r="S272" s="42">
        <f>IFERROR(IF(OR(ISBLANK(P272),ISBLANK(K272)),"",P272*K272*VLOOKUP(C272,設定!$B$9:$D$23,3,FALSE)),"")</f>
        <v/>
      </c>
      <c r="T272" s="35" t="n"/>
    </row>
    <row r="273">
      <c r="A273" s="43">
        <f>IF(ISBLANK(B273),"",COUNTA($B$2:B273))</f>
        <v/>
      </c>
      <c r="B273" s="44" t="n"/>
      <c r="C273" s="45" t="n"/>
      <c r="D273" s="45" t="n"/>
      <c r="E273" s="45" t="n"/>
      <c r="F273" s="43" t="n"/>
      <c r="G273" s="46" t="n"/>
      <c r="H273" s="47" t="n"/>
      <c r="I273" s="47" t="n"/>
      <c r="J273" s="47" t="n"/>
      <c r="K273" s="48" t="n"/>
      <c r="L273" s="47" t="n"/>
      <c r="M273" s="45" t="n"/>
      <c r="N273" s="49">
        <f>IFERROR(IF(ISBLANK(H273),"",ABS(H273-I273)/VLOOKUP(C273,設定!$B$9:$D$23,2,FALSE)),"")</f>
        <v/>
      </c>
      <c r="O273" s="48">
        <f>IFERROR(IF(ISBLANK(J273),"",ABS(J273-H273)/ABS(H273-I273)),"")</f>
        <v/>
      </c>
      <c r="P273" s="50">
        <f>IFERROR(IF(OR(ISBLANK(L273),ISBLANK(E273)),"",IF(E273="Long",(L273-H273),(H273-L273))/VLOOKUP(C273,設定!$B$9:$D$23,2,FALSE)),"")</f>
        <v/>
      </c>
      <c r="Q273" s="51">
        <f>IFERROR(IF(OR(ISBLANK(P273),N273=0),"",P273/N273),"")</f>
        <v/>
      </c>
      <c r="R273" s="51">
        <f>IFERROR(IF(ISBLANK(Q273),R272,IF(ISNUMBER(R272),R272,0)+Q273),"")</f>
        <v/>
      </c>
      <c r="S273" s="52">
        <f>IFERROR(IF(OR(ISBLANK(P273),ISBLANK(K273)),"",P273*K273*VLOOKUP(C273,設定!$B$9:$D$23,3,FALSE)),"")</f>
        <v/>
      </c>
      <c r="T273" s="45" t="n"/>
    </row>
    <row r="274">
      <c r="A274" s="33">
        <f>IF(ISBLANK(B274),"",COUNTA($B$2:B274))</f>
        <v/>
      </c>
      <c r="B274" s="34" t="n"/>
      <c r="C274" s="35" t="n"/>
      <c r="D274" s="35" t="n"/>
      <c r="E274" s="35" t="n"/>
      <c r="F274" s="33" t="n"/>
      <c r="G274" s="36" t="n"/>
      <c r="H274" s="37" t="n"/>
      <c r="I274" s="37" t="n"/>
      <c r="J274" s="37" t="n"/>
      <c r="K274" s="38" t="n"/>
      <c r="L274" s="37" t="n"/>
      <c r="M274" s="35" t="n"/>
      <c r="N274" s="39">
        <f>IFERROR(IF(ISBLANK(H274),"",ABS(H274-I274)/VLOOKUP(C274,設定!$B$9:$D$23,2,FALSE)),"")</f>
        <v/>
      </c>
      <c r="O274" s="38">
        <f>IFERROR(IF(ISBLANK(J274),"",ABS(J274-H274)/ABS(H274-I274)),"")</f>
        <v/>
      </c>
      <c r="P274" s="40">
        <f>IFERROR(IF(OR(ISBLANK(L274),ISBLANK(E274)),"",IF(E274="Long",(L274-H274),(H274-L274))/VLOOKUP(C274,設定!$B$9:$D$23,2,FALSE)),"")</f>
        <v/>
      </c>
      <c r="Q274" s="41">
        <f>IFERROR(IF(OR(ISBLANK(P274),N274=0),"",P274/N274),"")</f>
        <v/>
      </c>
      <c r="R274" s="41">
        <f>IFERROR(IF(ISBLANK(Q274),R273,IF(ISNUMBER(R273),R273,0)+Q274),"")</f>
        <v/>
      </c>
      <c r="S274" s="42">
        <f>IFERROR(IF(OR(ISBLANK(P274),ISBLANK(K274)),"",P274*K274*VLOOKUP(C274,設定!$B$9:$D$23,3,FALSE)),"")</f>
        <v/>
      </c>
      <c r="T274" s="35" t="n"/>
    </row>
    <row r="275">
      <c r="A275" s="43">
        <f>IF(ISBLANK(B275),"",COUNTA($B$2:B275))</f>
        <v/>
      </c>
      <c r="B275" s="44" t="n"/>
      <c r="C275" s="45" t="n"/>
      <c r="D275" s="45" t="n"/>
      <c r="E275" s="45" t="n"/>
      <c r="F275" s="43" t="n"/>
      <c r="G275" s="46" t="n"/>
      <c r="H275" s="47" t="n"/>
      <c r="I275" s="47" t="n"/>
      <c r="J275" s="47" t="n"/>
      <c r="K275" s="48" t="n"/>
      <c r="L275" s="47" t="n"/>
      <c r="M275" s="45" t="n"/>
      <c r="N275" s="49">
        <f>IFERROR(IF(ISBLANK(H275),"",ABS(H275-I275)/VLOOKUP(C275,設定!$B$9:$D$23,2,FALSE)),"")</f>
        <v/>
      </c>
      <c r="O275" s="48">
        <f>IFERROR(IF(ISBLANK(J275),"",ABS(J275-H275)/ABS(H275-I275)),"")</f>
        <v/>
      </c>
      <c r="P275" s="50">
        <f>IFERROR(IF(OR(ISBLANK(L275),ISBLANK(E275)),"",IF(E275="Long",(L275-H275),(H275-L275))/VLOOKUP(C275,設定!$B$9:$D$23,2,FALSE)),"")</f>
        <v/>
      </c>
      <c r="Q275" s="51">
        <f>IFERROR(IF(OR(ISBLANK(P275),N275=0),"",P275/N275),"")</f>
        <v/>
      </c>
      <c r="R275" s="51">
        <f>IFERROR(IF(ISBLANK(Q275),R274,IF(ISNUMBER(R274),R274,0)+Q275),"")</f>
        <v/>
      </c>
      <c r="S275" s="52">
        <f>IFERROR(IF(OR(ISBLANK(P275),ISBLANK(K275)),"",P275*K275*VLOOKUP(C275,設定!$B$9:$D$23,3,FALSE)),"")</f>
        <v/>
      </c>
      <c r="T275" s="45" t="n"/>
    </row>
    <row r="276">
      <c r="A276" s="33">
        <f>IF(ISBLANK(B276),"",COUNTA($B$2:B276))</f>
        <v/>
      </c>
      <c r="B276" s="34" t="n"/>
      <c r="C276" s="35" t="n"/>
      <c r="D276" s="35" t="n"/>
      <c r="E276" s="35" t="n"/>
      <c r="F276" s="33" t="n"/>
      <c r="G276" s="36" t="n"/>
      <c r="H276" s="37" t="n"/>
      <c r="I276" s="37" t="n"/>
      <c r="J276" s="37" t="n"/>
      <c r="K276" s="38" t="n"/>
      <c r="L276" s="37" t="n"/>
      <c r="M276" s="35" t="n"/>
      <c r="N276" s="39">
        <f>IFERROR(IF(ISBLANK(H276),"",ABS(H276-I276)/VLOOKUP(C276,設定!$B$9:$D$23,2,FALSE)),"")</f>
        <v/>
      </c>
      <c r="O276" s="38">
        <f>IFERROR(IF(ISBLANK(J276),"",ABS(J276-H276)/ABS(H276-I276)),"")</f>
        <v/>
      </c>
      <c r="P276" s="40">
        <f>IFERROR(IF(OR(ISBLANK(L276),ISBLANK(E276)),"",IF(E276="Long",(L276-H276),(H276-L276))/VLOOKUP(C276,設定!$B$9:$D$23,2,FALSE)),"")</f>
        <v/>
      </c>
      <c r="Q276" s="41">
        <f>IFERROR(IF(OR(ISBLANK(P276),N276=0),"",P276/N276),"")</f>
        <v/>
      </c>
      <c r="R276" s="41">
        <f>IFERROR(IF(ISBLANK(Q276),R275,IF(ISNUMBER(R275),R275,0)+Q276),"")</f>
        <v/>
      </c>
      <c r="S276" s="42">
        <f>IFERROR(IF(OR(ISBLANK(P276),ISBLANK(K276)),"",P276*K276*VLOOKUP(C276,設定!$B$9:$D$23,3,FALSE)),"")</f>
        <v/>
      </c>
      <c r="T276" s="35" t="n"/>
    </row>
    <row r="277">
      <c r="A277" s="43">
        <f>IF(ISBLANK(B277),"",COUNTA($B$2:B277))</f>
        <v/>
      </c>
      <c r="B277" s="44" t="n"/>
      <c r="C277" s="45" t="n"/>
      <c r="D277" s="45" t="n"/>
      <c r="E277" s="45" t="n"/>
      <c r="F277" s="43" t="n"/>
      <c r="G277" s="46" t="n"/>
      <c r="H277" s="47" t="n"/>
      <c r="I277" s="47" t="n"/>
      <c r="J277" s="47" t="n"/>
      <c r="K277" s="48" t="n"/>
      <c r="L277" s="47" t="n"/>
      <c r="M277" s="45" t="n"/>
      <c r="N277" s="49">
        <f>IFERROR(IF(ISBLANK(H277),"",ABS(H277-I277)/VLOOKUP(C277,設定!$B$9:$D$23,2,FALSE)),"")</f>
        <v/>
      </c>
      <c r="O277" s="48">
        <f>IFERROR(IF(ISBLANK(J277),"",ABS(J277-H277)/ABS(H277-I277)),"")</f>
        <v/>
      </c>
      <c r="P277" s="50">
        <f>IFERROR(IF(OR(ISBLANK(L277),ISBLANK(E277)),"",IF(E277="Long",(L277-H277),(H277-L277))/VLOOKUP(C277,設定!$B$9:$D$23,2,FALSE)),"")</f>
        <v/>
      </c>
      <c r="Q277" s="51">
        <f>IFERROR(IF(OR(ISBLANK(P277),N277=0),"",P277/N277),"")</f>
        <v/>
      </c>
      <c r="R277" s="51">
        <f>IFERROR(IF(ISBLANK(Q277),R276,IF(ISNUMBER(R276),R276,0)+Q277),"")</f>
        <v/>
      </c>
      <c r="S277" s="52">
        <f>IFERROR(IF(OR(ISBLANK(P277),ISBLANK(K277)),"",P277*K277*VLOOKUP(C277,設定!$B$9:$D$23,3,FALSE)),"")</f>
        <v/>
      </c>
      <c r="T277" s="45" t="n"/>
    </row>
    <row r="278">
      <c r="A278" s="33">
        <f>IF(ISBLANK(B278),"",COUNTA($B$2:B278))</f>
        <v/>
      </c>
      <c r="B278" s="34" t="n"/>
      <c r="C278" s="35" t="n"/>
      <c r="D278" s="35" t="n"/>
      <c r="E278" s="35" t="n"/>
      <c r="F278" s="33" t="n"/>
      <c r="G278" s="36" t="n"/>
      <c r="H278" s="37" t="n"/>
      <c r="I278" s="37" t="n"/>
      <c r="J278" s="37" t="n"/>
      <c r="K278" s="38" t="n"/>
      <c r="L278" s="37" t="n"/>
      <c r="M278" s="35" t="n"/>
      <c r="N278" s="39">
        <f>IFERROR(IF(ISBLANK(H278),"",ABS(H278-I278)/VLOOKUP(C278,設定!$B$9:$D$23,2,FALSE)),"")</f>
        <v/>
      </c>
      <c r="O278" s="38">
        <f>IFERROR(IF(ISBLANK(J278),"",ABS(J278-H278)/ABS(H278-I278)),"")</f>
        <v/>
      </c>
      <c r="P278" s="40">
        <f>IFERROR(IF(OR(ISBLANK(L278),ISBLANK(E278)),"",IF(E278="Long",(L278-H278),(H278-L278))/VLOOKUP(C278,設定!$B$9:$D$23,2,FALSE)),"")</f>
        <v/>
      </c>
      <c r="Q278" s="41">
        <f>IFERROR(IF(OR(ISBLANK(P278),N278=0),"",P278/N278),"")</f>
        <v/>
      </c>
      <c r="R278" s="41">
        <f>IFERROR(IF(ISBLANK(Q278),R277,IF(ISNUMBER(R277),R277,0)+Q278),"")</f>
        <v/>
      </c>
      <c r="S278" s="42">
        <f>IFERROR(IF(OR(ISBLANK(P278),ISBLANK(K278)),"",P278*K278*VLOOKUP(C278,設定!$B$9:$D$23,3,FALSE)),"")</f>
        <v/>
      </c>
      <c r="T278" s="35" t="n"/>
    </row>
    <row r="279">
      <c r="A279" s="43">
        <f>IF(ISBLANK(B279),"",COUNTA($B$2:B279))</f>
        <v/>
      </c>
      <c r="B279" s="44" t="n"/>
      <c r="C279" s="45" t="n"/>
      <c r="D279" s="45" t="n"/>
      <c r="E279" s="45" t="n"/>
      <c r="F279" s="43" t="n"/>
      <c r="G279" s="46" t="n"/>
      <c r="H279" s="47" t="n"/>
      <c r="I279" s="47" t="n"/>
      <c r="J279" s="47" t="n"/>
      <c r="K279" s="48" t="n"/>
      <c r="L279" s="47" t="n"/>
      <c r="M279" s="45" t="n"/>
      <c r="N279" s="49">
        <f>IFERROR(IF(ISBLANK(H279),"",ABS(H279-I279)/VLOOKUP(C279,設定!$B$9:$D$23,2,FALSE)),"")</f>
        <v/>
      </c>
      <c r="O279" s="48">
        <f>IFERROR(IF(ISBLANK(J279),"",ABS(J279-H279)/ABS(H279-I279)),"")</f>
        <v/>
      </c>
      <c r="P279" s="50">
        <f>IFERROR(IF(OR(ISBLANK(L279),ISBLANK(E279)),"",IF(E279="Long",(L279-H279),(H279-L279))/VLOOKUP(C279,設定!$B$9:$D$23,2,FALSE)),"")</f>
        <v/>
      </c>
      <c r="Q279" s="51">
        <f>IFERROR(IF(OR(ISBLANK(P279),N279=0),"",P279/N279),"")</f>
        <v/>
      </c>
      <c r="R279" s="51">
        <f>IFERROR(IF(ISBLANK(Q279),R278,IF(ISNUMBER(R278),R278,0)+Q279),"")</f>
        <v/>
      </c>
      <c r="S279" s="52">
        <f>IFERROR(IF(OR(ISBLANK(P279),ISBLANK(K279)),"",P279*K279*VLOOKUP(C279,設定!$B$9:$D$23,3,FALSE)),"")</f>
        <v/>
      </c>
      <c r="T279" s="45" t="n"/>
    </row>
    <row r="280">
      <c r="A280" s="33">
        <f>IF(ISBLANK(B280),"",COUNTA($B$2:B280))</f>
        <v/>
      </c>
      <c r="B280" s="34" t="n"/>
      <c r="C280" s="35" t="n"/>
      <c r="D280" s="35" t="n"/>
      <c r="E280" s="35" t="n"/>
      <c r="F280" s="33" t="n"/>
      <c r="G280" s="36" t="n"/>
      <c r="H280" s="37" t="n"/>
      <c r="I280" s="37" t="n"/>
      <c r="J280" s="37" t="n"/>
      <c r="K280" s="38" t="n"/>
      <c r="L280" s="37" t="n"/>
      <c r="M280" s="35" t="n"/>
      <c r="N280" s="39">
        <f>IFERROR(IF(ISBLANK(H280),"",ABS(H280-I280)/VLOOKUP(C280,設定!$B$9:$D$23,2,FALSE)),"")</f>
        <v/>
      </c>
      <c r="O280" s="38">
        <f>IFERROR(IF(ISBLANK(J280),"",ABS(J280-H280)/ABS(H280-I280)),"")</f>
        <v/>
      </c>
      <c r="P280" s="40">
        <f>IFERROR(IF(OR(ISBLANK(L280),ISBLANK(E280)),"",IF(E280="Long",(L280-H280),(H280-L280))/VLOOKUP(C280,設定!$B$9:$D$23,2,FALSE)),"")</f>
        <v/>
      </c>
      <c r="Q280" s="41">
        <f>IFERROR(IF(OR(ISBLANK(P280),N280=0),"",P280/N280),"")</f>
        <v/>
      </c>
      <c r="R280" s="41">
        <f>IFERROR(IF(ISBLANK(Q280),R279,IF(ISNUMBER(R279),R279,0)+Q280),"")</f>
        <v/>
      </c>
      <c r="S280" s="42">
        <f>IFERROR(IF(OR(ISBLANK(P280),ISBLANK(K280)),"",P280*K280*VLOOKUP(C280,設定!$B$9:$D$23,3,FALSE)),"")</f>
        <v/>
      </c>
      <c r="T280" s="35" t="n"/>
    </row>
    <row r="281">
      <c r="A281" s="43">
        <f>IF(ISBLANK(B281),"",COUNTA($B$2:B281))</f>
        <v/>
      </c>
      <c r="B281" s="44" t="n"/>
      <c r="C281" s="45" t="n"/>
      <c r="D281" s="45" t="n"/>
      <c r="E281" s="45" t="n"/>
      <c r="F281" s="43" t="n"/>
      <c r="G281" s="46" t="n"/>
      <c r="H281" s="47" t="n"/>
      <c r="I281" s="47" t="n"/>
      <c r="J281" s="47" t="n"/>
      <c r="K281" s="48" t="n"/>
      <c r="L281" s="47" t="n"/>
      <c r="M281" s="45" t="n"/>
      <c r="N281" s="49">
        <f>IFERROR(IF(ISBLANK(H281),"",ABS(H281-I281)/VLOOKUP(C281,設定!$B$9:$D$23,2,FALSE)),"")</f>
        <v/>
      </c>
      <c r="O281" s="48">
        <f>IFERROR(IF(ISBLANK(J281),"",ABS(J281-H281)/ABS(H281-I281)),"")</f>
        <v/>
      </c>
      <c r="P281" s="50">
        <f>IFERROR(IF(OR(ISBLANK(L281),ISBLANK(E281)),"",IF(E281="Long",(L281-H281),(H281-L281))/VLOOKUP(C281,設定!$B$9:$D$23,2,FALSE)),"")</f>
        <v/>
      </c>
      <c r="Q281" s="51">
        <f>IFERROR(IF(OR(ISBLANK(P281),N281=0),"",P281/N281),"")</f>
        <v/>
      </c>
      <c r="R281" s="51">
        <f>IFERROR(IF(ISBLANK(Q281),R280,IF(ISNUMBER(R280),R280,0)+Q281),"")</f>
        <v/>
      </c>
      <c r="S281" s="52">
        <f>IFERROR(IF(OR(ISBLANK(P281),ISBLANK(K281)),"",P281*K281*VLOOKUP(C281,設定!$B$9:$D$23,3,FALSE)),"")</f>
        <v/>
      </c>
      <c r="T281" s="45" t="n"/>
    </row>
    <row r="282">
      <c r="A282" s="33">
        <f>IF(ISBLANK(B282),"",COUNTA($B$2:B282))</f>
        <v/>
      </c>
      <c r="B282" s="34" t="n"/>
      <c r="C282" s="35" t="n"/>
      <c r="D282" s="35" t="n"/>
      <c r="E282" s="35" t="n"/>
      <c r="F282" s="33" t="n"/>
      <c r="G282" s="36" t="n"/>
      <c r="H282" s="37" t="n"/>
      <c r="I282" s="37" t="n"/>
      <c r="J282" s="37" t="n"/>
      <c r="K282" s="38" t="n"/>
      <c r="L282" s="37" t="n"/>
      <c r="M282" s="35" t="n"/>
      <c r="N282" s="39">
        <f>IFERROR(IF(ISBLANK(H282),"",ABS(H282-I282)/VLOOKUP(C282,設定!$B$9:$D$23,2,FALSE)),"")</f>
        <v/>
      </c>
      <c r="O282" s="38">
        <f>IFERROR(IF(ISBLANK(J282),"",ABS(J282-H282)/ABS(H282-I282)),"")</f>
        <v/>
      </c>
      <c r="P282" s="40">
        <f>IFERROR(IF(OR(ISBLANK(L282),ISBLANK(E282)),"",IF(E282="Long",(L282-H282),(H282-L282))/VLOOKUP(C282,設定!$B$9:$D$23,2,FALSE)),"")</f>
        <v/>
      </c>
      <c r="Q282" s="41">
        <f>IFERROR(IF(OR(ISBLANK(P282),N282=0),"",P282/N282),"")</f>
        <v/>
      </c>
      <c r="R282" s="41">
        <f>IFERROR(IF(ISBLANK(Q282),R281,IF(ISNUMBER(R281),R281,0)+Q282),"")</f>
        <v/>
      </c>
      <c r="S282" s="42">
        <f>IFERROR(IF(OR(ISBLANK(P282),ISBLANK(K282)),"",P282*K282*VLOOKUP(C282,設定!$B$9:$D$23,3,FALSE)),"")</f>
        <v/>
      </c>
      <c r="T282" s="35" t="n"/>
    </row>
    <row r="283">
      <c r="A283" s="43">
        <f>IF(ISBLANK(B283),"",COUNTA($B$2:B283))</f>
        <v/>
      </c>
      <c r="B283" s="44" t="n"/>
      <c r="C283" s="45" t="n"/>
      <c r="D283" s="45" t="n"/>
      <c r="E283" s="45" t="n"/>
      <c r="F283" s="43" t="n"/>
      <c r="G283" s="46" t="n"/>
      <c r="H283" s="47" t="n"/>
      <c r="I283" s="47" t="n"/>
      <c r="J283" s="47" t="n"/>
      <c r="K283" s="48" t="n"/>
      <c r="L283" s="47" t="n"/>
      <c r="M283" s="45" t="n"/>
      <c r="N283" s="49">
        <f>IFERROR(IF(ISBLANK(H283),"",ABS(H283-I283)/VLOOKUP(C283,設定!$B$9:$D$23,2,FALSE)),"")</f>
        <v/>
      </c>
      <c r="O283" s="48">
        <f>IFERROR(IF(ISBLANK(J283),"",ABS(J283-H283)/ABS(H283-I283)),"")</f>
        <v/>
      </c>
      <c r="P283" s="50">
        <f>IFERROR(IF(OR(ISBLANK(L283),ISBLANK(E283)),"",IF(E283="Long",(L283-H283),(H283-L283))/VLOOKUP(C283,設定!$B$9:$D$23,2,FALSE)),"")</f>
        <v/>
      </c>
      <c r="Q283" s="51">
        <f>IFERROR(IF(OR(ISBLANK(P283),N283=0),"",P283/N283),"")</f>
        <v/>
      </c>
      <c r="R283" s="51">
        <f>IFERROR(IF(ISBLANK(Q283),R282,IF(ISNUMBER(R282),R282,0)+Q283),"")</f>
        <v/>
      </c>
      <c r="S283" s="52">
        <f>IFERROR(IF(OR(ISBLANK(P283),ISBLANK(K283)),"",P283*K283*VLOOKUP(C283,設定!$B$9:$D$23,3,FALSE)),"")</f>
        <v/>
      </c>
      <c r="T283" s="45" t="n"/>
    </row>
    <row r="284">
      <c r="A284" s="33">
        <f>IF(ISBLANK(B284),"",COUNTA($B$2:B284))</f>
        <v/>
      </c>
      <c r="B284" s="34" t="n"/>
      <c r="C284" s="35" t="n"/>
      <c r="D284" s="35" t="n"/>
      <c r="E284" s="35" t="n"/>
      <c r="F284" s="33" t="n"/>
      <c r="G284" s="36" t="n"/>
      <c r="H284" s="37" t="n"/>
      <c r="I284" s="37" t="n"/>
      <c r="J284" s="37" t="n"/>
      <c r="K284" s="38" t="n"/>
      <c r="L284" s="37" t="n"/>
      <c r="M284" s="35" t="n"/>
      <c r="N284" s="39">
        <f>IFERROR(IF(ISBLANK(H284),"",ABS(H284-I284)/VLOOKUP(C284,設定!$B$9:$D$23,2,FALSE)),"")</f>
        <v/>
      </c>
      <c r="O284" s="38">
        <f>IFERROR(IF(ISBLANK(J284),"",ABS(J284-H284)/ABS(H284-I284)),"")</f>
        <v/>
      </c>
      <c r="P284" s="40">
        <f>IFERROR(IF(OR(ISBLANK(L284),ISBLANK(E284)),"",IF(E284="Long",(L284-H284),(H284-L284))/VLOOKUP(C284,設定!$B$9:$D$23,2,FALSE)),"")</f>
        <v/>
      </c>
      <c r="Q284" s="41">
        <f>IFERROR(IF(OR(ISBLANK(P284),N284=0),"",P284/N284),"")</f>
        <v/>
      </c>
      <c r="R284" s="41">
        <f>IFERROR(IF(ISBLANK(Q284),R283,IF(ISNUMBER(R283),R283,0)+Q284),"")</f>
        <v/>
      </c>
      <c r="S284" s="42">
        <f>IFERROR(IF(OR(ISBLANK(P284),ISBLANK(K284)),"",P284*K284*VLOOKUP(C284,設定!$B$9:$D$23,3,FALSE)),"")</f>
        <v/>
      </c>
      <c r="T284" s="35" t="n"/>
    </row>
    <row r="285">
      <c r="A285" s="43">
        <f>IF(ISBLANK(B285),"",COUNTA($B$2:B285))</f>
        <v/>
      </c>
      <c r="B285" s="44" t="n"/>
      <c r="C285" s="45" t="n"/>
      <c r="D285" s="45" t="n"/>
      <c r="E285" s="45" t="n"/>
      <c r="F285" s="43" t="n"/>
      <c r="G285" s="46" t="n"/>
      <c r="H285" s="47" t="n"/>
      <c r="I285" s="47" t="n"/>
      <c r="J285" s="47" t="n"/>
      <c r="K285" s="48" t="n"/>
      <c r="L285" s="47" t="n"/>
      <c r="M285" s="45" t="n"/>
      <c r="N285" s="49">
        <f>IFERROR(IF(ISBLANK(H285),"",ABS(H285-I285)/VLOOKUP(C285,設定!$B$9:$D$23,2,FALSE)),"")</f>
        <v/>
      </c>
      <c r="O285" s="48">
        <f>IFERROR(IF(ISBLANK(J285),"",ABS(J285-H285)/ABS(H285-I285)),"")</f>
        <v/>
      </c>
      <c r="P285" s="50">
        <f>IFERROR(IF(OR(ISBLANK(L285),ISBLANK(E285)),"",IF(E285="Long",(L285-H285),(H285-L285))/VLOOKUP(C285,設定!$B$9:$D$23,2,FALSE)),"")</f>
        <v/>
      </c>
      <c r="Q285" s="51">
        <f>IFERROR(IF(OR(ISBLANK(P285),N285=0),"",P285/N285),"")</f>
        <v/>
      </c>
      <c r="R285" s="51">
        <f>IFERROR(IF(ISBLANK(Q285),R284,IF(ISNUMBER(R284),R284,0)+Q285),"")</f>
        <v/>
      </c>
      <c r="S285" s="52">
        <f>IFERROR(IF(OR(ISBLANK(P285),ISBLANK(K285)),"",P285*K285*VLOOKUP(C285,設定!$B$9:$D$23,3,FALSE)),"")</f>
        <v/>
      </c>
      <c r="T285" s="45" t="n"/>
    </row>
    <row r="286">
      <c r="A286" s="33">
        <f>IF(ISBLANK(B286),"",COUNTA($B$2:B286))</f>
        <v/>
      </c>
      <c r="B286" s="34" t="n"/>
      <c r="C286" s="35" t="n"/>
      <c r="D286" s="35" t="n"/>
      <c r="E286" s="35" t="n"/>
      <c r="F286" s="33" t="n"/>
      <c r="G286" s="36" t="n"/>
      <c r="H286" s="37" t="n"/>
      <c r="I286" s="37" t="n"/>
      <c r="J286" s="37" t="n"/>
      <c r="K286" s="38" t="n"/>
      <c r="L286" s="37" t="n"/>
      <c r="M286" s="35" t="n"/>
      <c r="N286" s="39">
        <f>IFERROR(IF(ISBLANK(H286),"",ABS(H286-I286)/VLOOKUP(C286,設定!$B$9:$D$23,2,FALSE)),"")</f>
        <v/>
      </c>
      <c r="O286" s="38">
        <f>IFERROR(IF(ISBLANK(J286),"",ABS(J286-H286)/ABS(H286-I286)),"")</f>
        <v/>
      </c>
      <c r="P286" s="40">
        <f>IFERROR(IF(OR(ISBLANK(L286),ISBLANK(E286)),"",IF(E286="Long",(L286-H286),(H286-L286))/VLOOKUP(C286,設定!$B$9:$D$23,2,FALSE)),"")</f>
        <v/>
      </c>
      <c r="Q286" s="41">
        <f>IFERROR(IF(OR(ISBLANK(P286),N286=0),"",P286/N286),"")</f>
        <v/>
      </c>
      <c r="R286" s="41">
        <f>IFERROR(IF(ISBLANK(Q286),R285,IF(ISNUMBER(R285),R285,0)+Q286),"")</f>
        <v/>
      </c>
      <c r="S286" s="42">
        <f>IFERROR(IF(OR(ISBLANK(P286),ISBLANK(K286)),"",P286*K286*VLOOKUP(C286,設定!$B$9:$D$23,3,FALSE)),"")</f>
        <v/>
      </c>
      <c r="T286" s="35" t="n"/>
    </row>
    <row r="287">
      <c r="A287" s="43">
        <f>IF(ISBLANK(B287),"",COUNTA($B$2:B287))</f>
        <v/>
      </c>
      <c r="B287" s="44" t="n"/>
      <c r="C287" s="45" t="n"/>
      <c r="D287" s="45" t="n"/>
      <c r="E287" s="45" t="n"/>
      <c r="F287" s="43" t="n"/>
      <c r="G287" s="46" t="n"/>
      <c r="H287" s="47" t="n"/>
      <c r="I287" s="47" t="n"/>
      <c r="J287" s="47" t="n"/>
      <c r="K287" s="48" t="n"/>
      <c r="L287" s="47" t="n"/>
      <c r="M287" s="45" t="n"/>
      <c r="N287" s="49">
        <f>IFERROR(IF(ISBLANK(H287),"",ABS(H287-I287)/VLOOKUP(C287,設定!$B$9:$D$23,2,FALSE)),"")</f>
        <v/>
      </c>
      <c r="O287" s="48">
        <f>IFERROR(IF(ISBLANK(J287),"",ABS(J287-H287)/ABS(H287-I287)),"")</f>
        <v/>
      </c>
      <c r="P287" s="50">
        <f>IFERROR(IF(OR(ISBLANK(L287),ISBLANK(E287)),"",IF(E287="Long",(L287-H287),(H287-L287))/VLOOKUP(C287,設定!$B$9:$D$23,2,FALSE)),"")</f>
        <v/>
      </c>
      <c r="Q287" s="51">
        <f>IFERROR(IF(OR(ISBLANK(P287),N287=0),"",P287/N287),"")</f>
        <v/>
      </c>
      <c r="R287" s="51">
        <f>IFERROR(IF(ISBLANK(Q287),R286,IF(ISNUMBER(R286),R286,0)+Q287),"")</f>
        <v/>
      </c>
      <c r="S287" s="52">
        <f>IFERROR(IF(OR(ISBLANK(P287),ISBLANK(K287)),"",P287*K287*VLOOKUP(C287,設定!$B$9:$D$23,3,FALSE)),"")</f>
        <v/>
      </c>
      <c r="T287" s="45" t="n"/>
    </row>
    <row r="288">
      <c r="A288" s="33">
        <f>IF(ISBLANK(B288),"",COUNTA($B$2:B288))</f>
        <v/>
      </c>
      <c r="B288" s="34" t="n"/>
      <c r="C288" s="35" t="n"/>
      <c r="D288" s="35" t="n"/>
      <c r="E288" s="35" t="n"/>
      <c r="F288" s="33" t="n"/>
      <c r="G288" s="36" t="n"/>
      <c r="H288" s="37" t="n"/>
      <c r="I288" s="37" t="n"/>
      <c r="J288" s="37" t="n"/>
      <c r="K288" s="38" t="n"/>
      <c r="L288" s="37" t="n"/>
      <c r="M288" s="35" t="n"/>
      <c r="N288" s="39">
        <f>IFERROR(IF(ISBLANK(H288),"",ABS(H288-I288)/VLOOKUP(C288,設定!$B$9:$D$23,2,FALSE)),"")</f>
        <v/>
      </c>
      <c r="O288" s="38">
        <f>IFERROR(IF(ISBLANK(J288),"",ABS(J288-H288)/ABS(H288-I288)),"")</f>
        <v/>
      </c>
      <c r="P288" s="40">
        <f>IFERROR(IF(OR(ISBLANK(L288),ISBLANK(E288)),"",IF(E288="Long",(L288-H288),(H288-L288))/VLOOKUP(C288,設定!$B$9:$D$23,2,FALSE)),"")</f>
        <v/>
      </c>
      <c r="Q288" s="41">
        <f>IFERROR(IF(OR(ISBLANK(P288),N288=0),"",P288/N288),"")</f>
        <v/>
      </c>
      <c r="R288" s="41">
        <f>IFERROR(IF(ISBLANK(Q288),R287,IF(ISNUMBER(R287),R287,0)+Q288),"")</f>
        <v/>
      </c>
      <c r="S288" s="42">
        <f>IFERROR(IF(OR(ISBLANK(P288),ISBLANK(K288)),"",P288*K288*VLOOKUP(C288,設定!$B$9:$D$23,3,FALSE)),"")</f>
        <v/>
      </c>
      <c r="T288" s="35" t="n"/>
    </row>
    <row r="289">
      <c r="A289" s="43">
        <f>IF(ISBLANK(B289),"",COUNTA($B$2:B289))</f>
        <v/>
      </c>
      <c r="B289" s="44" t="n"/>
      <c r="C289" s="45" t="n"/>
      <c r="D289" s="45" t="n"/>
      <c r="E289" s="45" t="n"/>
      <c r="F289" s="43" t="n"/>
      <c r="G289" s="46" t="n"/>
      <c r="H289" s="47" t="n"/>
      <c r="I289" s="47" t="n"/>
      <c r="J289" s="47" t="n"/>
      <c r="K289" s="48" t="n"/>
      <c r="L289" s="47" t="n"/>
      <c r="M289" s="45" t="n"/>
      <c r="N289" s="49">
        <f>IFERROR(IF(ISBLANK(H289),"",ABS(H289-I289)/VLOOKUP(C289,設定!$B$9:$D$23,2,FALSE)),"")</f>
        <v/>
      </c>
      <c r="O289" s="48">
        <f>IFERROR(IF(ISBLANK(J289),"",ABS(J289-H289)/ABS(H289-I289)),"")</f>
        <v/>
      </c>
      <c r="P289" s="50">
        <f>IFERROR(IF(OR(ISBLANK(L289),ISBLANK(E289)),"",IF(E289="Long",(L289-H289),(H289-L289))/VLOOKUP(C289,設定!$B$9:$D$23,2,FALSE)),"")</f>
        <v/>
      </c>
      <c r="Q289" s="51">
        <f>IFERROR(IF(OR(ISBLANK(P289),N289=0),"",P289/N289),"")</f>
        <v/>
      </c>
      <c r="R289" s="51">
        <f>IFERROR(IF(ISBLANK(Q289),R288,IF(ISNUMBER(R288),R288,0)+Q289),"")</f>
        <v/>
      </c>
      <c r="S289" s="52">
        <f>IFERROR(IF(OR(ISBLANK(P289),ISBLANK(K289)),"",P289*K289*VLOOKUP(C289,設定!$B$9:$D$23,3,FALSE)),"")</f>
        <v/>
      </c>
      <c r="T289" s="45" t="n"/>
    </row>
    <row r="290">
      <c r="A290" s="33">
        <f>IF(ISBLANK(B290),"",COUNTA($B$2:B290))</f>
        <v/>
      </c>
      <c r="B290" s="34" t="n"/>
      <c r="C290" s="35" t="n"/>
      <c r="D290" s="35" t="n"/>
      <c r="E290" s="35" t="n"/>
      <c r="F290" s="33" t="n"/>
      <c r="G290" s="36" t="n"/>
      <c r="H290" s="37" t="n"/>
      <c r="I290" s="37" t="n"/>
      <c r="J290" s="37" t="n"/>
      <c r="K290" s="38" t="n"/>
      <c r="L290" s="37" t="n"/>
      <c r="M290" s="35" t="n"/>
      <c r="N290" s="39">
        <f>IFERROR(IF(ISBLANK(H290),"",ABS(H290-I290)/VLOOKUP(C290,設定!$B$9:$D$23,2,FALSE)),"")</f>
        <v/>
      </c>
      <c r="O290" s="38">
        <f>IFERROR(IF(ISBLANK(J290),"",ABS(J290-H290)/ABS(H290-I290)),"")</f>
        <v/>
      </c>
      <c r="P290" s="40">
        <f>IFERROR(IF(OR(ISBLANK(L290),ISBLANK(E290)),"",IF(E290="Long",(L290-H290),(H290-L290))/VLOOKUP(C290,設定!$B$9:$D$23,2,FALSE)),"")</f>
        <v/>
      </c>
      <c r="Q290" s="41">
        <f>IFERROR(IF(OR(ISBLANK(P290),N290=0),"",P290/N290),"")</f>
        <v/>
      </c>
      <c r="R290" s="41">
        <f>IFERROR(IF(ISBLANK(Q290),R289,IF(ISNUMBER(R289),R289,0)+Q290),"")</f>
        <v/>
      </c>
      <c r="S290" s="42">
        <f>IFERROR(IF(OR(ISBLANK(P290),ISBLANK(K290)),"",P290*K290*VLOOKUP(C290,設定!$B$9:$D$23,3,FALSE)),"")</f>
        <v/>
      </c>
      <c r="T290" s="35" t="n"/>
    </row>
    <row r="291">
      <c r="A291" s="43">
        <f>IF(ISBLANK(B291),"",COUNTA($B$2:B291))</f>
        <v/>
      </c>
      <c r="B291" s="44" t="n"/>
      <c r="C291" s="45" t="n"/>
      <c r="D291" s="45" t="n"/>
      <c r="E291" s="45" t="n"/>
      <c r="F291" s="43" t="n"/>
      <c r="G291" s="46" t="n"/>
      <c r="H291" s="47" t="n"/>
      <c r="I291" s="47" t="n"/>
      <c r="J291" s="47" t="n"/>
      <c r="K291" s="48" t="n"/>
      <c r="L291" s="47" t="n"/>
      <c r="M291" s="45" t="n"/>
      <c r="N291" s="49">
        <f>IFERROR(IF(ISBLANK(H291),"",ABS(H291-I291)/VLOOKUP(C291,設定!$B$9:$D$23,2,FALSE)),"")</f>
        <v/>
      </c>
      <c r="O291" s="48">
        <f>IFERROR(IF(ISBLANK(J291),"",ABS(J291-H291)/ABS(H291-I291)),"")</f>
        <v/>
      </c>
      <c r="P291" s="50">
        <f>IFERROR(IF(OR(ISBLANK(L291),ISBLANK(E291)),"",IF(E291="Long",(L291-H291),(H291-L291))/VLOOKUP(C291,設定!$B$9:$D$23,2,FALSE)),"")</f>
        <v/>
      </c>
      <c r="Q291" s="51">
        <f>IFERROR(IF(OR(ISBLANK(P291),N291=0),"",P291/N291),"")</f>
        <v/>
      </c>
      <c r="R291" s="51">
        <f>IFERROR(IF(ISBLANK(Q291),R290,IF(ISNUMBER(R290),R290,0)+Q291),"")</f>
        <v/>
      </c>
      <c r="S291" s="52">
        <f>IFERROR(IF(OR(ISBLANK(P291),ISBLANK(K291)),"",P291*K291*VLOOKUP(C291,設定!$B$9:$D$23,3,FALSE)),"")</f>
        <v/>
      </c>
      <c r="T291" s="45" t="n"/>
    </row>
    <row r="292">
      <c r="A292" s="33">
        <f>IF(ISBLANK(B292),"",COUNTA($B$2:B292))</f>
        <v/>
      </c>
      <c r="B292" s="34" t="n"/>
      <c r="C292" s="35" t="n"/>
      <c r="D292" s="35" t="n"/>
      <c r="E292" s="35" t="n"/>
      <c r="F292" s="33" t="n"/>
      <c r="G292" s="36" t="n"/>
      <c r="H292" s="37" t="n"/>
      <c r="I292" s="37" t="n"/>
      <c r="J292" s="37" t="n"/>
      <c r="K292" s="38" t="n"/>
      <c r="L292" s="37" t="n"/>
      <c r="M292" s="35" t="n"/>
      <c r="N292" s="39">
        <f>IFERROR(IF(ISBLANK(H292),"",ABS(H292-I292)/VLOOKUP(C292,設定!$B$9:$D$23,2,FALSE)),"")</f>
        <v/>
      </c>
      <c r="O292" s="38">
        <f>IFERROR(IF(ISBLANK(J292),"",ABS(J292-H292)/ABS(H292-I292)),"")</f>
        <v/>
      </c>
      <c r="P292" s="40">
        <f>IFERROR(IF(OR(ISBLANK(L292),ISBLANK(E292)),"",IF(E292="Long",(L292-H292),(H292-L292))/VLOOKUP(C292,設定!$B$9:$D$23,2,FALSE)),"")</f>
        <v/>
      </c>
      <c r="Q292" s="41">
        <f>IFERROR(IF(OR(ISBLANK(P292),N292=0),"",P292/N292),"")</f>
        <v/>
      </c>
      <c r="R292" s="41">
        <f>IFERROR(IF(ISBLANK(Q292),R291,IF(ISNUMBER(R291),R291,0)+Q292),"")</f>
        <v/>
      </c>
      <c r="S292" s="42">
        <f>IFERROR(IF(OR(ISBLANK(P292),ISBLANK(K292)),"",P292*K292*VLOOKUP(C292,設定!$B$9:$D$23,3,FALSE)),"")</f>
        <v/>
      </c>
      <c r="T292" s="35" t="n"/>
    </row>
    <row r="293">
      <c r="A293" s="43">
        <f>IF(ISBLANK(B293),"",COUNTA($B$2:B293))</f>
        <v/>
      </c>
      <c r="B293" s="44" t="n"/>
      <c r="C293" s="45" t="n"/>
      <c r="D293" s="45" t="n"/>
      <c r="E293" s="45" t="n"/>
      <c r="F293" s="43" t="n"/>
      <c r="G293" s="46" t="n"/>
      <c r="H293" s="47" t="n"/>
      <c r="I293" s="47" t="n"/>
      <c r="J293" s="47" t="n"/>
      <c r="K293" s="48" t="n"/>
      <c r="L293" s="47" t="n"/>
      <c r="M293" s="45" t="n"/>
      <c r="N293" s="49">
        <f>IFERROR(IF(ISBLANK(H293),"",ABS(H293-I293)/VLOOKUP(C293,設定!$B$9:$D$23,2,FALSE)),"")</f>
        <v/>
      </c>
      <c r="O293" s="48">
        <f>IFERROR(IF(ISBLANK(J293),"",ABS(J293-H293)/ABS(H293-I293)),"")</f>
        <v/>
      </c>
      <c r="P293" s="50">
        <f>IFERROR(IF(OR(ISBLANK(L293),ISBLANK(E293)),"",IF(E293="Long",(L293-H293),(H293-L293))/VLOOKUP(C293,設定!$B$9:$D$23,2,FALSE)),"")</f>
        <v/>
      </c>
      <c r="Q293" s="51">
        <f>IFERROR(IF(OR(ISBLANK(P293),N293=0),"",P293/N293),"")</f>
        <v/>
      </c>
      <c r="R293" s="51">
        <f>IFERROR(IF(ISBLANK(Q293),R292,IF(ISNUMBER(R292),R292,0)+Q293),"")</f>
        <v/>
      </c>
      <c r="S293" s="52">
        <f>IFERROR(IF(OR(ISBLANK(P293),ISBLANK(K293)),"",P293*K293*VLOOKUP(C293,設定!$B$9:$D$23,3,FALSE)),"")</f>
        <v/>
      </c>
      <c r="T293" s="45" t="n"/>
    </row>
    <row r="294">
      <c r="A294" s="33">
        <f>IF(ISBLANK(B294),"",COUNTA($B$2:B294))</f>
        <v/>
      </c>
      <c r="B294" s="34" t="n"/>
      <c r="C294" s="35" t="n"/>
      <c r="D294" s="35" t="n"/>
      <c r="E294" s="35" t="n"/>
      <c r="F294" s="33" t="n"/>
      <c r="G294" s="36" t="n"/>
      <c r="H294" s="37" t="n"/>
      <c r="I294" s="37" t="n"/>
      <c r="J294" s="37" t="n"/>
      <c r="K294" s="38" t="n"/>
      <c r="L294" s="37" t="n"/>
      <c r="M294" s="35" t="n"/>
      <c r="N294" s="39">
        <f>IFERROR(IF(ISBLANK(H294),"",ABS(H294-I294)/VLOOKUP(C294,設定!$B$9:$D$23,2,FALSE)),"")</f>
        <v/>
      </c>
      <c r="O294" s="38">
        <f>IFERROR(IF(ISBLANK(J294),"",ABS(J294-H294)/ABS(H294-I294)),"")</f>
        <v/>
      </c>
      <c r="P294" s="40">
        <f>IFERROR(IF(OR(ISBLANK(L294),ISBLANK(E294)),"",IF(E294="Long",(L294-H294),(H294-L294))/VLOOKUP(C294,設定!$B$9:$D$23,2,FALSE)),"")</f>
        <v/>
      </c>
      <c r="Q294" s="41">
        <f>IFERROR(IF(OR(ISBLANK(P294),N294=0),"",P294/N294),"")</f>
        <v/>
      </c>
      <c r="R294" s="41">
        <f>IFERROR(IF(ISBLANK(Q294),R293,IF(ISNUMBER(R293),R293,0)+Q294),"")</f>
        <v/>
      </c>
      <c r="S294" s="42">
        <f>IFERROR(IF(OR(ISBLANK(P294),ISBLANK(K294)),"",P294*K294*VLOOKUP(C294,設定!$B$9:$D$23,3,FALSE)),"")</f>
        <v/>
      </c>
      <c r="T294" s="35" t="n"/>
    </row>
    <row r="295">
      <c r="A295" s="43">
        <f>IF(ISBLANK(B295),"",COUNTA($B$2:B295))</f>
        <v/>
      </c>
      <c r="B295" s="44" t="n"/>
      <c r="C295" s="45" t="n"/>
      <c r="D295" s="45" t="n"/>
      <c r="E295" s="45" t="n"/>
      <c r="F295" s="43" t="n"/>
      <c r="G295" s="46" t="n"/>
      <c r="H295" s="47" t="n"/>
      <c r="I295" s="47" t="n"/>
      <c r="J295" s="47" t="n"/>
      <c r="K295" s="48" t="n"/>
      <c r="L295" s="47" t="n"/>
      <c r="M295" s="45" t="n"/>
      <c r="N295" s="49">
        <f>IFERROR(IF(ISBLANK(H295),"",ABS(H295-I295)/VLOOKUP(C295,設定!$B$9:$D$23,2,FALSE)),"")</f>
        <v/>
      </c>
      <c r="O295" s="48">
        <f>IFERROR(IF(ISBLANK(J295),"",ABS(J295-H295)/ABS(H295-I295)),"")</f>
        <v/>
      </c>
      <c r="P295" s="50">
        <f>IFERROR(IF(OR(ISBLANK(L295),ISBLANK(E295)),"",IF(E295="Long",(L295-H295),(H295-L295))/VLOOKUP(C295,設定!$B$9:$D$23,2,FALSE)),"")</f>
        <v/>
      </c>
      <c r="Q295" s="51">
        <f>IFERROR(IF(OR(ISBLANK(P295),N295=0),"",P295/N295),"")</f>
        <v/>
      </c>
      <c r="R295" s="51">
        <f>IFERROR(IF(ISBLANK(Q295),R294,IF(ISNUMBER(R294),R294,0)+Q295),"")</f>
        <v/>
      </c>
      <c r="S295" s="52">
        <f>IFERROR(IF(OR(ISBLANK(P295),ISBLANK(K295)),"",P295*K295*VLOOKUP(C295,設定!$B$9:$D$23,3,FALSE)),"")</f>
        <v/>
      </c>
      <c r="T295" s="45" t="n"/>
    </row>
    <row r="296">
      <c r="A296" s="33">
        <f>IF(ISBLANK(B296),"",COUNTA($B$2:B296))</f>
        <v/>
      </c>
      <c r="B296" s="34" t="n"/>
      <c r="C296" s="35" t="n"/>
      <c r="D296" s="35" t="n"/>
      <c r="E296" s="35" t="n"/>
      <c r="F296" s="33" t="n"/>
      <c r="G296" s="36" t="n"/>
      <c r="H296" s="37" t="n"/>
      <c r="I296" s="37" t="n"/>
      <c r="J296" s="37" t="n"/>
      <c r="K296" s="38" t="n"/>
      <c r="L296" s="37" t="n"/>
      <c r="M296" s="35" t="n"/>
      <c r="N296" s="39">
        <f>IFERROR(IF(ISBLANK(H296),"",ABS(H296-I296)/VLOOKUP(C296,設定!$B$9:$D$23,2,FALSE)),"")</f>
        <v/>
      </c>
      <c r="O296" s="38">
        <f>IFERROR(IF(ISBLANK(J296),"",ABS(J296-H296)/ABS(H296-I296)),"")</f>
        <v/>
      </c>
      <c r="P296" s="40">
        <f>IFERROR(IF(OR(ISBLANK(L296),ISBLANK(E296)),"",IF(E296="Long",(L296-H296),(H296-L296))/VLOOKUP(C296,設定!$B$9:$D$23,2,FALSE)),"")</f>
        <v/>
      </c>
      <c r="Q296" s="41">
        <f>IFERROR(IF(OR(ISBLANK(P296),N296=0),"",P296/N296),"")</f>
        <v/>
      </c>
      <c r="R296" s="41">
        <f>IFERROR(IF(ISBLANK(Q296),R295,IF(ISNUMBER(R295),R295,0)+Q296),"")</f>
        <v/>
      </c>
      <c r="S296" s="42">
        <f>IFERROR(IF(OR(ISBLANK(P296),ISBLANK(K296)),"",P296*K296*VLOOKUP(C296,設定!$B$9:$D$23,3,FALSE)),"")</f>
        <v/>
      </c>
      <c r="T296" s="35" t="n"/>
    </row>
    <row r="297">
      <c r="A297" s="43">
        <f>IF(ISBLANK(B297),"",COUNTA($B$2:B297))</f>
        <v/>
      </c>
      <c r="B297" s="44" t="n"/>
      <c r="C297" s="45" t="n"/>
      <c r="D297" s="45" t="n"/>
      <c r="E297" s="45" t="n"/>
      <c r="F297" s="43" t="n"/>
      <c r="G297" s="46" t="n"/>
      <c r="H297" s="47" t="n"/>
      <c r="I297" s="47" t="n"/>
      <c r="J297" s="47" t="n"/>
      <c r="K297" s="48" t="n"/>
      <c r="L297" s="47" t="n"/>
      <c r="M297" s="45" t="n"/>
      <c r="N297" s="49">
        <f>IFERROR(IF(ISBLANK(H297),"",ABS(H297-I297)/VLOOKUP(C297,設定!$B$9:$D$23,2,FALSE)),"")</f>
        <v/>
      </c>
      <c r="O297" s="48">
        <f>IFERROR(IF(ISBLANK(J297),"",ABS(J297-H297)/ABS(H297-I297)),"")</f>
        <v/>
      </c>
      <c r="P297" s="50">
        <f>IFERROR(IF(OR(ISBLANK(L297),ISBLANK(E297)),"",IF(E297="Long",(L297-H297),(H297-L297))/VLOOKUP(C297,設定!$B$9:$D$23,2,FALSE)),"")</f>
        <v/>
      </c>
      <c r="Q297" s="51">
        <f>IFERROR(IF(OR(ISBLANK(P297),N297=0),"",P297/N297),"")</f>
        <v/>
      </c>
      <c r="R297" s="51">
        <f>IFERROR(IF(ISBLANK(Q297),R296,IF(ISNUMBER(R296),R296,0)+Q297),"")</f>
        <v/>
      </c>
      <c r="S297" s="52">
        <f>IFERROR(IF(OR(ISBLANK(P297),ISBLANK(K297)),"",P297*K297*VLOOKUP(C297,設定!$B$9:$D$23,3,FALSE)),"")</f>
        <v/>
      </c>
      <c r="T297" s="45" t="n"/>
    </row>
    <row r="298">
      <c r="A298" s="33">
        <f>IF(ISBLANK(B298),"",COUNTA($B$2:B298))</f>
        <v/>
      </c>
      <c r="B298" s="34" t="n"/>
      <c r="C298" s="35" t="n"/>
      <c r="D298" s="35" t="n"/>
      <c r="E298" s="35" t="n"/>
      <c r="F298" s="33" t="n"/>
      <c r="G298" s="36" t="n"/>
      <c r="H298" s="37" t="n"/>
      <c r="I298" s="37" t="n"/>
      <c r="J298" s="37" t="n"/>
      <c r="K298" s="38" t="n"/>
      <c r="L298" s="37" t="n"/>
      <c r="M298" s="35" t="n"/>
      <c r="N298" s="39">
        <f>IFERROR(IF(ISBLANK(H298),"",ABS(H298-I298)/VLOOKUP(C298,設定!$B$9:$D$23,2,FALSE)),"")</f>
        <v/>
      </c>
      <c r="O298" s="38">
        <f>IFERROR(IF(ISBLANK(J298),"",ABS(J298-H298)/ABS(H298-I298)),"")</f>
        <v/>
      </c>
      <c r="P298" s="40">
        <f>IFERROR(IF(OR(ISBLANK(L298),ISBLANK(E298)),"",IF(E298="Long",(L298-H298),(H298-L298))/VLOOKUP(C298,設定!$B$9:$D$23,2,FALSE)),"")</f>
        <v/>
      </c>
      <c r="Q298" s="41">
        <f>IFERROR(IF(OR(ISBLANK(P298),N298=0),"",P298/N298),"")</f>
        <v/>
      </c>
      <c r="R298" s="41">
        <f>IFERROR(IF(ISBLANK(Q298),R297,IF(ISNUMBER(R297),R297,0)+Q298),"")</f>
        <v/>
      </c>
      <c r="S298" s="42">
        <f>IFERROR(IF(OR(ISBLANK(P298),ISBLANK(K298)),"",P298*K298*VLOOKUP(C298,設定!$B$9:$D$23,3,FALSE)),"")</f>
        <v/>
      </c>
      <c r="T298" s="35" t="n"/>
    </row>
    <row r="299">
      <c r="A299" s="43">
        <f>IF(ISBLANK(B299),"",COUNTA($B$2:B299))</f>
        <v/>
      </c>
      <c r="B299" s="44" t="n"/>
      <c r="C299" s="45" t="n"/>
      <c r="D299" s="45" t="n"/>
      <c r="E299" s="45" t="n"/>
      <c r="F299" s="43" t="n"/>
      <c r="G299" s="46" t="n"/>
      <c r="H299" s="47" t="n"/>
      <c r="I299" s="47" t="n"/>
      <c r="J299" s="47" t="n"/>
      <c r="K299" s="48" t="n"/>
      <c r="L299" s="47" t="n"/>
      <c r="M299" s="45" t="n"/>
      <c r="N299" s="49">
        <f>IFERROR(IF(ISBLANK(H299),"",ABS(H299-I299)/VLOOKUP(C299,設定!$B$9:$D$23,2,FALSE)),"")</f>
        <v/>
      </c>
      <c r="O299" s="48">
        <f>IFERROR(IF(ISBLANK(J299),"",ABS(J299-H299)/ABS(H299-I299)),"")</f>
        <v/>
      </c>
      <c r="P299" s="50">
        <f>IFERROR(IF(OR(ISBLANK(L299),ISBLANK(E299)),"",IF(E299="Long",(L299-H299),(H299-L299))/VLOOKUP(C299,設定!$B$9:$D$23,2,FALSE)),"")</f>
        <v/>
      </c>
      <c r="Q299" s="51">
        <f>IFERROR(IF(OR(ISBLANK(P299),N299=0),"",P299/N299),"")</f>
        <v/>
      </c>
      <c r="R299" s="51">
        <f>IFERROR(IF(ISBLANK(Q299),R298,IF(ISNUMBER(R298),R298,0)+Q299),"")</f>
        <v/>
      </c>
      <c r="S299" s="52">
        <f>IFERROR(IF(OR(ISBLANK(P299),ISBLANK(K299)),"",P299*K299*VLOOKUP(C299,設定!$B$9:$D$23,3,FALSE)),"")</f>
        <v/>
      </c>
      <c r="T299" s="45" t="n"/>
    </row>
    <row r="300">
      <c r="A300" s="33">
        <f>IF(ISBLANK(B300),"",COUNTA($B$2:B300))</f>
        <v/>
      </c>
      <c r="B300" s="34" t="n"/>
      <c r="C300" s="35" t="n"/>
      <c r="D300" s="35" t="n"/>
      <c r="E300" s="35" t="n"/>
      <c r="F300" s="33" t="n"/>
      <c r="G300" s="36" t="n"/>
      <c r="H300" s="37" t="n"/>
      <c r="I300" s="37" t="n"/>
      <c r="J300" s="37" t="n"/>
      <c r="K300" s="38" t="n"/>
      <c r="L300" s="37" t="n"/>
      <c r="M300" s="35" t="n"/>
      <c r="N300" s="39">
        <f>IFERROR(IF(ISBLANK(H300),"",ABS(H300-I300)/VLOOKUP(C300,設定!$B$9:$D$23,2,FALSE)),"")</f>
        <v/>
      </c>
      <c r="O300" s="38">
        <f>IFERROR(IF(ISBLANK(J300),"",ABS(J300-H300)/ABS(H300-I300)),"")</f>
        <v/>
      </c>
      <c r="P300" s="40">
        <f>IFERROR(IF(OR(ISBLANK(L300),ISBLANK(E300)),"",IF(E300="Long",(L300-H300),(H300-L300))/VLOOKUP(C300,設定!$B$9:$D$23,2,FALSE)),"")</f>
        <v/>
      </c>
      <c r="Q300" s="41">
        <f>IFERROR(IF(OR(ISBLANK(P300),N300=0),"",P300/N300),"")</f>
        <v/>
      </c>
      <c r="R300" s="41">
        <f>IFERROR(IF(ISBLANK(Q300),R299,IF(ISNUMBER(R299),R299,0)+Q300),"")</f>
        <v/>
      </c>
      <c r="S300" s="42">
        <f>IFERROR(IF(OR(ISBLANK(P300),ISBLANK(K300)),"",P300*K300*VLOOKUP(C300,設定!$B$9:$D$23,3,FALSE)),"")</f>
        <v/>
      </c>
      <c r="T300" s="35" t="n"/>
    </row>
    <row r="301">
      <c r="A301" s="43">
        <f>IF(ISBLANK(B301),"",COUNTA($B$2:B301))</f>
        <v/>
      </c>
      <c r="B301" s="44" t="n"/>
      <c r="C301" s="45" t="n"/>
      <c r="D301" s="45" t="n"/>
      <c r="E301" s="45" t="n"/>
      <c r="F301" s="43" t="n"/>
      <c r="G301" s="46" t="n"/>
      <c r="H301" s="47" t="n"/>
      <c r="I301" s="47" t="n"/>
      <c r="J301" s="47" t="n"/>
      <c r="K301" s="48" t="n"/>
      <c r="L301" s="47" t="n"/>
      <c r="M301" s="45" t="n"/>
      <c r="N301" s="49">
        <f>IFERROR(IF(ISBLANK(H301),"",ABS(H301-I301)/VLOOKUP(C301,設定!$B$9:$D$23,2,FALSE)),"")</f>
        <v/>
      </c>
      <c r="O301" s="48">
        <f>IFERROR(IF(ISBLANK(J301),"",ABS(J301-H301)/ABS(H301-I301)),"")</f>
        <v/>
      </c>
      <c r="P301" s="50">
        <f>IFERROR(IF(OR(ISBLANK(L301),ISBLANK(E301)),"",IF(E301="Long",(L301-H301),(H301-L301))/VLOOKUP(C301,設定!$B$9:$D$23,2,FALSE)),"")</f>
        <v/>
      </c>
      <c r="Q301" s="51">
        <f>IFERROR(IF(OR(ISBLANK(P301),N301=0),"",P301/N301),"")</f>
        <v/>
      </c>
      <c r="R301" s="51">
        <f>IFERROR(IF(ISBLANK(Q301),R300,IF(ISNUMBER(R300),R300,0)+Q301),"")</f>
        <v/>
      </c>
      <c r="S301" s="52">
        <f>IFERROR(IF(OR(ISBLANK(P301),ISBLANK(K301)),"",P301*K301*VLOOKUP(C301,設定!$B$9:$D$23,3,FALSE)),"")</f>
        <v/>
      </c>
      <c r="T301" s="45" t="n"/>
    </row>
    <row r="302">
      <c r="A302" s="33">
        <f>IF(ISBLANK(B302),"",COUNTA($B$2:B302))</f>
        <v/>
      </c>
      <c r="B302" s="34" t="n"/>
      <c r="C302" s="35" t="n"/>
      <c r="D302" s="35" t="n"/>
      <c r="E302" s="35" t="n"/>
      <c r="F302" s="33" t="n"/>
      <c r="G302" s="36" t="n"/>
      <c r="H302" s="37" t="n"/>
      <c r="I302" s="37" t="n"/>
      <c r="J302" s="37" t="n"/>
      <c r="K302" s="38" t="n"/>
      <c r="L302" s="37" t="n"/>
      <c r="M302" s="35" t="n"/>
      <c r="N302" s="39">
        <f>IFERROR(IF(ISBLANK(H302),"",ABS(H302-I302)/VLOOKUP(C302,設定!$B$9:$D$23,2,FALSE)),"")</f>
        <v/>
      </c>
      <c r="O302" s="38">
        <f>IFERROR(IF(ISBLANK(J302),"",ABS(J302-H302)/ABS(H302-I302)),"")</f>
        <v/>
      </c>
      <c r="P302" s="40">
        <f>IFERROR(IF(OR(ISBLANK(L302),ISBLANK(E302)),"",IF(E302="Long",(L302-H302),(H302-L302))/VLOOKUP(C302,設定!$B$9:$D$23,2,FALSE)),"")</f>
        <v/>
      </c>
      <c r="Q302" s="41">
        <f>IFERROR(IF(OR(ISBLANK(P302),N302=0),"",P302/N302),"")</f>
        <v/>
      </c>
      <c r="R302" s="41">
        <f>IFERROR(IF(ISBLANK(Q302),R301,IF(ISNUMBER(R301),R301,0)+Q302),"")</f>
        <v/>
      </c>
      <c r="S302" s="42">
        <f>IFERROR(IF(OR(ISBLANK(P302),ISBLANK(K302)),"",P302*K302*VLOOKUP(C302,設定!$B$9:$D$23,3,FALSE)),"")</f>
        <v/>
      </c>
      <c r="T302" s="35" t="n"/>
    </row>
    <row r="303">
      <c r="A303" s="43">
        <f>IF(ISBLANK(B303),"",COUNTA($B$2:B303))</f>
        <v/>
      </c>
      <c r="B303" s="44" t="n"/>
      <c r="C303" s="45" t="n"/>
      <c r="D303" s="45" t="n"/>
      <c r="E303" s="45" t="n"/>
      <c r="F303" s="43" t="n"/>
      <c r="G303" s="46" t="n"/>
      <c r="H303" s="47" t="n"/>
      <c r="I303" s="47" t="n"/>
      <c r="J303" s="47" t="n"/>
      <c r="K303" s="48" t="n"/>
      <c r="L303" s="47" t="n"/>
      <c r="M303" s="45" t="n"/>
      <c r="N303" s="49">
        <f>IFERROR(IF(ISBLANK(H303),"",ABS(H303-I303)/VLOOKUP(C303,設定!$B$9:$D$23,2,FALSE)),"")</f>
        <v/>
      </c>
      <c r="O303" s="48">
        <f>IFERROR(IF(ISBLANK(J303),"",ABS(J303-H303)/ABS(H303-I303)),"")</f>
        <v/>
      </c>
      <c r="P303" s="50">
        <f>IFERROR(IF(OR(ISBLANK(L303),ISBLANK(E303)),"",IF(E303="Long",(L303-H303),(H303-L303))/VLOOKUP(C303,設定!$B$9:$D$23,2,FALSE)),"")</f>
        <v/>
      </c>
      <c r="Q303" s="51">
        <f>IFERROR(IF(OR(ISBLANK(P303),N303=0),"",P303/N303),"")</f>
        <v/>
      </c>
      <c r="R303" s="51">
        <f>IFERROR(IF(ISBLANK(Q303),R302,IF(ISNUMBER(R302),R302,0)+Q303),"")</f>
        <v/>
      </c>
      <c r="S303" s="52">
        <f>IFERROR(IF(OR(ISBLANK(P303),ISBLANK(K303)),"",P303*K303*VLOOKUP(C303,設定!$B$9:$D$23,3,FALSE)),"")</f>
        <v/>
      </c>
      <c r="T303" s="45" t="n"/>
    </row>
    <row r="304">
      <c r="A304" s="33">
        <f>IF(ISBLANK(B304),"",COUNTA($B$2:B304))</f>
        <v/>
      </c>
      <c r="B304" s="34" t="n"/>
      <c r="C304" s="35" t="n"/>
      <c r="D304" s="35" t="n"/>
      <c r="E304" s="35" t="n"/>
      <c r="F304" s="33" t="n"/>
      <c r="G304" s="36" t="n"/>
      <c r="H304" s="37" t="n"/>
      <c r="I304" s="37" t="n"/>
      <c r="J304" s="37" t="n"/>
      <c r="K304" s="38" t="n"/>
      <c r="L304" s="37" t="n"/>
      <c r="M304" s="35" t="n"/>
      <c r="N304" s="39">
        <f>IFERROR(IF(ISBLANK(H304),"",ABS(H304-I304)/VLOOKUP(C304,設定!$B$9:$D$23,2,FALSE)),"")</f>
        <v/>
      </c>
      <c r="O304" s="38">
        <f>IFERROR(IF(ISBLANK(J304),"",ABS(J304-H304)/ABS(H304-I304)),"")</f>
        <v/>
      </c>
      <c r="P304" s="40">
        <f>IFERROR(IF(OR(ISBLANK(L304),ISBLANK(E304)),"",IF(E304="Long",(L304-H304),(H304-L304))/VLOOKUP(C304,設定!$B$9:$D$23,2,FALSE)),"")</f>
        <v/>
      </c>
      <c r="Q304" s="41">
        <f>IFERROR(IF(OR(ISBLANK(P304),N304=0),"",P304/N304),"")</f>
        <v/>
      </c>
      <c r="R304" s="41">
        <f>IFERROR(IF(ISBLANK(Q304),R303,IF(ISNUMBER(R303),R303,0)+Q304),"")</f>
        <v/>
      </c>
      <c r="S304" s="42">
        <f>IFERROR(IF(OR(ISBLANK(P304),ISBLANK(K304)),"",P304*K304*VLOOKUP(C304,設定!$B$9:$D$23,3,FALSE)),"")</f>
        <v/>
      </c>
      <c r="T304" s="35" t="n"/>
    </row>
    <row r="305">
      <c r="A305" s="43">
        <f>IF(ISBLANK(B305),"",COUNTA($B$2:B305))</f>
        <v/>
      </c>
      <c r="B305" s="44" t="n"/>
      <c r="C305" s="45" t="n"/>
      <c r="D305" s="45" t="n"/>
      <c r="E305" s="45" t="n"/>
      <c r="F305" s="43" t="n"/>
      <c r="G305" s="46" t="n"/>
      <c r="H305" s="47" t="n"/>
      <c r="I305" s="47" t="n"/>
      <c r="J305" s="47" t="n"/>
      <c r="K305" s="48" t="n"/>
      <c r="L305" s="47" t="n"/>
      <c r="M305" s="45" t="n"/>
      <c r="N305" s="49">
        <f>IFERROR(IF(ISBLANK(H305),"",ABS(H305-I305)/VLOOKUP(C305,設定!$B$9:$D$23,2,FALSE)),"")</f>
        <v/>
      </c>
      <c r="O305" s="48">
        <f>IFERROR(IF(ISBLANK(J305),"",ABS(J305-H305)/ABS(H305-I305)),"")</f>
        <v/>
      </c>
      <c r="P305" s="50">
        <f>IFERROR(IF(OR(ISBLANK(L305),ISBLANK(E305)),"",IF(E305="Long",(L305-H305),(H305-L305))/VLOOKUP(C305,設定!$B$9:$D$23,2,FALSE)),"")</f>
        <v/>
      </c>
      <c r="Q305" s="51">
        <f>IFERROR(IF(OR(ISBLANK(P305),N305=0),"",P305/N305),"")</f>
        <v/>
      </c>
      <c r="R305" s="51">
        <f>IFERROR(IF(ISBLANK(Q305),R304,IF(ISNUMBER(R304),R304,0)+Q305),"")</f>
        <v/>
      </c>
      <c r="S305" s="52">
        <f>IFERROR(IF(OR(ISBLANK(P305),ISBLANK(K305)),"",P305*K305*VLOOKUP(C305,設定!$B$9:$D$23,3,FALSE)),"")</f>
        <v/>
      </c>
      <c r="T305" s="45" t="n"/>
    </row>
    <row r="306">
      <c r="A306" s="33">
        <f>IF(ISBLANK(B306),"",COUNTA($B$2:B306))</f>
        <v/>
      </c>
      <c r="B306" s="34" t="n"/>
      <c r="C306" s="35" t="n"/>
      <c r="D306" s="35" t="n"/>
      <c r="E306" s="35" t="n"/>
      <c r="F306" s="33" t="n"/>
      <c r="G306" s="36" t="n"/>
      <c r="H306" s="37" t="n"/>
      <c r="I306" s="37" t="n"/>
      <c r="J306" s="37" t="n"/>
      <c r="K306" s="38" t="n"/>
      <c r="L306" s="37" t="n"/>
      <c r="M306" s="35" t="n"/>
      <c r="N306" s="39">
        <f>IFERROR(IF(ISBLANK(H306),"",ABS(H306-I306)/VLOOKUP(C306,設定!$B$9:$D$23,2,FALSE)),"")</f>
        <v/>
      </c>
      <c r="O306" s="38">
        <f>IFERROR(IF(ISBLANK(J306),"",ABS(J306-H306)/ABS(H306-I306)),"")</f>
        <v/>
      </c>
      <c r="P306" s="40">
        <f>IFERROR(IF(OR(ISBLANK(L306),ISBLANK(E306)),"",IF(E306="Long",(L306-H306),(H306-L306))/VLOOKUP(C306,設定!$B$9:$D$23,2,FALSE)),"")</f>
        <v/>
      </c>
      <c r="Q306" s="41">
        <f>IFERROR(IF(OR(ISBLANK(P306),N306=0),"",P306/N306),"")</f>
        <v/>
      </c>
      <c r="R306" s="41">
        <f>IFERROR(IF(ISBLANK(Q306),R305,IF(ISNUMBER(R305),R305,0)+Q306),"")</f>
        <v/>
      </c>
      <c r="S306" s="42">
        <f>IFERROR(IF(OR(ISBLANK(P306),ISBLANK(K306)),"",P306*K306*VLOOKUP(C306,設定!$B$9:$D$23,3,FALSE)),"")</f>
        <v/>
      </c>
      <c r="T306" s="35" t="n"/>
    </row>
    <row r="307">
      <c r="A307" s="43">
        <f>IF(ISBLANK(B307),"",COUNTA($B$2:B307))</f>
        <v/>
      </c>
      <c r="B307" s="44" t="n"/>
      <c r="C307" s="45" t="n"/>
      <c r="D307" s="45" t="n"/>
      <c r="E307" s="45" t="n"/>
      <c r="F307" s="43" t="n"/>
      <c r="G307" s="46" t="n"/>
      <c r="H307" s="47" t="n"/>
      <c r="I307" s="47" t="n"/>
      <c r="J307" s="47" t="n"/>
      <c r="K307" s="48" t="n"/>
      <c r="L307" s="47" t="n"/>
      <c r="M307" s="45" t="n"/>
      <c r="N307" s="49">
        <f>IFERROR(IF(ISBLANK(H307),"",ABS(H307-I307)/VLOOKUP(C307,設定!$B$9:$D$23,2,FALSE)),"")</f>
        <v/>
      </c>
      <c r="O307" s="48">
        <f>IFERROR(IF(ISBLANK(J307),"",ABS(J307-H307)/ABS(H307-I307)),"")</f>
        <v/>
      </c>
      <c r="P307" s="50">
        <f>IFERROR(IF(OR(ISBLANK(L307),ISBLANK(E307)),"",IF(E307="Long",(L307-H307),(H307-L307))/VLOOKUP(C307,設定!$B$9:$D$23,2,FALSE)),"")</f>
        <v/>
      </c>
      <c r="Q307" s="51">
        <f>IFERROR(IF(OR(ISBLANK(P307),N307=0),"",P307/N307),"")</f>
        <v/>
      </c>
      <c r="R307" s="51">
        <f>IFERROR(IF(ISBLANK(Q307),R306,IF(ISNUMBER(R306),R306,0)+Q307),"")</f>
        <v/>
      </c>
      <c r="S307" s="52">
        <f>IFERROR(IF(OR(ISBLANK(P307),ISBLANK(K307)),"",P307*K307*VLOOKUP(C307,設定!$B$9:$D$23,3,FALSE)),"")</f>
        <v/>
      </c>
      <c r="T307" s="45" t="n"/>
    </row>
    <row r="308">
      <c r="A308" s="33">
        <f>IF(ISBLANK(B308),"",COUNTA($B$2:B308))</f>
        <v/>
      </c>
      <c r="B308" s="34" t="n"/>
      <c r="C308" s="35" t="n"/>
      <c r="D308" s="35" t="n"/>
      <c r="E308" s="35" t="n"/>
      <c r="F308" s="33" t="n"/>
      <c r="G308" s="36" t="n"/>
      <c r="H308" s="37" t="n"/>
      <c r="I308" s="37" t="n"/>
      <c r="J308" s="37" t="n"/>
      <c r="K308" s="38" t="n"/>
      <c r="L308" s="37" t="n"/>
      <c r="M308" s="35" t="n"/>
      <c r="N308" s="39">
        <f>IFERROR(IF(ISBLANK(H308),"",ABS(H308-I308)/VLOOKUP(C308,設定!$B$9:$D$23,2,FALSE)),"")</f>
        <v/>
      </c>
      <c r="O308" s="38">
        <f>IFERROR(IF(ISBLANK(J308),"",ABS(J308-H308)/ABS(H308-I308)),"")</f>
        <v/>
      </c>
      <c r="P308" s="40">
        <f>IFERROR(IF(OR(ISBLANK(L308),ISBLANK(E308)),"",IF(E308="Long",(L308-H308),(H308-L308))/VLOOKUP(C308,設定!$B$9:$D$23,2,FALSE)),"")</f>
        <v/>
      </c>
      <c r="Q308" s="41">
        <f>IFERROR(IF(OR(ISBLANK(P308),N308=0),"",P308/N308),"")</f>
        <v/>
      </c>
      <c r="R308" s="41">
        <f>IFERROR(IF(ISBLANK(Q308),R307,IF(ISNUMBER(R307),R307,0)+Q308),"")</f>
        <v/>
      </c>
      <c r="S308" s="42">
        <f>IFERROR(IF(OR(ISBLANK(P308),ISBLANK(K308)),"",P308*K308*VLOOKUP(C308,設定!$B$9:$D$23,3,FALSE)),"")</f>
        <v/>
      </c>
      <c r="T308" s="35" t="n"/>
    </row>
    <row r="309">
      <c r="A309" s="43">
        <f>IF(ISBLANK(B309),"",COUNTA($B$2:B309))</f>
        <v/>
      </c>
      <c r="B309" s="44" t="n"/>
      <c r="C309" s="45" t="n"/>
      <c r="D309" s="45" t="n"/>
      <c r="E309" s="45" t="n"/>
      <c r="F309" s="43" t="n"/>
      <c r="G309" s="46" t="n"/>
      <c r="H309" s="47" t="n"/>
      <c r="I309" s="47" t="n"/>
      <c r="J309" s="47" t="n"/>
      <c r="K309" s="48" t="n"/>
      <c r="L309" s="47" t="n"/>
      <c r="M309" s="45" t="n"/>
      <c r="N309" s="49">
        <f>IFERROR(IF(ISBLANK(H309),"",ABS(H309-I309)/VLOOKUP(C309,設定!$B$9:$D$23,2,FALSE)),"")</f>
        <v/>
      </c>
      <c r="O309" s="48">
        <f>IFERROR(IF(ISBLANK(J309),"",ABS(J309-H309)/ABS(H309-I309)),"")</f>
        <v/>
      </c>
      <c r="P309" s="50">
        <f>IFERROR(IF(OR(ISBLANK(L309),ISBLANK(E309)),"",IF(E309="Long",(L309-H309),(H309-L309))/VLOOKUP(C309,設定!$B$9:$D$23,2,FALSE)),"")</f>
        <v/>
      </c>
      <c r="Q309" s="51">
        <f>IFERROR(IF(OR(ISBLANK(P309),N309=0),"",P309/N309),"")</f>
        <v/>
      </c>
      <c r="R309" s="51">
        <f>IFERROR(IF(ISBLANK(Q309),R308,IF(ISNUMBER(R308),R308,0)+Q309),"")</f>
        <v/>
      </c>
      <c r="S309" s="52">
        <f>IFERROR(IF(OR(ISBLANK(P309),ISBLANK(K309)),"",P309*K309*VLOOKUP(C309,設定!$B$9:$D$23,3,FALSE)),"")</f>
        <v/>
      </c>
      <c r="T309" s="45" t="n"/>
    </row>
    <row r="310">
      <c r="A310" s="33">
        <f>IF(ISBLANK(B310),"",COUNTA($B$2:B310))</f>
        <v/>
      </c>
      <c r="B310" s="34" t="n"/>
      <c r="C310" s="35" t="n"/>
      <c r="D310" s="35" t="n"/>
      <c r="E310" s="35" t="n"/>
      <c r="F310" s="33" t="n"/>
      <c r="G310" s="36" t="n"/>
      <c r="H310" s="37" t="n"/>
      <c r="I310" s="37" t="n"/>
      <c r="J310" s="37" t="n"/>
      <c r="K310" s="38" t="n"/>
      <c r="L310" s="37" t="n"/>
      <c r="M310" s="35" t="n"/>
      <c r="N310" s="39">
        <f>IFERROR(IF(ISBLANK(H310),"",ABS(H310-I310)/VLOOKUP(C310,設定!$B$9:$D$23,2,FALSE)),"")</f>
        <v/>
      </c>
      <c r="O310" s="38">
        <f>IFERROR(IF(ISBLANK(J310),"",ABS(J310-H310)/ABS(H310-I310)),"")</f>
        <v/>
      </c>
      <c r="P310" s="40">
        <f>IFERROR(IF(OR(ISBLANK(L310),ISBLANK(E310)),"",IF(E310="Long",(L310-H310),(H310-L310))/VLOOKUP(C310,設定!$B$9:$D$23,2,FALSE)),"")</f>
        <v/>
      </c>
      <c r="Q310" s="41">
        <f>IFERROR(IF(OR(ISBLANK(P310),N310=0),"",P310/N310),"")</f>
        <v/>
      </c>
      <c r="R310" s="41">
        <f>IFERROR(IF(ISBLANK(Q310),R309,IF(ISNUMBER(R309),R309,0)+Q310),"")</f>
        <v/>
      </c>
      <c r="S310" s="42">
        <f>IFERROR(IF(OR(ISBLANK(P310),ISBLANK(K310)),"",P310*K310*VLOOKUP(C310,設定!$B$9:$D$23,3,FALSE)),"")</f>
        <v/>
      </c>
      <c r="T310" s="35" t="n"/>
    </row>
    <row r="311">
      <c r="A311" s="43">
        <f>IF(ISBLANK(B311),"",COUNTA($B$2:B311))</f>
        <v/>
      </c>
      <c r="B311" s="44" t="n"/>
      <c r="C311" s="45" t="n"/>
      <c r="D311" s="45" t="n"/>
      <c r="E311" s="45" t="n"/>
      <c r="F311" s="43" t="n"/>
      <c r="G311" s="46" t="n"/>
      <c r="H311" s="47" t="n"/>
      <c r="I311" s="47" t="n"/>
      <c r="J311" s="47" t="n"/>
      <c r="K311" s="48" t="n"/>
      <c r="L311" s="47" t="n"/>
      <c r="M311" s="45" t="n"/>
      <c r="N311" s="49">
        <f>IFERROR(IF(ISBLANK(H311),"",ABS(H311-I311)/VLOOKUP(C311,設定!$B$9:$D$23,2,FALSE)),"")</f>
        <v/>
      </c>
      <c r="O311" s="48">
        <f>IFERROR(IF(ISBLANK(J311),"",ABS(J311-H311)/ABS(H311-I311)),"")</f>
        <v/>
      </c>
      <c r="P311" s="50">
        <f>IFERROR(IF(OR(ISBLANK(L311),ISBLANK(E311)),"",IF(E311="Long",(L311-H311),(H311-L311))/VLOOKUP(C311,設定!$B$9:$D$23,2,FALSE)),"")</f>
        <v/>
      </c>
      <c r="Q311" s="51">
        <f>IFERROR(IF(OR(ISBLANK(P311),N311=0),"",P311/N311),"")</f>
        <v/>
      </c>
      <c r="R311" s="51">
        <f>IFERROR(IF(ISBLANK(Q311),R310,IF(ISNUMBER(R310),R310,0)+Q311),"")</f>
        <v/>
      </c>
      <c r="S311" s="52">
        <f>IFERROR(IF(OR(ISBLANK(P311),ISBLANK(K311)),"",P311*K311*VLOOKUP(C311,設定!$B$9:$D$23,3,FALSE)),"")</f>
        <v/>
      </c>
      <c r="T311" s="45" t="n"/>
    </row>
    <row r="312">
      <c r="A312" s="33">
        <f>IF(ISBLANK(B312),"",COUNTA($B$2:B312))</f>
        <v/>
      </c>
      <c r="B312" s="34" t="n"/>
      <c r="C312" s="35" t="n"/>
      <c r="D312" s="35" t="n"/>
      <c r="E312" s="35" t="n"/>
      <c r="F312" s="33" t="n"/>
      <c r="G312" s="36" t="n"/>
      <c r="H312" s="37" t="n"/>
      <c r="I312" s="37" t="n"/>
      <c r="J312" s="37" t="n"/>
      <c r="K312" s="38" t="n"/>
      <c r="L312" s="37" t="n"/>
      <c r="M312" s="35" t="n"/>
      <c r="N312" s="39">
        <f>IFERROR(IF(ISBLANK(H312),"",ABS(H312-I312)/VLOOKUP(C312,設定!$B$9:$D$23,2,FALSE)),"")</f>
        <v/>
      </c>
      <c r="O312" s="38">
        <f>IFERROR(IF(ISBLANK(J312),"",ABS(J312-H312)/ABS(H312-I312)),"")</f>
        <v/>
      </c>
      <c r="P312" s="40">
        <f>IFERROR(IF(OR(ISBLANK(L312),ISBLANK(E312)),"",IF(E312="Long",(L312-H312),(H312-L312))/VLOOKUP(C312,設定!$B$9:$D$23,2,FALSE)),"")</f>
        <v/>
      </c>
      <c r="Q312" s="41">
        <f>IFERROR(IF(OR(ISBLANK(P312),N312=0),"",P312/N312),"")</f>
        <v/>
      </c>
      <c r="R312" s="41">
        <f>IFERROR(IF(ISBLANK(Q312),R311,IF(ISNUMBER(R311),R311,0)+Q312),"")</f>
        <v/>
      </c>
      <c r="S312" s="42">
        <f>IFERROR(IF(OR(ISBLANK(P312),ISBLANK(K312)),"",P312*K312*VLOOKUP(C312,設定!$B$9:$D$23,3,FALSE)),"")</f>
        <v/>
      </c>
      <c r="T312" s="35" t="n"/>
    </row>
    <row r="313">
      <c r="A313" s="43">
        <f>IF(ISBLANK(B313),"",COUNTA($B$2:B313))</f>
        <v/>
      </c>
      <c r="B313" s="44" t="n"/>
      <c r="C313" s="45" t="n"/>
      <c r="D313" s="45" t="n"/>
      <c r="E313" s="45" t="n"/>
      <c r="F313" s="43" t="n"/>
      <c r="G313" s="46" t="n"/>
      <c r="H313" s="47" t="n"/>
      <c r="I313" s="47" t="n"/>
      <c r="J313" s="47" t="n"/>
      <c r="K313" s="48" t="n"/>
      <c r="L313" s="47" t="n"/>
      <c r="M313" s="45" t="n"/>
      <c r="N313" s="49">
        <f>IFERROR(IF(ISBLANK(H313),"",ABS(H313-I313)/VLOOKUP(C313,設定!$B$9:$D$23,2,FALSE)),"")</f>
        <v/>
      </c>
      <c r="O313" s="48">
        <f>IFERROR(IF(ISBLANK(J313),"",ABS(J313-H313)/ABS(H313-I313)),"")</f>
        <v/>
      </c>
      <c r="P313" s="50">
        <f>IFERROR(IF(OR(ISBLANK(L313),ISBLANK(E313)),"",IF(E313="Long",(L313-H313),(H313-L313))/VLOOKUP(C313,設定!$B$9:$D$23,2,FALSE)),"")</f>
        <v/>
      </c>
      <c r="Q313" s="51">
        <f>IFERROR(IF(OR(ISBLANK(P313),N313=0),"",P313/N313),"")</f>
        <v/>
      </c>
      <c r="R313" s="51">
        <f>IFERROR(IF(ISBLANK(Q313),R312,IF(ISNUMBER(R312),R312,0)+Q313),"")</f>
        <v/>
      </c>
      <c r="S313" s="52">
        <f>IFERROR(IF(OR(ISBLANK(P313),ISBLANK(K313)),"",P313*K313*VLOOKUP(C313,設定!$B$9:$D$23,3,FALSE)),"")</f>
        <v/>
      </c>
      <c r="T313" s="45" t="n"/>
    </row>
    <row r="314">
      <c r="A314" s="33">
        <f>IF(ISBLANK(B314),"",COUNTA($B$2:B314))</f>
        <v/>
      </c>
      <c r="B314" s="34" t="n"/>
      <c r="C314" s="35" t="n"/>
      <c r="D314" s="35" t="n"/>
      <c r="E314" s="35" t="n"/>
      <c r="F314" s="33" t="n"/>
      <c r="G314" s="36" t="n"/>
      <c r="H314" s="37" t="n"/>
      <c r="I314" s="37" t="n"/>
      <c r="J314" s="37" t="n"/>
      <c r="K314" s="38" t="n"/>
      <c r="L314" s="37" t="n"/>
      <c r="M314" s="35" t="n"/>
      <c r="N314" s="39">
        <f>IFERROR(IF(ISBLANK(H314),"",ABS(H314-I314)/VLOOKUP(C314,設定!$B$9:$D$23,2,FALSE)),"")</f>
        <v/>
      </c>
      <c r="O314" s="38">
        <f>IFERROR(IF(ISBLANK(J314),"",ABS(J314-H314)/ABS(H314-I314)),"")</f>
        <v/>
      </c>
      <c r="P314" s="40">
        <f>IFERROR(IF(OR(ISBLANK(L314),ISBLANK(E314)),"",IF(E314="Long",(L314-H314),(H314-L314))/VLOOKUP(C314,設定!$B$9:$D$23,2,FALSE)),"")</f>
        <v/>
      </c>
      <c r="Q314" s="41">
        <f>IFERROR(IF(OR(ISBLANK(P314),N314=0),"",P314/N314),"")</f>
        <v/>
      </c>
      <c r="R314" s="41">
        <f>IFERROR(IF(ISBLANK(Q314),R313,IF(ISNUMBER(R313),R313,0)+Q314),"")</f>
        <v/>
      </c>
      <c r="S314" s="42">
        <f>IFERROR(IF(OR(ISBLANK(P314),ISBLANK(K314)),"",P314*K314*VLOOKUP(C314,設定!$B$9:$D$23,3,FALSE)),"")</f>
        <v/>
      </c>
      <c r="T314" s="35" t="n"/>
    </row>
    <row r="315">
      <c r="A315" s="43">
        <f>IF(ISBLANK(B315),"",COUNTA($B$2:B315))</f>
        <v/>
      </c>
      <c r="B315" s="44" t="n"/>
      <c r="C315" s="45" t="n"/>
      <c r="D315" s="45" t="n"/>
      <c r="E315" s="45" t="n"/>
      <c r="F315" s="43" t="n"/>
      <c r="G315" s="46" t="n"/>
      <c r="H315" s="47" t="n"/>
      <c r="I315" s="47" t="n"/>
      <c r="J315" s="47" t="n"/>
      <c r="K315" s="48" t="n"/>
      <c r="L315" s="47" t="n"/>
      <c r="M315" s="45" t="n"/>
      <c r="N315" s="49">
        <f>IFERROR(IF(ISBLANK(H315),"",ABS(H315-I315)/VLOOKUP(C315,設定!$B$9:$D$23,2,FALSE)),"")</f>
        <v/>
      </c>
      <c r="O315" s="48">
        <f>IFERROR(IF(ISBLANK(J315),"",ABS(J315-H315)/ABS(H315-I315)),"")</f>
        <v/>
      </c>
      <c r="P315" s="50">
        <f>IFERROR(IF(OR(ISBLANK(L315),ISBLANK(E315)),"",IF(E315="Long",(L315-H315),(H315-L315))/VLOOKUP(C315,設定!$B$9:$D$23,2,FALSE)),"")</f>
        <v/>
      </c>
      <c r="Q315" s="51">
        <f>IFERROR(IF(OR(ISBLANK(P315),N315=0),"",P315/N315),"")</f>
        <v/>
      </c>
      <c r="R315" s="51">
        <f>IFERROR(IF(ISBLANK(Q315),R314,IF(ISNUMBER(R314),R314,0)+Q315),"")</f>
        <v/>
      </c>
      <c r="S315" s="52">
        <f>IFERROR(IF(OR(ISBLANK(P315),ISBLANK(K315)),"",P315*K315*VLOOKUP(C315,設定!$B$9:$D$23,3,FALSE)),"")</f>
        <v/>
      </c>
      <c r="T315" s="45" t="n"/>
    </row>
    <row r="316">
      <c r="A316" s="33">
        <f>IF(ISBLANK(B316),"",COUNTA($B$2:B316))</f>
        <v/>
      </c>
      <c r="B316" s="34" t="n"/>
      <c r="C316" s="35" t="n"/>
      <c r="D316" s="35" t="n"/>
      <c r="E316" s="35" t="n"/>
      <c r="F316" s="33" t="n"/>
      <c r="G316" s="36" t="n"/>
      <c r="H316" s="37" t="n"/>
      <c r="I316" s="37" t="n"/>
      <c r="J316" s="37" t="n"/>
      <c r="K316" s="38" t="n"/>
      <c r="L316" s="37" t="n"/>
      <c r="M316" s="35" t="n"/>
      <c r="N316" s="39">
        <f>IFERROR(IF(ISBLANK(H316),"",ABS(H316-I316)/VLOOKUP(C316,設定!$B$9:$D$23,2,FALSE)),"")</f>
        <v/>
      </c>
      <c r="O316" s="38">
        <f>IFERROR(IF(ISBLANK(J316),"",ABS(J316-H316)/ABS(H316-I316)),"")</f>
        <v/>
      </c>
      <c r="P316" s="40">
        <f>IFERROR(IF(OR(ISBLANK(L316),ISBLANK(E316)),"",IF(E316="Long",(L316-H316),(H316-L316))/VLOOKUP(C316,設定!$B$9:$D$23,2,FALSE)),"")</f>
        <v/>
      </c>
      <c r="Q316" s="41">
        <f>IFERROR(IF(OR(ISBLANK(P316),N316=0),"",P316/N316),"")</f>
        <v/>
      </c>
      <c r="R316" s="41">
        <f>IFERROR(IF(ISBLANK(Q316),R315,IF(ISNUMBER(R315),R315,0)+Q316),"")</f>
        <v/>
      </c>
      <c r="S316" s="42">
        <f>IFERROR(IF(OR(ISBLANK(P316),ISBLANK(K316)),"",P316*K316*VLOOKUP(C316,設定!$B$9:$D$23,3,FALSE)),"")</f>
        <v/>
      </c>
      <c r="T316" s="35" t="n"/>
    </row>
    <row r="317">
      <c r="A317" s="43">
        <f>IF(ISBLANK(B317),"",COUNTA($B$2:B317))</f>
        <v/>
      </c>
      <c r="B317" s="44" t="n"/>
      <c r="C317" s="45" t="n"/>
      <c r="D317" s="45" t="n"/>
      <c r="E317" s="45" t="n"/>
      <c r="F317" s="43" t="n"/>
      <c r="G317" s="46" t="n"/>
      <c r="H317" s="47" t="n"/>
      <c r="I317" s="47" t="n"/>
      <c r="J317" s="47" t="n"/>
      <c r="K317" s="48" t="n"/>
      <c r="L317" s="47" t="n"/>
      <c r="M317" s="45" t="n"/>
      <c r="N317" s="49">
        <f>IFERROR(IF(ISBLANK(H317),"",ABS(H317-I317)/VLOOKUP(C317,設定!$B$9:$D$23,2,FALSE)),"")</f>
        <v/>
      </c>
      <c r="O317" s="48">
        <f>IFERROR(IF(ISBLANK(J317),"",ABS(J317-H317)/ABS(H317-I317)),"")</f>
        <v/>
      </c>
      <c r="P317" s="50">
        <f>IFERROR(IF(OR(ISBLANK(L317),ISBLANK(E317)),"",IF(E317="Long",(L317-H317),(H317-L317))/VLOOKUP(C317,設定!$B$9:$D$23,2,FALSE)),"")</f>
        <v/>
      </c>
      <c r="Q317" s="51">
        <f>IFERROR(IF(OR(ISBLANK(P317),N317=0),"",P317/N317),"")</f>
        <v/>
      </c>
      <c r="R317" s="51">
        <f>IFERROR(IF(ISBLANK(Q317),R316,IF(ISNUMBER(R316),R316,0)+Q317),"")</f>
        <v/>
      </c>
      <c r="S317" s="52">
        <f>IFERROR(IF(OR(ISBLANK(P317),ISBLANK(K317)),"",P317*K317*VLOOKUP(C317,設定!$B$9:$D$23,3,FALSE)),"")</f>
        <v/>
      </c>
      <c r="T317" s="45" t="n"/>
    </row>
    <row r="318">
      <c r="A318" s="33">
        <f>IF(ISBLANK(B318),"",COUNTA($B$2:B318))</f>
        <v/>
      </c>
      <c r="B318" s="34" t="n"/>
      <c r="C318" s="35" t="n"/>
      <c r="D318" s="35" t="n"/>
      <c r="E318" s="35" t="n"/>
      <c r="F318" s="33" t="n"/>
      <c r="G318" s="36" t="n"/>
      <c r="H318" s="37" t="n"/>
      <c r="I318" s="37" t="n"/>
      <c r="J318" s="37" t="n"/>
      <c r="K318" s="38" t="n"/>
      <c r="L318" s="37" t="n"/>
      <c r="M318" s="35" t="n"/>
      <c r="N318" s="39">
        <f>IFERROR(IF(ISBLANK(H318),"",ABS(H318-I318)/VLOOKUP(C318,設定!$B$9:$D$23,2,FALSE)),"")</f>
        <v/>
      </c>
      <c r="O318" s="38">
        <f>IFERROR(IF(ISBLANK(J318),"",ABS(J318-H318)/ABS(H318-I318)),"")</f>
        <v/>
      </c>
      <c r="P318" s="40">
        <f>IFERROR(IF(OR(ISBLANK(L318),ISBLANK(E318)),"",IF(E318="Long",(L318-H318),(H318-L318))/VLOOKUP(C318,設定!$B$9:$D$23,2,FALSE)),"")</f>
        <v/>
      </c>
      <c r="Q318" s="41">
        <f>IFERROR(IF(OR(ISBLANK(P318),N318=0),"",P318/N318),"")</f>
        <v/>
      </c>
      <c r="R318" s="41">
        <f>IFERROR(IF(ISBLANK(Q318),R317,IF(ISNUMBER(R317),R317,0)+Q318),"")</f>
        <v/>
      </c>
      <c r="S318" s="42">
        <f>IFERROR(IF(OR(ISBLANK(P318),ISBLANK(K318)),"",P318*K318*VLOOKUP(C318,設定!$B$9:$D$23,3,FALSE)),"")</f>
        <v/>
      </c>
      <c r="T318" s="35" t="n"/>
    </row>
    <row r="319">
      <c r="A319" s="43">
        <f>IF(ISBLANK(B319),"",COUNTA($B$2:B319))</f>
        <v/>
      </c>
      <c r="B319" s="44" t="n"/>
      <c r="C319" s="45" t="n"/>
      <c r="D319" s="45" t="n"/>
      <c r="E319" s="45" t="n"/>
      <c r="F319" s="43" t="n"/>
      <c r="G319" s="46" t="n"/>
      <c r="H319" s="47" t="n"/>
      <c r="I319" s="47" t="n"/>
      <c r="J319" s="47" t="n"/>
      <c r="K319" s="48" t="n"/>
      <c r="L319" s="47" t="n"/>
      <c r="M319" s="45" t="n"/>
      <c r="N319" s="49">
        <f>IFERROR(IF(ISBLANK(H319),"",ABS(H319-I319)/VLOOKUP(C319,設定!$B$9:$D$23,2,FALSE)),"")</f>
        <v/>
      </c>
      <c r="O319" s="48">
        <f>IFERROR(IF(ISBLANK(J319),"",ABS(J319-H319)/ABS(H319-I319)),"")</f>
        <v/>
      </c>
      <c r="P319" s="50">
        <f>IFERROR(IF(OR(ISBLANK(L319),ISBLANK(E319)),"",IF(E319="Long",(L319-H319),(H319-L319))/VLOOKUP(C319,設定!$B$9:$D$23,2,FALSE)),"")</f>
        <v/>
      </c>
      <c r="Q319" s="51">
        <f>IFERROR(IF(OR(ISBLANK(P319),N319=0),"",P319/N319),"")</f>
        <v/>
      </c>
      <c r="R319" s="51">
        <f>IFERROR(IF(ISBLANK(Q319),R318,IF(ISNUMBER(R318),R318,0)+Q319),"")</f>
        <v/>
      </c>
      <c r="S319" s="52">
        <f>IFERROR(IF(OR(ISBLANK(P319),ISBLANK(K319)),"",P319*K319*VLOOKUP(C319,設定!$B$9:$D$23,3,FALSE)),"")</f>
        <v/>
      </c>
      <c r="T319" s="45" t="n"/>
    </row>
    <row r="320">
      <c r="A320" s="33">
        <f>IF(ISBLANK(B320),"",COUNTA($B$2:B320))</f>
        <v/>
      </c>
      <c r="B320" s="34" t="n"/>
      <c r="C320" s="35" t="n"/>
      <c r="D320" s="35" t="n"/>
      <c r="E320" s="35" t="n"/>
      <c r="F320" s="33" t="n"/>
      <c r="G320" s="36" t="n"/>
      <c r="H320" s="37" t="n"/>
      <c r="I320" s="37" t="n"/>
      <c r="J320" s="37" t="n"/>
      <c r="K320" s="38" t="n"/>
      <c r="L320" s="37" t="n"/>
      <c r="M320" s="35" t="n"/>
      <c r="N320" s="39">
        <f>IFERROR(IF(ISBLANK(H320),"",ABS(H320-I320)/VLOOKUP(C320,設定!$B$9:$D$23,2,FALSE)),"")</f>
        <v/>
      </c>
      <c r="O320" s="38">
        <f>IFERROR(IF(ISBLANK(J320),"",ABS(J320-H320)/ABS(H320-I320)),"")</f>
        <v/>
      </c>
      <c r="P320" s="40">
        <f>IFERROR(IF(OR(ISBLANK(L320),ISBLANK(E320)),"",IF(E320="Long",(L320-H320),(H320-L320))/VLOOKUP(C320,設定!$B$9:$D$23,2,FALSE)),"")</f>
        <v/>
      </c>
      <c r="Q320" s="41">
        <f>IFERROR(IF(OR(ISBLANK(P320),N320=0),"",P320/N320),"")</f>
        <v/>
      </c>
      <c r="R320" s="41">
        <f>IFERROR(IF(ISBLANK(Q320),R319,IF(ISNUMBER(R319),R319,0)+Q320),"")</f>
        <v/>
      </c>
      <c r="S320" s="42">
        <f>IFERROR(IF(OR(ISBLANK(P320),ISBLANK(K320)),"",P320*K320*VLOOKUP(C320,設定!$B$9:$D$23,3,FALSE)),"")</f>
        <v/>
      </c>
      <c r="T320" s="35" t="n"/>
    </row>
    <row r="321">
      <c r="A321" s="43">
        <f>IF(ISBLANK(B321),"",COUNTA($B$2:B321))</f>
        <v/>
      </c>
      <c r="B321" s="44" t="n"/>
      <c r="C321" s="45" t="n"/>
      <c r="D321" s="45" t="n"/>
      <c r="E321" s="45" t="n"/>
      <c r="F321" s="43" t="n"/>
      <c r="G321" s="46" t="n"/>
      <c r="H321" s="47" t="n"/>
      <c r="I321" s="47" t="n"/>
      <c r="J321" s="47" t="n"/>
      <c r="K321" s="48" t="n"/>
      <c r="L321" s="47" t="n"/>
      <c r="M321" s="45" t="n"/>
      <c r="N321" s="49">
        <f>IFERROR(IF(ISBLANK(H321),"",ABS(H321-I321)/VLOOKUP(C321,設定!$B$9:$D$23,2,FALSE)),"")</f>
        <v/>
      </c>
      <c r="O321" s="48">
        <f>IFERROR(IF(ISBLANK(J321),"",ABS(J321-H321)/ABS(H321-I321)),"")</f>
        <v/>
      </c>
      <c r="P321" s="50">
        <f>IFERROR(IF(OR(ISBLANK(L321),ISBLANK(E321)),"",IF(E321="Long",(L321-H321),(H321-L321))/VLOOKUP(C321,設定!$B$9:$D$23,2,FALSE)),"")</f>
        <v/>
      </c>
      <c r="Q321" s="51">
        <f>IFERROR(IF(OR(ISBLANK(P321),N321=0),"",P321/N321),"")</f>
        <v/>
      </c>
      <c r="R321" s="51">
        <f>IFERROR(IF(ISBLANK(Q321),R320,IF(ISNUMBER(R320),R320,0)+Q321),"")</f>
        <v/>
      </c>
      <c r="S321" s="52">
        <f>IFERROR(IF(OR(ISBLANK(P321),ISBLANK(K321)),"",P321*K321*VLOOKUP(C321,設定!$B$9:$D$23,3,FALSE)),"")</f>
        <v/>
      </c>
      <c r="T321" s="45" t="n"/>
    </row>
    <row r="322">
      <c r="A322" s="33">
        <f>IF(ISBLANK(B322),"",COUNTA($B$2:B322))</f>
        <v/>
      </c>
      <c r="B322" s="34" t="n"/>
      <c r="C322" s="35" t="n"/>
      <c r="D322" s="35" t="n"/>
      <c r="E322" s="35" t="n"/>
      <c r="F322" s="33" t="n"/>
      <c r="G322" s="36" t="n"/>
      <c r="H322" s="37" t="n"/>
      <c r="I322" s="37" t="n"/>
      <c r="J322" s="37" t="n"/>
      <c r="K322" s="38" t="n"/>
      <c r="L322" s="37" t="n"/>
      <c r="M322" s="35" t="n"/>
      <c r="N322" s="39">
        <f>IFERROR(IF(ISBLANK(H322),"",ABS(H322-I322)/VLOOKUP(C322,設定!$B$9:$D$23,2,FALSE)),"")</f>
        <v/>
      </c>
      <c r="O322" s="38">
        <f>IFERROR(IF(ISBLANK(J322),"",ABS(J322-H322)/ABS(H322-I322)),"")</f>
        <v/>
      </c>
      <c r="P322" s="40">
        <f>IFERROR(IF(OR(ISBLANK(L322),ISBLANK(E322)),"",IF(E322="Long",(L322-H322),(H322-L322))/VLOOKUP(C322,設定!$B$9:$D$23,2,FALSE)),"")</f>
        <v/>
      </c>
      <c r="Q322" s="41">
        <f>IFERROR(IF(OR(ISBLANK(P322),N322=0),"",P322/N322),"")</f>
        <v/>
      </c>
      <c r="R322" s="41">
        <f>IFERROR(IF(ISBLANK(Q322),R321,IF(ISNUMBER(R321),R321,0)+Q322),"")</f>
        <v/>
      </c>
      <c r="S322" s="42">
        <f>IFERROR(IF(OR(ISBLANK(P322),ISBLANK(K322)),"",P322*K322*VLOOKUP(C322,設定!$B$9:$D$23,3,FALSE)),"")</f>
        <v/>
      </c>
      <c r="T322" s="35" t="n"/>
    </row>
    <row r="323">
      <c r="A323" s="43">
        <f>IF(ISBLANK(B323),"",COUNTA($B$2:B323))</f>
        <v/>
      </c>
      <c r="B323" s="44" t="n"/>
      <c r="C323" s="45" t="n"/>
      <c r="D323" s="45" t="n"/>
      <c r="E323" s="45" t="n"/>
      <c r="F323" s="43" t="n"/>
      <c r="G323" s="46" t="n"/>
      <c r="H323" s="47" t="n"/>
      <c r="I323" s="47" t="n"/>
      <c r="J323" s="47" t="n"/>
      <c r="K323" s="48" t="n"/>
      <c r="L323" s="47" t="n"/>
      <c r="M323" s="45" t="n"/>
      <c r="N323" s="49">
        <f>IFERROR(IF(ISBLANK(H323),"",ABS(H323-I323)/VLOOKUP(C323,設定!$B$9:$D$23,2,FALSE)),"")</f>
        <v/>
      </c>
      <c r="O323" s="48">
        <f>IFERROR(IF(ISBLANK(J323),"",ABS(J323-H323)/ABS(H323-I323)),"")</f>
        <v/>
      </c>
      <c r="P323" s="50">
        <f>IFERROR(IF(OR(ISBLANK(L323),ISBLANK(E323)),"",IF(E323="Long",(L323-H323),(H323-L323))/VLOOKUP(C323,設定!$B$9:$D$23,2,FALSE)),"")</f>
        <v/>
      </c>
      <c r="Q323" s="51">
        <f>IFERROR(IF(OR(ISBLANK(P323),N323=0),"",P323/N323),"")</f>
        <v/>
      </c>
      <c r="R323" s="51">
        <f>IFERROR(IF(ISBLANK(Q323),R322,IF(ISNUMBER(R322),R322,0)+Q323),"")</f>
        <v/>
      </c>
      <c r="S323" s="52">
        <f>IFERROR(IF(OR(ISBLANK(P323),ISBLANK(K323)),"",P323*K323*VLOOKUP(C323,設定!$B$9:$D$23,3,FALSE)),"")</f>
        <v/>
      </c>
      <c r="T323" s="45" t="n"/>
    </row>
    <row r="324">
      <c r="A324" s="33">
        <f>IF(ISBLANK(B324),"",COUNTA($B$2:B324))</f>
        <v/>
      </c>
      <c r="B324" s="34" t="n"/>
      <c r="C324" s="35" t="n"/>
      <c r="D324" s="35" t="n"/>
      <c r="E324" s="35" t="n"/>
      <c r="F324" s="33" t="n"/>
      <c r="G324" s="36" t="n"/>
      <c r="H324" s="37" t="n"/>
      <c r="I324" s="37" t="n"/>
      <c r="J324" s="37" t="n"/>
      <c r="K324" s="38" t="n"/>
      <c r="L324" s="37" t="n"/>
      <c r="M324" s="35" t="n"/>
      <c r="N324" s="39">
        <f>IFERROR(IF(ISBLANK(H324),"",ABS(H324-I324)/VLOOKUP(C324,設定!$B$9:$D$23,2,FALSE)),"")</f>
        <v/>
      </c>
      <c r="O324" s="38">
        <f>IFERROR(IF(ISBLANK(J324),"",ABS(J324-H324)/ABS(H324-I324)),"")</f>
        <v/>
      </c>
      <c r="P324" s="40">
        <f>IFERROR(IF(OR(ISBLANK(L324),ISBLANK(E324)),"",IF(E324="Long",(L324-H324),(H324-L324))/VLOOKUP(C324,設定!$B$9:$D$23,2,FALSE)),"")</f>
        <v/>
      </c>
      <c r="Q324" s="41">
        <f>IFERROR(IF(OR(ISBLANK(P324),N324=0),"",P324/N324),"")</f>
        <v/>
      </c>
      <c r="R324" s="41">
        <f>IFERROR(IF(ISBLANK(Q324),R323,IF(ISNUMBER(R323),R323,0)+Q324),"")</f>
        <v/>
      </c>
      <c r="S324" s="42">
        <f>IFERROR(IF(OR(ISBLANK(P324),ISBLANK(K324)),"",P324*K324*VLOOKUP(C324,設定!$B$9:$D$23,3,FALSE)),"")</f>
        <v/>
      </c>
      <c r="T324" s="35" t="n"/>
    </row>
    <row r="325">
      <c r="A325" s="43">
        <f>IF(ISBLANK(B325),"",COUNTA($B$2:B325))</f>
        <v/>
      </c>
      <c r="B325" s="44" t="n"/>
      <c r="C325" s="45" t="n"/>
      <c r="D325" s="45" t="n"/>
      <c r="E325" s="45" t="n"/>
      <c r="F325" s="43" t="n"/>
      <c r="G325" s="46" t="n"/>
      <c r="H325" s="47" t="n"/>
      <c r="I325" s="47" t="n"/>
      <c r="J325" s="47" t="n"/>
      <c r="K325" s="48" t="n"/>
      <c r="L325" s="47" t="n"/>
      <c r="M325" s="45" t="n"/>
      <c r="N325" s="49">
        <f>IFERROR(IF(ISBLANK(H325),"",ABS(H325-I325)/VLOOKUP(C325,設定!$B$9:$D$23,2,FALSE)),"")</f>
        <v/>
      </c>
      <c r="O325" s="48">
        <f>IFERROR(IF(ISBLANK(J325),"",ABS(J325-H325)/ABS(H325-I325)),"")</f>
        <v/>
      </c>
      <c r="P325" s="50">
        <f>IFERROR(IF(OR(ISBLANK(L325),ISBLANK(E325)),"",IF(E325="Long",(L325-H325),(H325-L325))/VLOOKUP(C325,設定!$B$9:$D$23,2,FALSE)),"")</f>
        <v/>
      </c>
      <c r="Q325" s="51">
        <f>IFERROR(IF(OR(ISBLANK(P325),N325=0),"",P325/N325),"")</f>
        <v/>
      </c>
      <c r="R325" s="51">
        <f>IFERROR(IF(ISBLANK(Q325),R324,IF(ISNUMBER(R324),R324,0)+Q325),"")</f>
        <v/>
      </c>
      <c r="S325" s="52">
        <f>IFERROR(IF(OR(ISBLANK(P325),ISBLANK(K325)),"",P325*K325*VLOOKUP(C325,設定!$B$9:$D$23,3,FALSE)),"")</f>
        <v/>
      </c>
      <c r="T325" s="45" t="n"/>
    </row>
    <row r="326">
      <c r="A326" s="33">
        <f>IF(ISBLANK(B326),"",COUNTA($B$2:B326))</f>
        <v/>
      </c>
      <c r="B326" s="34" t="n"/>
      <c r="C326" s="35" t="n"/>
      <c r="D326" s="35" t="n"/>
      <c r="E326" s="35" t="n"/>
      <c r="F326" s="33" t="n"/>
      <c r="G326" s="36" t="n"/>
      <c r="H326" s="37" t="n"/>
      <c r="I326" s="37" t="n"/>
      <c r="J326" s="37" t="n"/>
      <c r="K326" s="38" t="n"/>
      <c r="L326" s="37" t="n"/>
      <c r="M326" s="35" t="n"/>
      <c r="N326" s="39">
        <f>IFERROR(IF(ISBLANK(H326),"",ABS(H326-I326)/VLOOKUP(C326,設定!$B$9:$D$23,2,FALSE)),"")</f>
        <v/>
      </c>
      <c r="O326" s="38">
        <f>IFERROR(IF(ISBLANK(J326),"",ABS(J326-H326)/ABS(H326-I326)),"")</f>
        <v/>
      </c>
      <c r="P326" s="40">
        <f>IFERROR(IF(OR(ISBLANK(L326),ISBLANK(E326)),"",IF(E326="Long",(L326-H326),(H326-L326))/VLOOKUP(C326,設定!$B$9:$D$23,2,FALSE)),"")</f>
        <v/>
      </c>
      <c r="Q326" s="41">
        <f>IFERROR(IF(OR(ISBLANK(P326),N326=0),"",P326/N326),"")</f>
        <v/>
      </c>
      <c r="R326" s="41">
        <f>IFERROR(IF(ISBLANK(Q326),R325,IF(ISNUMBER(R325),R325,0)+Q326),"")</f>
        <v/>
      </c>
      <c r="S326" s="42">
        <f>IFERROR(IF(OR(ISBLANK(P326),ISBLANK(K326)),"",P326*K326*VLOOKUP(C326,設定!$B$9:$D$23,3,FALSE)),"")</f>
        <v/>
      </c>
      <c r="T326" s="35" t="n"/>
    </row>
    <row r="327">
      <c r="A327" s="43">
        <f>IF(ISBLANK(B327),"",COUNTA($B$2:B327))</f>
        <v/>
      </c>
      <c r="B327" s="44" t="n"/>
      <c r="C327" s="45" t="n"/>
      <c r="D327" s="45" t="n"/>
      <c r="E327" s="45" t="n"/>
      <c r="F327" s="43" t="n"/>
      <c r="G327" s="46" t="n"/>
      <c r="H327" s="47" t="n"/>
      <c r="I327" s="47" t="n"/>
      <c r="J327" s="47" t="n"/>
      <c r="K327" s="48" t="n"/>
      <c r="L327" s="47" t="n"/>
      <c r="M327" s="45" t="n"/>
      <c r="N327" s="49">
        <f>IFERROR(IF(ISBLANK(H327),"",ABS(H327-I327)/VLOOKUP(C327,設定!$B$9:$D$23,2,FALSE)),"")</f>
        <v/>
      </c>
      <c r="O327" s="48">
        <f>IFERROR(IF(ISBLANK(J327),"",ABS(J327-H327)/ABS(H327-I327)),"")</f>
        <v/>
      </c>
      <c r="P327" s="50">
        <f>IFERROR(IF(OR(ISBLANK(L327),ISBLANK(E327)),"",IF(E327="Long",(L327-H327),(H327-L327))/VLOOKUP(C327,設定!$B$9:$D$23,2,FALSE)),"")</f>
        <v/>
      </c>
      <c r="Q327" s="51">
        <f>IFERROR(IF(OR(ISBLANK(P327),N327=0),"",P327/N327),"")</f>
        <v/>
      </c>
      <c r="R327" s="51">
        <f>IFERROR(IF(ISBLANK(Q327),R326,IF(ISNUMBER(R326),R326,0)+Q327),"")</f>
        <v/>
      </c>
      <c r="S327" s="52">
        <f>IFERROR(IF(OR(ISBLANK(P327),ISBLANK(K327)),"",P327*K327*VLOOKUP(C327,設定!$B$9:$D$23,3,FALSE)),"")</f>
        <v/>
      </c>
      <c r="T327" s="45" t="n"/>
    </row>
    <row r="328">
      <c r="A328" s="33">
        <f>IF(ISBLANK(B328),"",COUNTA($B$2:B328))</f>
        <v/>
      </c>
      <c r="B328" s="34" t="n"/>
      <c r="C328" s="35" t="n"/>
      <c r="D328" s="35" t="n"/>
      <c r="E328" s="35" t="n"/>
      <c r="F328" s="33" t="n"/>
      <c r="G328" s="36" t="n"/>
      <c r="H328" s="37" t="n"/>
      <c r="I328" s="37" t="n"/>
      <c r="J328" s="37" t="n"/>
      <c r="K328" s="38" t="n"/>
      <c r="L328" s="37" t="n"/>
      <c r="M328" s="35" t="n"/>
      <c r="N328" s="39">
        <f>IFERROR(IF(ISBLANK(H328),"",ABS(H328-I328)/VLOOKUP(C328,設定!$B$9:$D$23,2,FALSE)),"")</f>
        <v/>
      </c>
      <c r="O328" s="38">
        <f>IFERROR(IF(ISBLANK(J328),"",ABS(J328-H328)/ABS(H328-I328)),"")</f>
        <v/>
      </c>
      <c r="P328" s="40">
        <f>IFERROR(IF(OR(ISBLANK(L328),ISBLANK(E328)),"",IF(E328="Long",(L328-H328),(H328-L328))/VLOOKUP(C328,設定!$B$9:$D$23,2,FALSE)),"")</f>
        <v/>
      </c>
      <c r="Q328" s="41">
        <f>IFERROR(IF(OR(ISBLANK(P328),N328=0),"",P328/N328),"")</f>
        <v/>
      </c>
      <c r="R328" s="41">
        <f>IFERROR(IF(ISBLANK(Q328),R327,IF(ISNUMBER(R327),R327,0)+Q328),"")</f>
        <v/>
      </c>
      <c r="S328" s="42">
        <f>IFERROR(IF(OR(ISBLANK(P328),ISBLANK(K328)),"",P328*K328*VLOOKUP(C328,設定!$B$9:$D$23,3,FALSE)),"")</f>
        <v/>
      </c>
      <c r="T328" s="35" t="n"/>
    </row>
    <row r="329">
      <c r="A329" s="43">
        <f>IF(ISBLANK(B329),"",COUNTA($B$2:B329))</f>
        <v/>
      </c>
      <c r="B329" s="44" t="n"/>
      <c r="C329" s="45" t="n"/>
      <c r="D329" s="45" t="n"/>
      <c r="E329" s="45" t="n"/>
      <c r="F329" s="43" t="n"/>
      <c r="G329" s="46" t="n"/>
      <c r="H329" s="47" t="n"/>
      <c r="I329" s="47" t="n"/>
      <c r="J329" s="47" t="n"/>
      <c r="K329" s="48" t="n"/>
      <c r="L329" s="47" t="n"/>
      <c r="M329" s="45" t="n"/>
      <c r="N329" s="49">
        <f>IFERROR(IF(ISBLANK(H329),"",ABS(H329-I329)/VLOOKUP(C329,設定!$B$9:$D$23,2,FALSE)),"")</f>
        <v/>
      </c>
      <c r="O329" s="48">
        <f>IFERROR(IF(ISBLANK(J329),"",ABS(J329-H329)/ABS(H329-I329)),"")</f>
        <v/>
      </c>
      <c r="P329" s="50">
        <f>IFERROR(IF(OR(ISBLANK(L329),ISBLANK(E329)),"",IF(E329="Long",(L329-H329),(H329-L329))/VLOOKUP(C329,設定!$B$9:$D$23,2,FALSE)),"")</f>
        <v/>
      </c>
      <c r="Q329" s="51">
        <f>IFERROR(IF(OR(ISBLANK(P329),N329=0),"",P329/N329),"")</f>
        <v/>
      </c>
      <c r="R329" s="51">
        <f>IFERROR(IF(ISBLANK(Q329),R328,IF(ISNUMBER(R328),R328,0)+Q329),"")</f>
        <v/>
      </c>
      <c r="S329" s="52">
        <f>IFERROR(IF(OR(ISBLANK(P329),ISBLANK(K329)),"",P329*K329*VLOOKUP(C329,設定!$B$9:$D$23,3,FALSE)),"")</f>
        <v/>
      </c>
      <c r="T329" s="45" t="n"/>
    </row>
    <row r="330">
      <c r="A330" s="33">
        <f>IF(ISBLANK(B330),"",COUNTA($B$2:B330))</f>
        <v/>
      </c>
      <c r="B330" s="34" t="n"/>
      <c r="C330" s="35" t="n"/>
      <c r="D330" s="35" t="n"/>
      <c r="E330" s="35" t="n"/>
      <c r="F330" s="33" t="n"/>
      <c r="G330" s="36" t="n"/>
      <c r="H330" s="37" t="n"/>
      <c r="I330" s="37" t="n"/>
      <c r="J330" s="37" t="n"/>
      <c r="K330" s="38" t="n"/>
      <c r="L330" s="37" t="n"/>
      <c r="M330" s="35" t="n"/>
      <c r="N330" s="39">
        <f>IFERROR(IF(ISBLANK(H330),"",ABS(H330-I330)/VLOOKUP(C330,設定!$B$9:$D$23,2,FALSE)),"")</f>
        <v/>
      </c>
      <c r="O330" s="38">
        <f>IFERROR(IF(ISBLANK(J330),"",ABS(J330-H330)/ABS(H330-I330)),"")</f>
        <v/>
      </c>
      <c r="P330" s="40">
        <f>IFERROR(IF(OR(ISBLANK(L330),ISBLANK(E330)),"",IF(E330="Long",(L330-H330),(H330-L330))/VLOOKUP(C330,設定!$B$9:$D$23,2,FALSE)),"")</f>
        <v/>
      </c>
      <c r="Q330" s="41">
        <f>IFERROR(IF(OR(ISBLANK(P330),N330=0),"",P330/N330),"")</f>
        <v/>
      </c>
      <c r="R330" s="41">
        <f>IFERROR(IF(ISBLANK(Q330),R329,IF(ISNUMBER(R329),R329,0)+Q330),"")</f>
        <v/>
      </c>
      <c r="S330" s="42">
        <f>IFERROR(IF(OR(ISBLANK(P330),ISBLANK(K330)),"",P330*K330*VLOOKUP(C330,設定!$B$9:$D$23,3,FALSE)),"")</f>
        <v/>
      </c>
      <c r="T330" s="35" t="n"/>
    </row>
    <row r="331">
      <c r="A331" s="43">
        <f>IF(ISBLANK(B331),"",COUNTA($B$2:B331))</f>
        <v/>
      </c>
      <c r="B331" s="44" t="n"/>
      <c r="C331" s="45" t="n"/>
      <c r="D331" s="45" t="n"/>
      <c r="E331" s="45" t="n"/>
      <c r="F331" s="43" t="n"/>
      <c r="G331" s="46" t="n"/>
      <c r="H331" s="47" t="n"/>
      <c r="I331" s="47" t="n"/>
      <c r="J331" s="47" t="n"/>
      <c r="K331" s="48" t="n"/>
      <c r="L331" s="47" t="n"/>
      <c r="M331" s="45" t="n"/>
      <c r="N331" s="49">
        <f>IFERROR(IF(ISBLANK(H331),"",ABS(H331-I331)/VLOOKUP(C331,設定!$B$9:$D$23,2,FALSE)),"")</f>
        <v/>
      </c>
      <c r="O331" s="48">
        <f>IFERROR(IF(ISBLANK(J331),"",ABS(J331-H331)/ABS(H331-I331)),"")</f>
        <v/>
      </c>
      <c r="P331" s="50">
        <f>IFERROR(IF(OR(ISBLANK(L331),ISBLANK(E331)),"",IF(E331="Long",(L331-H331),(H331-L331))/VLOOKUP(C331,設定!$B$9:$D$23,2,FALSE)),"")</f>
        <v/>
      </c>
      <c r="Q331" s="51">
        <f>IFERROR(IF(OR(ISBLANK(P331),N331=0),"",P331/N331),"")</f>
        <v/>
      </c>
      <c r="R331" s="51">
        <f>IFERROR(IF(ISBLANK(Q331),R330,IF(ISNUMBER(R330),R330,0)+Q331),"")</f>
        <v/>
      </c>
      <c r="S331" s="52">
        <f>IFERROR(IF(OR(ISBLANK(P331),ISBLANK(K331)),"",P331*K331*VLOOKUP(C331,設定!$B$9:$D$23,3,FALSE)),"")</f>
        <v/>
      </c>
      <c r="T331" s="45" t="n"/>
    </row>
    <row r="332">
      <c r="A332" s="33">
        <f>IF(ISBLANK(B332),"",COUNTA($B$2:B332))</f>
        <v/>
      </c>
      <c r="B332" s="34" t="n"/>
      <c r="C332" s="35" t="n"/>
      <c r="D332" s="35" t="n"/>
      <c r="E332" s="35" t="n"/>
      <c r="F332" s="33" t="n"/>
      <c r="G332" s="36" t="n"/>
      <c r="H332" s="37" t="n"/>
      <c r="I332" s="37" t="n"/>
      <c r="J332" s="37" t="n"/>
      <c r="K332" s="38" t="n"/>
      <c r="L332" s="37" t="n"/>
      <c r="M332" s="35" t="n"/>
      <c r="N332" s="39">
        <f>IFERROR(IF(ISBLANK(H332),"",ABS(H332-I332)/VLOOKUP(C332,設定!$B$9:$D$23,2,FALSE)),"")</f>
        <v/>
      </c>
      <c r="O332" s="38">
        <f>IFERROR(IF(ISBLANK(J332),"",ABS(J332-H332)/ABS(H332-I332)),"")</f>
        <v/>
      </c>
      <c r="P332" s="40">
        <f>IFERROR(IF(OR(ISBLANK(L332),ISBLANK(E332)),"",IF(E332="Long",(L332-H332),(H332-L332))/VLOOKUP(C332,設定!$B$9:$D$23,2,FALSE)),"")</f>
        <v/>
      </c>
      <c r="Q332" s="41">
        <f>IFERROR(IF(OR(ISBLANK(P332),N332=0),"",P332/N332),"")</f>
        <v/>
      </c>
      <c r="R332" s="41">
        <f>IFERROR(IF(ISBLANK(Q332),R331,IF(ISNUMBER(R331),R331,0)+Q332),"")</f>
        <v/>
      </c>
      <c r="S332" s="42">
        <f>IFERROR(IF(OR(ISBLANK(P332),ISBLANK(K332)),"",P332*K332*VLOOKUP(C332,設定!$B$9:$D$23,3,FALSE)),"")</f>
        <v/>
      </c>
      <c r="T332" s="35" t="n"/>
    </row>
    <row r="333">
      <c r="A333" s="43">
        <f>IF(ISBLANK(B333),"",COUNTA($B$2:B333))</f>
        <v/>
      </c>
      <c r="B333" s="44" t="n"/>
      <c r="C333" s="45" t="n"/>
      <c r="D333" s="45" t="n"/>
      <c r="E333" s="45" t="n"/>
      <c r="F333" s="43" t="n"/>
      <c r="G333" s="46" t="n"/>
      <c r="H333" s="47" t="n"/>
      <c r="I333" s="47" t="n"/>
      <c r="J333" s="47" t="n"/>
      <c r="K333" s="48" t="n"/>
      <c r="L333" s="47" t="n"/>
      <c r="M333" s="45" t="n"/>
      <c r="N333" s="49">
        <f>IFERROR(IF(ISBLANK(H333),"",ABS(H333-I333)/VLOOKUP(C333,設定!$B$9:$D$23,2,FALSE)),"")</f>
        <v/>
      </c>
      <c r="O333" s="48">
        <f>IFERROR(IF(ISBLANK(J333),"",ABS(J333-H333)/ABS(H333-I333)),"")</f>
        <v/>
      </c>
      <c r="P333" s="50">
        <f>IFERROR(IF(OR(ISBLANK(L333),ISBLANK(E333)),"",IF(E333="Long",(L333-H333),(H333-L333))/VLOOKUP(C333,設定!$B$9:$D$23,2,FALSE)),"")</f>
        <v/>
      </c>
      <c r="Q333" s="51">
        <f>IFERROR(IF(OR(ISBLANK(P333),N333=0),"",P333/N333),"")</f>
        <v/>
      </c>
      <c r="R333" s="51">
        <f>IFERROR(IF(ISBLANK(Q333),R332,IF(ISNUMBER(R332),R332,0)+Q333),"")</f>
        <v/>
      </c>
      <c r="S333" s="52">
        <f>IFERROR(IF(OR(ISBLANK(P333),ISBLANK(K333)),"",P333*K333*VLOOKUP(C333,設定!$B$9:$D$23,3,FALSE)),"")</f>
        <v/>
      </c>
      <c r="T333" s="45" t="n"/>
    </row>
    <row r="334">
      <c r="A334" s="33">
        <f>IF(ISBLANK(B334),"",COUNTA($B$2:B334))</f>
        <v/>
      </c>
      <c r="B334" s="34" t="n"/>
      <c r="C334" s="35" t="n"/>
      <c r="D334" s="35" t="n"/>
      <c r="E334" s="35" t="n"/>
      <c r="F334" s="33" t="n"/>
      <c r="G334" s="36" t="n"/>
      <c r="H334" s="37" t="n"/>
      <c r="I334" s="37" t="n"/>
      <c r="J334" s="37" t="n"/>
      <c r="K334" s="38" t="n"/>
      <c r="L334" s="37" t="n"/>
      <c r="M334" s="35" t="n"/>
      <c r="N334" s="39">
        <f>IFERROR(IF(ISBLANK(H334),"",ABS(H334-I334)/VLOOKUP(C334,設定!$B$9:$D$23,2,FALSE)),"")</f>
        <v/>
      </c>
      <c r="O334" s="38">
        <f>IFERROR(IF(ISBLANK(J334),"",ABS(J334-H334)/ABS(H334-I334)),"")</f>
        <v/>
      </c>
      <c r="P334" s="40">
        <f>IFERROR(IF(OR(ISBLANK(L334),ISBLANK(E334)),"",IF(E334="Long",(L334-H334),(H334-L334))/VLOOKUP(C334,設定!$B$9:$D$23,2,FALSE)),"")</f>
        <v/>
      </c>
      <c r="Q334" s="41">
        <f>IFERROR(IF(OR(ISBLANK(P334),N334=0),"",P334/N334),"")</f>
        <v/>
      </c>
      <c r="R334" s="41">
        <f>IFERROR(IF(ISBLANK(Q334),R333,IF(ISNUMBER(R333),R333,0)+Q334),"")</f>
        <v/>
      </c>
      <c r="S334" s="42">
        <f>IFERROR(IF(OR(ISBLANK(P334),ISBLANK(K334)),"",P334*K334*VLOOKUP(C334,設定!$B$9:$D$23,3,FALSE)),"")</f>
        <v/>
      </c>
      <c r="T334" s="35" t="n"/>
    </row>
    <row r="335">
      <c r="A335" s="43">
        <f>IF(ISBLANK(B335),"",COUNTA($B$2:B335))</f>
        <v/>
      </c>
      <c r="B335" s="44" t="n"/>
      <c r="C335" s="45" t="n"/>
      <c r="D335" s="45" t="n"/>
      <c r="E335" s="45" t="n"/>
      <c r="F335" s="43" t="n"/>
      <c r="G335" s="46" t="n"/>
      <c r="H335" s="47" t="n"/>
      <c r="I335" s="47" t="n"/>
      <c r="J335" s="47" t="n"/>
      <c r="K335" s="48" t="n"/>
      <c r="L335" s="47" t="n"/>
      <c r="M335" s="45" t="n"/>
      <c r="N335" s="49">
        <f>IFERROR(IF(ISBLANK(H335),"",ABS(H335-I335)/VLOOKUP(C335,設定!$B$9:$D$23,2,FALSE)),"")</f>
        <v/>
      </c>
      <c r="O335" s="48">
        <f>IFERROR(IF(ISBLANK(J335),"",ABS(J335-H335)/ABS(H335-I335)),"")</f>
        <v/>
      </c>
      <c r="P335" s="50">
        <f>IFERROR(IF(OR(ISBLANK(L335),ISBLANK(E335)),"",IF(E335="Long",(L335-H335),(H335-L335))/VLOOKUP(C335,設定!$B$9:$D$23,2,FALSE)),"")</f>
        <v/>
      </c>
      <c r="Q335" s="51">
        <f>IFERROR(IF(OR(ISBLANK(P335),N335=0),"",P335/N335),"")</f>
        <v/>
      </c>
      <c r="R335" s="51">
        <f>IFERROR(IF(ISBLANK(Q335),R334,IF(ISNUMBER(R334),R334,0)+Q335),"")</f>
        <v/>
      </c>
      <c r="S335" s="52">
        <f>IFERROR(IF(OR(ISBLANK(P335),ISBLANK(K335)),"",P335*K335*VLOOKUP(C335,設定!$B$9:$D$23,3,FALSE)),"")</f>
        <v/>
      </c>
      <c r="T335" s="45" t="n"/>
    </row>
    <row r="336">
      <c r="A336" s="33">
        <f>IF(ISBLANK(B336),"",COUNTA($B$2:B336))</f>
        <v/>
      </c>
      <c r="B336" s="34" t="n"/>
      <c r="C336" s="35" t="n"/>
      <c r="D336" s="35" t="n"/>
      <c r="E336" s="35" t="n"/>
      <c r="F336" s="33" t="n"/>
      <c r="G336" s="36" t="n"/>
      <c r="H336" s="37" t="n"/>
      <c r="I336" s="37" t="n"/>
      <c r="J336" s="37" t="n"/>
      <c r="K336" s="38" t="n"/>
      <c r="L336" s="37" t="n"/>
      <c r="M336" s="35" t="n"/>
      <c r="N336" s="39">
        <f>IFERROR(IF(ISBLANK(H336),"",ABS(H336-I336)/VLOOKUP(C336,設定!$B$9:$D$23,2,FALSE)),"")</f>
        <v/>
      </c>
      <c r="O336" s="38">
        <f>IFERROR(IF(ISBLANK(J336),"",ABS(J336-H336)/ABS(H336-I336)),"")</f>
        <v/>
      </c>
      <c r="P336" s="40">
        <f>IFERROR(IF(OR(ISBLANK(L336),ISBLANK(E336)),"",IF(E336="Long",(L336-H336),(H336-L336))/VLOOKUP(C336,設定!$B$9:$D$23,2,FALSE)),"")</f>
        <v/>
      </c>
      <c r="Q336" s="41">
        <f>IFERROR(IF(OR(ISBLANK(P336),N336=0),"",P336/N336),"")</f>
        <v/>
      </c>
      <c r="R336" s="41">
        <f>IFERROR(IF(ISBLANK(Q336),R335,IF(ISNUMBER(R335),R335,0)+Q336),"")</f>
        <v/>
      </c>
      <c r="S336" s="42">
        <f>IFERROR(IF(OR(ISBLANK(P336),ISBLANK(K336)),"",P336*K336*VLOOKUP(C336,設定!$B$9:$D$23,3,FALSE)),"")</f>
        <v/>
      </c>
      <c r="T336" s="35" t="n"/>
    </row>
    <row r="337">
      <c r="A337" s="43">
        <f>IF(ISBLANK(B337),"",COUNTA($B$2:B337))</f>
        <v/>
      </c>
      <c r="B337" s="44" t="n"/>
      <c r="C337" s="45" t="n"/>
      <c r="D337" s="45" t="n"/>
      <c r="E337" s="45" t="n"/>
      <c r="F337" s="43" t="n"/>
      <c r="G337" s="46" t="n"/>
      <c r="H337" s="47" t="n"/>
      <c r="I337" s="47" t="n"/>
      <c r="J337" s="47" t="n"/>
      <c r="K337" s="48" t="n"/>
      <c r="L337" s="47" t="n"/>
      <c r="M337" s="45" t="n"/>
      <c r="N337" s="49">
        <f>IFERROR(IF(ISBLANK(H337),"",ABS(H337-I337)/VLOOKUP(C337,設定!$B$9:$D$23,2,FALSE)),"")</f>
        <v/>
      </c>
      <c r="O337" s="48">
        <f>IFERROR(IF(ISBLANK(J337),"",ABS(J337-H337)/ABS(H337-I337)),"")</f>
        <v/>
      </c>
      <c r="P337" s="50">
        <f>IFERROR(IF(OR(ISBLANK(L337),ISBLANK(E337)),"",IF(E337="Long",(L337-H337),(H337-L337))/VLOOKUP(C337,設定!$B$9:$D$23,2,FALSE)),"")</f>
        <v/>
      </c>
      <c r="Q337" s="51">
        <f>IFERROR(IF(OR(ISBLANK(P337),N337=0),"",P337/N337),"")</f>
        <v/>
      </c>
      <c r="R337" s="51">
        <f>IFERROR(IF(ISBLANK(Q337),R336,IF(ISNUMBER(R336),R336,0)+Q337),"")</f>
        <v/>
      </c>
      <c r="S337" s="52">
        <f>IFERROR(IF(OR(ISBLANK(P337),ISBLANK(K337)),"",P337*K337*VLOOKUP(C337,設定!$B$9:$D$23,3,FALSE)),"")</f>
        <v/>
      </c>
      <c r="T337" s="45" t="n"/>
    </row>
    <row r="338">
      <c r="A338" s="33">
        <f>IF(ISBLANK(B338),"",COUNTA($B$2:B338))</f>
        <v/>
      </c>
      <c r="B338" s="34" t="n"/>
      <c r="C338" s="35" t="n"/>
      <c r="D338" s="35" t="n"/>
      <c r="E338" s="35" t="n"/>
      <c r="F338" s="33" t="n"/>
      <c r="G338" s="36" t="n"/>
      <c r="H338" s="37" t="n"/>
      <c r="I338" s="37" t="n"/>
      <c r="J338" s="37" t="n"/>
      <c r="K338" s="38" t="n"/>
      <c r="L338" s="37" t="n"/>
      <c r="M338" s="35" t="n"/>
      <c r="N338" s="39">
        <f>IFERROR(IF(ISBLANK(H338),"",ABS(H338-I338)/VLOOKUP(C338,設定!$B$9:$D$23,2,FALSE)),"")</f>
        <v/>
      </c>
      <c r="O338" s="38">
        <f>IFERROR(IF(ISBLANK(J338),"",ABS(J338-H338)/ABS(H338-I338)),"")</f>
        <v/>
      </c>
      <c r="P338" s="40">
        <f>IFERROR(IF(OR(ISBLANK(L338),ISBLANK(E338)),"",IF(E338="Long",(L338-H338),(H338-L338))/VLOOKUP(C338,設定!$B$9:$D$23,2,FALSE)),"")</f>
        <v/>
      </c>
      <c r="Q338" s="41">
        <f>IFERROR(IF(OR(ISBLANK(P338),N338=0),"",P338/N338),"")</f>
        <v/>
      </c>
      <c r="R338" s="41">
        <f>IFERROR(IF(ISBLANK(Q338),R337,IF(ISNUMBER(R337),R337,0)+Q338),"")</f>
        <v/>
      </c>
      <c r="S338" s="42">
        <f>IFERROR(IF(OR(ISBLANK(P338),ISBLANK(K338)),"",P338*K338*VLOOKUP(C338,設定!$B$9:$D$23,3,FALSE)),"")</f>
        <v/>
      </c>
      <c r="T338" s="35" t="n"/>
    </row>
    <row r="339">
      <c r="A339" s="43">
        <f>IF(ISBLANK(B339),"",COUNTA($B$2:B339))</f>
        <v/>
      </c>
      <c r="B339" s="44" t="n"/>
      <c r="C339" s="45" t="n"/>
      <c r="D339" s="45" t="n"/>
      <c r="E339" s="45" t="n"/>
      <c r="F339" s="43" t="n"/>
      <c r="G339" s="46" t="n"/>
      <c r="H339" s="47" t="n"/>
      <c r="I339" s="47" t="n"/>
      <c r="J339" s="47" t="n"/>
      <c r="K339" s="48" t="n"/>
      <c r="L339" s="47" t="n"/>
      <c r="M339" s="45" t="n"/>
      <c r="N339" s="49">
        <f>IFERROR(IF(ISBLANK(H339),"",ABS(H339-I339)/VLOOKUP(C339,設定!$B$9:$D$23,2,FALSE)),"")</f>
        <v/>
      </c>
      <c r="O339" s="48">
        <f>IFERROR(IF(ISBLANK(J339),"",ABS(J339-H339)/ABS(H339-I339)),"")</f>
        <v/>
      </c>
      <c r="P339" s="50">
        <f>IFERROR(IF(OR(ISBLANK(L339),ISBLANK(E339)),"",IF(E339="Long",(L339-H339),(H339-L339))/VLOOKUP(C339,設定!$B$9:$D$23,2,FALSE)),"")</f>
        <v/>
      </c>
      <c r="Q339" s="51">
        <f>IFERROR(IF(OR(ISBLANK(P339),N339=0),"",P339/N339),"")</f>
        <v/>
      </c>
      <c r="R339" s="51">
        <f>IFERROR(IF(ISBLANK(Q339),R338,IF(ISNUMBER(R338),R338,0)+Q339),"")</f>
        <v/>
      </c>
      <c r="S339" s="52">
        <f>IFERROR(IF(OR(ISBLANK(P339),ISBLANK(K339)),"",P339*K339*VLOOKUP(C339,設定!$B$9:$D$23,3,FALSE)),"")</f>
        <v/>
      </c>
      <c r="T339" s="45" t="n"/>
    </row>
    <row r="340">
      <c r="A340" s="33">
        <f>IF(ISBLANK(B340),"",COUNTA($B$2:B340))</f>
        <v/>
      </c>
      <c r="B340" s="34" t="n"/>
      <c r="C340" s="35" t="n"/>
      <c r="D340" s="35" t="n"/>
      <c r="E340" s="35" t="n"/>
      <c r="F340" s="33" t="n"/>
      <c r="G340" s="36" t="n"/>
      <c r="H340" s="37" t="n"/>
      <c r="I340" s="37" t="n"/>
      <c r="J340" s="37" t="n"/>
      <c r="K340" s="38" t="n"/>
      <c r="L340" s="37" t="n"/>
      <c r="M340" s="35" t="n"/>
      <c r="N340" s="39">
        <f>IFERROR(IF(ISBLANK(H340),"",ABS(H340-I340)/VLOOKUP(C340,設定!$B$9:$D$23,2,FALSE)),"")</f>
        <v/>
      </c>
      <c r="O340" s="38">
        <f>IFERROR(IF(ISBLANK(J340),"",ABS(J340-H340)/ABS(H340-I340)),"")</f>
        <v/>
      </c>
      <c r="P340" s="40">
        <f>IFERROR(IF(OR(ISBLANK(L340),ISBLANK(E340)),"",IF(E340="Long",(L340-H340),(H340-L340))/VLOOKUP(C340,設定!$B$9:$D$23,2,FALSE)),"")</f>
        <v/>
      </c>
      <c r="Q340" s="41">
        <f>IFERROR(IF(OR(ISBLANK(P340),N340=0),"",P340/N340),"")</f>
        <v/>
      </c>
      <c r="R340" s="41">
        <f>IFERROR(IF(ISBLANK(Q340),R339,IF(ISNUMBER(R339),R339,0)+Q340),"")</f>
        <v/>
      </c>
      <c r="S340" s="42">
        <f>IFERROR(IF(OR(ISBLANK(P340),ISBLANK(K340)),"",P340*K340*VLOOKUP(C340,設定!$B$9:$D$23,3,FALSE)),"")</f>
        <v/>
      </c>
      <c r="T340" s="35" t="n"/>
    </row>
    <row r="341">
      <c r="A341" s="43">
        <f>IF(ISBLANK(B341),"",COUNTA($B$2:B341))</f>
        <v/>
      </c>
      <c r="B341" s="44" t="n"/>
      <c r="C341" s="45" t="n"/>
      <c r="D341" s="45" t="n"/>
      <c r="E341" s="45" t="n"/>
      <c r="F341" s="43" t="n"/>
      <c r="G341" s="46" t="n"/>
      <c r="H341" s="47" t="n"/>
      <c r="I341" s="47" t="n"/>
      <c r="J341" s="47" t="n"/>
      <c r="K341" s="48" t="n"/>
      <c r="L341" s="47" t="n"/>
      <c r="M341" s="45" t="n"/>
      <c r="N341" s="49">
        <f>IFERROR(IF(ISBLANK(H341),"",ABS(H341-I341)/VLOOKUP(C341,設定!$B$9:$D$23,2,FALSE)),"")</f>
        <v/>
      </c>
      <c r="O341" s="48">
        <f>IFERROR(IF(ISBLANK(J341),"",ABS(J341-H341)/ABS(H341-I341)),"")</f>
        <v/>
      </c>
      <c r="P341" s="50">
        <f>IFERROR(IF(OR(ISBLANK(L341),ISBLANK(E341)),"",IF(E341="Long",(L341-H341),(H341-L341))/VLOOKUP(C341,設定!$B$9:$D$23,2,FALSE)),"")</f>
        <v/>
      </c>
      <c r="Q341" s="51">
        <f>IFERROR(IF(OR(ISBLANK(P341),N341=0),"",P341/N341),"")</f>
        <v/>
      </c>
      <c r="R341" s="51">
        <f>IFERROR(IF(ISBLANK(Q341),R340,IF(ISNUMBER(R340),R340,0)+Q341),"")</f>
        <v/>
      </c>
      <c r="S341" s="52">
        <f>IFERROR(IF(OR(ISBLANK(P341),ISBLANK(K341)),"",P341*K341*VLOOKUP(C341,設定!$B$9:$D$23,3,FALSE)),"")</f>
        <v/>
      </c>
      <c r="T341" s="45" t="n"/>
    </row>
    <row r="342">
      <c r="A342" s="33">
        <f>IF(ISBLANK(B342),"",COUNTA($B$2:B342))</f>
        <v/>
      </c>
      <c r="B342" s="34" t="n"/>
      <c r="C342" s="35" t="n"/>
      <c r="D342" s="35" t="n"/>
      <c r="E342" s="35" t="n"/>
      <c r="F342" s="33" t="n"/>
      <c r="G342" s="36" t="n"/>
      <c r="H342" s="37" t="n"/>
      <c r="I342" s="37" t="n"/>
      <c r="J342" s="37" t="n"/>
      <c r="K342" s="38" t="n"/>
      <c r="L342" s="37" t="n"/>
      <c r="M342" s="35" t="n"/>
      <c r="N342" s="39">
        <f>IFERROR(IF(ISBLANK(H342),"",ABS(H342-I342)/VLOOKUP(C342,設定!$B$9:$D$23,2,FALSE)),"")</f>
        <v/>
      </c>
      <c r="O342" s="38">
        <f>IFERROR(IF(ISBLANK(J342),"",ABS(J342-H342)/ABS(H342-I342)),"")</f>
        <v/>
      </c>
      <c r="P342" s="40">
        <f>IFERROR(IF(OR(ISBLANK(L342),ISBLANK(E342)),"",IF(E342="Long",(L342-H342),(H342-L342))/VLOOKUP(C342,設定!$B$9:$D$23,2,FALSE)),"")</f>
        <v/>
      </c>
      <c r="Q342" s="41">
        <f>IFERROR(IF(OR(ISBLANK(P342),N342=0),"",P342/N342),"")</f>
        <v/>
      </c>
      <c r="R342" s="41">
        <f>IFERROR(IF(ISBLANK(Q342),R341,IF(ISNUMBER(R341),R341,0)+Q342),"")</f>
        <v/>
      </c>
      <c r="S342" s="42">
        <f>IFERROR(IF(OR(ISBLANK(P342),ISBLANK(K342)),"",P342*K342*VLOOKUP(C342,設定!$B$9:$D$23,3,FALSE)),"")</f>
        <v/>
      </c>
      <c r="T342" s="35" t="n"/>
    </row>
    <row r="343">
      <c r="A343" s="43">
        <f>IF(ISBLANK(B343),"",COUNTA($B$2:B343))</f>
        <v/>
      </c>
      <c r="B343" s="44" t="n"/>
      <c r="C343" s="45" t="n"/>
      <c r="D343" s="45" t="n"/>
      <c r="E343" s="45" t="n"/>
      <c r="F343" s="43" t="n"/>
      <c r="G343" s="46" t="n"/>
      <c r="H343" s="47" t="n"/>
      <c r="I343" s="47" t="n"/>
      <c r="J343" s="47" t="n"/>
      <c r="K343" s="48" t="n"/>
      <c r="L343" s="47" t="n"/>
      <c r="M343" s="45" t="n"/>
      <c r="N343" s="49">
        <f>IFERROR(IF(ISBLANK(H343),"",ABS(H343-I343)/VLOOKUP(C343,設定!$B$9:$D$23,2,FALSE)),"")</f>
        <v/>
      </c>
      <c r="O343" s="48">
        <f>IFERROR(IF(ISBLANK(J343),"",ABS(J343-H343)/ABS(H343-I343)),"")</f>
        <v/>
      </c>
      <c r="P343" s="50">
        <f>IFERROR(IF(OR(ISBLANK(L343),ISBLANK(E343)),"",IF(E343="Long",(L343-H343),(H343-L343))/VLOOKUP(C343,設定!$B$9:$D$23,2,FALSE)),"")</f>
        <v/>
      </c>
      <c r="Q343" s="51">
        <f>IFERROR(IF(OR(ISBLANK(P343),N343=0),"",P343/N343),"")</f>
        <v/>
      </c>
      <c r="R343" s="51">
        <f>IFERROR(IF(ISBLANK(Q343),R342,IF(ISNUMBER(R342),R342,0)+Q343),"")</f>
        <v/>
      </c>
      <c r="S343" s="52">
        <f>IFERROR(IF(OR(ISBLANK(P343),ISBLANK(K343)),"",P343*K343*VLOOKUP(C343,設定!$B$9:$D$23,3,FALSE)),"")</f>
        <v/>
      </c>
      <c r="T343" s="45" t="n"/>
    </row>
    <row r="344">
      <c r="A344" s="33">
        <f>IF(ISBLANK(B344),"",COUNTA($B$2:B344))</f>
        <v/>
      </c>
      <c r="B344" s="34" t="n"/>
      <c r="C344" s="35" t="n"/>
      <c r="D344" s="35" t="n"/>
      <c r="E344" s="35" t="n"/>
      <c r="F344" s="33" t="n"/>
      <c r="G344" s="36" t="n"/>
      <c r="H344" s="37" t="n"/>
      <c r="I344" s="37" t="n"/>
      <c r="J344" s="37" t="n"/>
      <c r="K344" s="38" t="n"/>
      <c r="L344" s="37" t="n"/>
      <c r="M344" s="35" t="n"/>
      <c r="N344" s="39">
        <f>IFERROR(IF(ISBLANK(H344),"",ABS(H344-I344)/VLOOKUP(C344,設定!$B$9:$D$23,2,FALSE)),"")</f>
        <v/>
      </c>
      <c r="O344" s="38">
        <f>IFERROR(IF(ISBLANK(J344),"",ABS(J344-H344)/ABS(H344-I344)),"")</f>
        <v/>
      </c>
      <c r="P344" s="40">
        <f>IFERROR(IF(OR(ISBLANK(L344),ISBLANK(E344)),"",IF(E344="Long",(L344-H344),(H344-L344))/VLOOKUP(C344,設定!$B$9:$D$23,2,FALSE)),"")</f>
        <v/>
      </c>
      <c r="Q344" s="41">
        <f>IFERROR(IF(OR(ISBLANK(P344),N344=0),"",P344/N344),"")</f>
        <v/>
      </c>
      <c r="R344" s="41">
        <f>IFERROR(IF(ISBLANK(Q344),R343,IF(ISNUMBER(R343),R343,0)+Q344),"")</f>
        <v/>
      </c>
      <c r="S344" s="42">
        <f>IFERROR(IF(OR(ISBLANK(P344),ISBLANK(K344)),"",P344*K344*VLOOKUP(C344,設定!$B$9:$D$23,3,FALSE)),"")</f>
        <v/>
      </c>
      <c r="T344" s="35" t="n"/>
    </row>
    <row r="345">
      <c r="A345" s="43">
        <f>IF(ISBLANK(B345),"",COUNTA($B$2:B345))</f>
        <v/>
      </c>
      <c r="B345" s="44" t="n"/>
      <c r="C345" s="45" t="n"/>
      <c r="D345" s="45" t="n"/>
      <c r="E345" s="45" t="n"/>
      <c r="F345" s="43" t="n"/>
      <c r="G345" s="46" t="n"/>
      <c r="H345" s="47" t="n"/>
      <c r="I345" s="47" t="n"/>
      <c r="J345" s="47" t="n"/>
      <c r="K345" s="48" t="n"/>
      <c r="L345" s="47" t="n"/>
      <c r="M345" s="45" t="n"/>
      <c r="N345" s="49">
        <f>IFERROR(IF(ISBLANK(H345),"",ABS(H345-I345)/VLOOKUP(C345,設定!$B$9:$D$23,2,FALSE)),"")</f>
        <v/>
      </c>
      <c r="O345" s="48">
        <f>IFERROR(IF(ISBLANK(J345),"",ABS(J345-H345)/ABS(H345-I345)),"")</f>
        <v/>
      </c>
      <c r="P345" s="50">
        <f>IFERROR(IF(OR(ISBLANK(L345),ISBLANK(E345)),"",IF(E345="Long",(L345-H345),(H345-L345))/VLOOKUP(C345,設定!$B$9:$D$23,2,FALSE)),"")</f>
        <v/>
      </c>
      <c r="Q345" s="51">
        <f>IFERROR(IF(OR(ISBLANK(P345),N345=0),"",P345/N345),"")</f>
        <v/>
      </c>
      <c r="R345" s="51">
        <f>IFERROR(IF(ISBLANK(Q345),R344,IF(ISNUMBER(R344),R344,0)+Q345),"")</f>
        <v/>
      </c>
      <c r="S345" s="52">
        <f>IFERROR(IF(OR(ISBLANK(P345),ISBLANK(K345)),"",P345*K345*VLOOKUP(C345,設定!$B$9:$D$23,3,FALSE)),"")</f>
        <v/>
      </c>
      <c r="T345" s="45" t="n"/>
    </row>
    <row r="346">
      <c r="A346" s="33">
        <f>IF(ISBLANK(B346),"",COUNTA($B$2:B346))</f>
        <v/>
      </c>
      <c r="B346" s="34" t="n"/>
      <c r="C346" s="35" t="n"/>
      <c r="D346" s="35" t="n"/>
      <c r="E346" s="35" t="n"/>
      <c r="F346" s="33" t="n"/>
      <c r="G346" s="36" t="n"/>
      <c r="H346" s="37" t="n"/>
      <c r="I346" s="37" t="n"/>
      <c r="J346" s="37" t="n"/>
      <c r="K346" s="38" t="n"/>
      <c r="L346" s="37" t="n"/>
      <c r="M346" s="35" t="n"/>
      <c r="N346" s="39">
        <f>IFERROR(IF(ISBLANK(H346),"",ABS(H346-I346)/VLOOKUP(C346,設定!$B$9:$D$23,2,FALSE)),"")</f>
        <v/>
      </c>
      <c r="O346" s="38">
        <f>IFERROR(IF(ISBLANK(J346),"",ABS(J346-H346)/ABS(H346-I346)),"")</f>
        <v/>
      </c>
      <c r="P346" s="40">
        <f>IFERROR(IF(OR(ISBLANK(L346),ISBLANK(E346)),"",IF(E346="Long",(L346-H346),(H346-L346))/VLOOKUP(C346,設定!$B$9:$D$23,2,FALSE)),"")</f>
        <v/>
      </c>
      <c r="Q346" s="41">
        <f>IFERROR(IF(OR(ISBLANK(P346),N346=0),"",P346/N346),"")</f>
        <v/>
      </c>
      <c r="R346" s="41">
        <f>IFERROR(IF(ISBLANK(Q346),R345,IF(ISNUMBER(R345),R345,0)+Q346),"")</f>
        <v/>
      </c>
      <c r="S346" s="42">
        <f>IFERROR(IF(OR(ISBLANK(P346),ISBLANK(K346)),"",P346*K346*VLOOKUP(C346,設定!$B$9:$D$23,3,FALSE)),"")</f>
        <v/>
      </c>
      <c r="T346" s="35" t="n"/>
    </row>
    <row r="347">
      <c r="A347" s="43">
        <f>IF(ISBLANK(B347),"",COUNTA($B$2:B347))</f>
        <v/>
      </c>
      <c r="B347" s="44" t="n"/>
      <c r="C347" s="45" t="n"/>
      <c r="D347" s="45" t="n"/>
      <c r="E347" s="45" t="n"/>
      <c r="F347" s="43" t="n"/>
      <c r="G347" s="46" t="n"/>
      <c r="H347" s="47" t="n"/>
      <c r="I347" s="47" t="n"/>
      <c r="J347" s="47" t="n"/>
      <c r="K347" s="48" t="n"/>
      <c r="L347" s="47" t="n"/>
      <c r="M347" s="45" t="n"/>
      <c r="N347" s="49">
        <f>IFERROR(IF(ISBLANK(H347),"",ABS(H347-I347)/VLOOKUP(C347,設定!$B$9:$D$23,2,FALSE)),"")</f>
        <v/>
      </c>
      <c r="O347" s="48">
        <f>IFERROR(IF(ISBLANK(J347),"",ABS(J347-H347)/ABS(H347-I347)),"")</f>
        <v/>
      </c>
      <c r="P347" s="50">
        <f>IFERROR(IF(OR(ISBLANK(L347),ISBLANK(E347)),"",IF(E347="Long",(L347-H347),(H347-L347))/VLOOKUP(C347,設定!$B$9:$D$23,2,FALSE)),"")</f>
        <v/>
      </c>
      <c r="Q347" s="51">
        <f>IFERROR(IF(OR(ISBLANK(P347),N347=0),"",P347/N347),"")</f>
        <v/>
      </c>
      <c r="R347" s="51">
        <f>IFERROR(IF(ISBLANK(Q347),R346,IF(ISNUMBER(R346),R346,0)+Q347),"")</f>
        <v/>
      </c>
      <c r="S347" s="52">
        <f>IFERROR(IF(OR(ISBLANK(P347),ISBLANK(K347)),"",P347*K347*VLOOKUP(C347,設定!$B$9:$D$23,3,FALSE)),"")</f>
        <v/>
      </c>
      <c r="T347" s="45" t="n"/>
    </row>
    <row r="348">
      <c r="A348" s="33">
        <f>IF(ISBLANK(B348),"",COUNTA($B$2:B348))</f>
        <v/>
      </c>
      <c r="B348" s="34" t="n"/>
      <c r="C348" s="35" t="n"/>
      <c r="D348" s="35" t="n"/>
      <c r="E348" s="35" t="n"/>
      <c r="F348" s="33" t="n"/>
      <c r="G348" s="36" t="n"/>
      <c r="H348" s="37" t="n"/>
      <c r="I348" s="37" t="n"/>
      <c r="J348" s="37" t="n"/>
      <c r="K348" s="38" t="n"/>
      <c r="L348" s="37" t="n"/>
      <c r="M348" s="35" t="n"/>
      <c r="N348" s="39">
        <f>IFERROR(IF(ISBLANK(H348),"",ABS(H348-I348)/VLOOKUP(C348,設定!$B$9:$D$23,2,FALSE)),"")</f>
        <v/>
      </c>
      <c r="O348" s="38">
        <f>IFERROR(IF(ISBLANK(J348),"",ABS(J348-H348)/ABS(H348-I348)),"")</f>
        <v/>
      </c>
      <c r="P348" s="40">
        <f>IFERROR(IF(OR(ISBLANK(L348),ISBLANK(E348)),"",IF(E348="Long",(L348-H348),(H348-L348))/VLOOKUP(C348,設定!$B$9:$D$23,2,FALSE)),"")</f>
        <v/>
      </c>
      <c r="Q348" s="41">
        <f>IFERROR(IF(OR(ISBLANK(P348),N348=0),"",P348/N348),"")</f>
        <v/>
      </c>
      <c r="R348" s="41">
        <f>IFERROR(IF(ISBLANK(Q348),R347,IF(ISNUMBER(R347),R347,0)+Q348),"")</f>
        <v/>
      </c>
      <c r="S348" s="42">
        <f>IFERROR(IF(OR(ISBLANK(P348),ISBLANK(K348)),"",P348*K348*VLOOKUP(C348,設定!$B$9:$D$23,3,FALSE)),"")</f>
        <v/>
      </c>
      <c r="T348" s="35" t="n"/>
    </row>
    <row r="349">
      <c r="A349" s="43">
        <f>IF(ISBLANK(B349),"",COUNTA($B$2:B349))</f>
        <v/>
      </c>
      <c r="B349" s="44" t="n"/>
      <c r="C349" s="45" t="n"/>
      <c r="D349" s="45" t="n"/>
      <c r="E349" s="45" t="n"/>
      <c r="F349" s="43" t="n"/>
      <c r="G349" s="46" t="n"/>
      <c r="H349" s="47" t="n"/>
      <c r="I349" s="47" t="n"/>
      <c r="J349" s="47" t="n"/>
      <c r="K349" s="48" t="n"/>
      <c r="L349" s="47" t="n"/>
      <c r="M349" s="45" t="n"/>
      <c r="N349" s="49">
        <f>IFERROR(IF(ISBLANK(H349),"",ABS(H349-I349)/VLOOKUP(C349,設定!$B$9:$D$23,2,FALSE)),"")</f>
        <v/>
      </c>
      <c r="O349" s="48">
        <f>IFERROR(IF(ISBLANK(J349),"",ABS(J349-H349)/ABS(H349-I349)),"")</f>
        <v/>
      </c>
      <c r="P349" s="50">
        <f>IFERROR(IF(OR(ISBLANK(L349),ISBLANK(E349)),"",IF(E349="Long",(L349-H349),(H349-L349))/VLOOKUP(C349,設定!$B$9:$D$23,2,FALSE)),"")</f>
        <v/>
      </c>
      <c r="Q349" s="51">
        <f>IFERROR(IF(OR(ISBLANK(P349),N349=0),"",P349/N349),"")</f>
        <v/>
      </c>
      <c r="R349" s="51">
        <f>IFERROR(IF(ISBLANK(Q349),R348,IF(ISNUMBER(R348),R348,0)+Q349),"")</f>
        <v/>
      </c>
      <c r="S349" s="52">
        <f>IFERROR(IF(OR(ISBLANK(P349),ISBLANK(K349)),"",P349*K349*VLOOKUP(C349,設定!$B$9:$D$23,3,FALSE)),"")</f>
        <v/>
      </c>
      <c r="T349" s="45" t="n"/>
    </row>
    <row r="350">
      <c r="A350" s="33">
        <f>IF(ISBLANK(B350),"",COUNTA($B$2:B350))</f>
        <v/>
      </c>
      <c r="B350" s="34" t="n"/>
      <c r="C350" s="35" t="n"/>
      <c r="D350" s="35" t="n"/>
      <c r="E350" s="35" t="n"/>
      <c r="F350" s="33" t="n"/>
      <c r="G350" s="36" t="n"/>
      <c r="H350" s="37" t="n"/>
      <c r="I350" s="37" t="n"/>
      <c r="J350" s="37" t="n"/>
      <c r="K350" s="38" t="n"/>
      <c r="L350" s="37" t="n"/>
      <c r="M350" s="35" t="n"/>
      <c r="N350" s="39">
        <f>IFERROR(IF(ISBLANK(H350),"",ABS(H350-I350)/VLOOKUP(C350,設定!$B$9:$D$23,2,FALSE)),"")</f>
        <v/>
      </c>
      <c r="O350" s="38">
        <f>IFERROR(IF(ISBLANK(J350),"",ABS(J350-H350)/ABS(H350-I350)),"")</f>
        <v/>
      </c>
      <c r="P350" s="40">
        <f>IFERROR(IF(OR(ISBLANK(L350),ISBLANK(E350)),"",IF(E350="Long",(L350-H350),(H350-L350))/VLOOKUP(C350,設定!$B$9:$D$23,2,FALSE)),"")</f>
        <v/>
      </c>
      <c r="Q350" s="41">
        <f>IFERROR(IF(OR(ISBLANK(P350),N350=0),"",P350/N350),"")</f>
        <v/>
      </c>
      <c r="R350" s="41">
        <f>IFERROR(IF(ISBLANK(Q350),R349,IF(ISNUMBER(R349),R349,0)+Q350),"")</f>
        <v/>
      </c>
      <c r="S350" s="42">
        <f>IFERROR(IF(OR(ISBLANK(P350),ISBLANK(K350)),"",P350*K350*VLOOKUP(C350,設定!$B$9:$D$23,3,FALSE)),"")</f>
        <v/>
      </c>
      <c r="T350" s="35" t="n"/>
    </row>
    <row r="351">
      <c r="A351" s="43">
        <f>IF(ISBLANK(B351),"",COUNTA($B$2:B351))</f>
        <v/>
      </c>
      <c r="B351" s="44" t="n"/>
      <c r="C351" s="45" t="n"/>
      <c r="D351" s="45" t="n"/>
      <c r="E351" s="45" t="n"/>
      <c r="F351" s="43" t="n"/>
      <c r="G351" s="46" t="n"/>
      <c r="H351" s="47" t="n"/>
      <c r="I351" s="47" t="n"/>
      <c r="J351" s="47" t="n"/>
      <c r="K351" s="48" t="n"/>
      <c r="L351" s="47" t="n"/>
      <c r="M351" s="45" t="n"/>
      <c r="N351" s="49">
        <f>IFERROR(IF(ISBLANK(H351),"",ABS(H351-I351)/VLOOKUP(C351,設定!$B$9:$D$23,2,FALSE)),"")</f>
        <v/>
      </c>
      <c r="O351" s="48">
        <f>IFERROR(IF(ISBLANK(J351),"",ABS(J351-H351)/ABS(H351-I351)),"")</f>
        <v/>
      </c>
      <c r="P351" s="50">
        <f>IFERROR(IF(OR(ISBLANK(L351),ISBLANK(E351)),"",IF(E351="Long",(L351-H351),(H351-L351))/VLOOKUP(C351,設定!$B$9:$D$23,2,FALSE)),"")</f>
        <v/>
      </c>
      <c r="Q351" s="51">
        <f>IFERROR(IF(OR(ISBLANK(P351),N351=0),"",P351/N351),"")</f>
        <v/>
      </c>
      <c r="R351" s="51">
        <f>IFERROR(IF(ISBLANK(Q351),R350,IF(ISNUMBER(R350),R350,0)+Q351),"")</f>
        <v/>
      </c>
      <c r="S351" s="52">
        <f>IFERROR(IF(OR(ISBLANK(P351),ISBLANK(K351)),"",P351*K351*VLOOKUP(C351,設定!$B$9:$D$23,3,FALSE)),"")</f>
        <v/>
      </c>
      <c r="T351" s="45" t="n"/>
    </row>
    <row r="352">
      <c r="A352" s="33">
        <f>IF(ISBLANK(B352),"",COUNTA($B$2:B352))</f>
        <v/>
      </c>
      <c r="B352" s="34" t="n"/>
      <c r="C352" s="35" t="n"/>
      <c r="D352" s="35" t="n"/>
      <c r="E352" s="35" t="n"/>
      <c r="F352" s="33" t="n"/>
      <c r="G352" s="36" t="n"/>
      <c r="H352" s="37" t="n"/>
      <c r="I352" s="37" t="n"/>
      <c r="J352" s="37" t="n"/>
      <c r="K352" s="38" t="n"/>
      <c r="L352" s="37" t="n"/>
      <c r="M352" s="35" t="n"/>
      <c r="N352" s="39">
        <f>IFERROR(IF(ISBLANK(H352),"",ABS(H352-I352)/VLOOKUP(C352,設定!$B$9:$D$23,2,FALSE)),"")</f>
        <v/>
      </c>
      <c r="O352" s="38">
        <f>IFERROR(IF(ISBLANK(J352),"",ABS(J352-H352)/ABS(H352-I352)),"")</f>
        <v/>
      </c>
      <c r="P352" s="40">
        <f>IFERROR(IF(OR(ISBLANK(L352),ISBLANK(E352)),"",IF(E352="Long",(L352-H352),(H352-L352))/VLOOKUP(C352,設定!$B$9:$D$23,2,FALSE)),"")</f>
        <v/>
      </c>
      <c r="Q352" s="41">
        <f>IFERROR(IF(OR(ISBLANK(P352),N352=0),"",P352/N352),"")</f>
        <v/>
      </c>
      <c r="R352" s="41">
        <f>IFERROR(IF(ISBLANK(Q352),R351,IF(ISNUMBER(R351),R351,0)+Q352),"")</f>
        <v/>
      </c>
      <c r="S352" s="42">
        <f>IFERROR(IF(OR(ISBLANK(P352),ISBLANK(K352)),"",P352*K352*VLOOKUP(C352,設定!$B$9:$D$23,3,FALSE)),"")</f>
        <v/>
      </c>
      <c r="T352" s="35" t="n"/>
    </row>
    <row r="353">
      <c r="A353" s="43">
        <f>IF(ISBLANK(B353),"",COUNTA($B$2:B353))</f>
        <v/>
      </c>
      <c r="B353" s="44" t="n"/>
      <c r="C353" s="45" t="n"/>
      <c r="D353" s="45" t="n"/>
      <c r="E353" s="45" t="n"/>
      <c r="F353" s="43" t="n"/>
      <c r="G353" s="46" t="n"/>
      <c r="H353" s="47" t="n"/>
      <c r="I353" s="47" t="n"/>
      <c r="J353" s="47" t="n"/>
      <c r="K353" s="48" t="n"/>
      <c r="L353" s="47" t="n"/>
      <c r="M353" s="45" t="n"/>
      <c r="N353" s="49">
        <f>IFERROR(IF(ISBLANK(H353),"",ABS(H353-I353)/VLOOKUP(C353,設定!$B$9:$D$23,2,FALSE)),"")</f>
        <v/>
      </c>
      <c r="O353" s="48">
        <f>IFERROR(IF(ISBLANK(J353),"",ABS(J353-H353)/ABS(H353-I353)),"")</f>
        <v/>
      </c>
      <c r="P353" s="50">
        <f>IFERROR(IF(OR(ISBLANK(L353),ISBLANK(E353)),"",IF(E353="Long",(L353-H353),(H353-L353))/VLOOKUP(C353,設定!$B$9:$D$23,2,FALSE)),"")</f>
        <v/>
      </c>
      <c r="Q353" s="51">
        <f>IFERROR(IF(OR(ISBLANK(P353),N353=0),"",P353/N353),"")</f>
        <v/>
      </c>
      <c r="R353" s="51">
        <f>IFERROR(IF(ISBLANK(Q353),R352,IF(ISNUMBER(R352),R352,0)+Q353),"")</f>
        <v/>
      </c>
      <c r="S353" s="52">
        <f>IFERROR(IF(OR(ISBLANK(P353),ISBLANK(K353)),"",P353*K353*VLOOKUP(C353,設定!$B$9:$D$23,3,FALSE)),"")</f>
        <v/>
      </c>
      <c r="T353" s="45" t="n"/>
    </row>
    <row r="354">
      <c r="A354" s="33">
        <f>IF(ISBLANK(B354),"",COUNTA($B$2:B354))</f>
        <v/>
      </c>
      <c r="B354" s="34" t="n"/>
      <c r="C354" s="35" t="n"/>
      <c r="D354" s="35" t="n"/>
      <c r="E354" s="35" t="n"/>
      <c r="F354" s="33" t="n"/>
      <c r="G354" s="36" t="n"/>
      <c r="H354" s="37" t="n"/>
      <c r="I354" s="37" t="n"/>
      <c r="J354" s="37" t="n"/>
      <c r="K354" s="38" t="n"/>
      <c r="L354" s="37" t="n"/>
      <c r="M354" s="35" t="n"/>
      <c r="N354" s="39">
        <f>IFERROR(IF(ISBLANK(H354),"",ABS(H354-I354)/VLOOKUP(C354,設定!$B$9:$D$23,2,FALSE)),"")</f>
        <v/>
      </c>
      <c r="O354" s="38">
        <f>IFERROR(IF(ISBLANK(J354),"",ABS(J354-H354)/ABS(H354-I354)),"")</f>
        <v/>
      </c>
      <c r="P354" s="40">
        <f>IFERROR(IF(OR(ISBLANK(L354),ISBLANK(E354)),"",IF(E354="Long",(L354-H354),(H354-L354))/VLOOKUP(C354,設定!$B$9:$D$23,2,FALSE)),"")</f>
        <v/>
      </c>
      <c r="Q354" s="41">
        <f>IFERROR(IF(OR(ISBLANK(P354),N354=0),"",P354/N354),"")</f>
        <v/>
      </c>
      <c r="R354" s="41">
        <f>IFERROR(IF(ISBLANK(Q354),R353,IF(ISNUMBER(R353),R353,0)+Q354),"")</f>
        <v/>
      </c>
      <c r="S354" s="42">
        <f>IFERROR(IF(OR(ISBLANK(P354),ISBLANK(K354)),"",P354*K354*VLOOKUP(C354,設定!$B$9:$D$23,3,FALSE)),"")</f>
        <v/>
      </c>
      <c r="T354" s="35" t="n"/>
    </row>
    <row r="355">
      <c r="A355" s="43">
        <f>IF(ISBLANK(B355),"",COUNTA($B$2:B355))</f>
        <v/>
      </c>
      <c r="B355" s="44" t="n"/>
      <c r="C355" s="45" t="n"/>
      <c r="D355" s="45" t="n"/>
      <c r="E355" s="45" t="n"/>
      <c r="F355" s="43" t="n"/>
      <c r="G355" s="46" t="n"/>
      <c r="H355" s="47" t="n"/>
      <c r="I355" s="47" t="n"/>
      <c r="J355" s="47" t="n"/>
      <c r="K355" s="48" t="n"/>
      <c r="L355" s="47" t="n"/>
      <c r="M355" s="45" t="n"/>
      <c r="N355" s="49">
        <f>IFERROR(IF(ISBLANK(H355),"",ABS(H355-I355)/VLOOKUP(C355,設定!$B$9:$D$23,2,FALSE)),"")</f>
        <v/>
      </c>
      <c r="O355" s="48">
        <f>IFERROR(IF(ISBLANK(J355),"",ABS(J355-H355)/ABS(H355-I355)),"")</f>
        <v/>
      </c>
      <c r="P355" s="50">
        <f>IFERROR(IF(OR(ISBLANK(L355),ISBLANK(E355)),"",IF(E355="Long",(L355-H355),(H355-L355))/VLOOKUP(C355,設定!$B$9:$D$23,2,FALSE)),"")</f>
        <v/>
      </c>
      <c r="Q355" s="51">
        <f>IFERROR(IF(OR(ISBLANK(P355),N355=0),"",P355/N355),"")</f>
        <v/>
      </c>
      <c r="R355" s="51">
        <f>IFERROR(IF(ISBLANK(Q355),R354,IF(ISNUMBER(R354),R354,0)+Q355),"")</f>
        <v/>
      </c>
      <c r="S355" s="52">
        <f>IFERROR(IF(OR(ISBLANK(P355),ISBLANK(K355)),"",P355*K355*VLOOKUP(C355,設定!$B$9:$D$23,3,FALSE)),"")</f>
        <v/>
      </c>
      <c r="T355" s="45" t="n"/>
    </row>
    <row r="356">
      <c r="A356" s="33">
        <f>IF(ISBLANK(B356),"",COUNTA($B$2:B356))</f>
        <v/>
      </c>
      <c r="B356" s="34" t="n"/>
      <c r="C356" s="35" t="n"/>
      <c r="D356" s="35" t="n"/>
      <c r="E356" s="35" t="n"/>
      <c r="F356" s="33" t="n"/>
      <c r="G356" s="36" t="n"/>
      <c r="H356" s="37" t="n"/>
      <c r="I356" s="37" t="n"/>
      <c r="J356" s="37" t="n"/>
      <c r="K356" s="38" t="n"/>
      <c r="L356" s="37" t="n"/>
      <c r="M356" s="35" t="n"/>
      <c r="N356" s="39">
        <f>IFERROR(IF(ISBLANK(H356),"",ABS(H356-I356)/VLOOKUP(C356,設定!$B$9:$D$23,2,FALSE)),"")</f>
        <v/>
      </c>
      <c r="O356" s="38">
        <f>IFERROR(IF(ISBLANK(J356),"",ABS(J356-H356)/ABS(H356-I356)),"")</f>
        <v/>
      </c>
      <c r="P356" s="40">
        <f>IFERROR(IF(OR(ISBLANK(L356),ISBLANK(E356)),"",IF(E356="Long",(L356-H356),(H356-L356))/VLOOKUP(C356,設定!$B$9:$D$23,2,FALSE)),"")</f>
        <v/>
      </c>
      <c r="Q356" s="41">
        <f>IFERROR(IF(OR(ISBLANK(P356),N356=0),"",P356/N356),"")</f>
        <v/>
      </c>
      <c r="R356" s="41">
        <f>IFERROR(IF(ISBLANK(Q356),R355,IF(ISNUMBER(R355),R355,0)+Q356),"")</f>
        <v/>
      </c>
      <c r="S356" s="42">
        <f>IFERROR(IF(OR(ISBLANK(P356),ISBLANK(K356)),"",P356*K356*VLOOKUP(C356,設定!$B$9:$D$23,3,FALSE)),"")</f>
        <v/>
      </c>
      <c r="T356" s="35" t="n"/>
    </row>
    <row r="357">
      <c r="A357" s="43">
        <f>IF(ISBLANK(B357),"",COUNTA($B$2:B357))</f>
        <v/>
      </c>
      <c r="B357" s="44" t="n"/>
      <c r="C357" s="45" t="n"/>
      <c r="D357" s="45" t="n"/>
      <c r="E357" s="45" t="n"/>
      <c r="F357" s="43" t="n"/>
      <c r="G357" s="46" t="n"/>
      <c r="H357" s="47" t="n"/>
      <c r="I357" s="47" t="n"/>
      <c r="J357" s="47" t="n"/>
      <c r="K357" s="48" t="n"/>
      <c r="L357" s="47" t="n"/>
      <c r="M357" s="45" t="n"/>
      <c r="N357" s="49">
        <f>IFERROR(IF(ISBLANK(H357),"",ABS(H357-I357)/VLOOKUP(C357,設定!$B$9:$D$23,2,FALSE)),"")</f>
        <v/>
      </c>
      <c r="O357" s="48">
        <f>IFERROR(IF(ISBLANK(J357),"",ABS(J357-H357)/ABS(H357-I357)),"")</f>
        <v/>
      </c>
      <c r="P357" s="50">
        <f>IFERROR(IF(OR(ISBLANK(L357),ISBLANK(E357)),"",IF(E357="Long",(L357-H357),(H357-L357))/VLOOKUP(C357,設定!$B$9:$D$23,2,FALSE)),"")</f>
        <v/>
      </c>
      <c r="Q357" s="51">
        <f>IFERROR(IF(OR(ISBLANK(P357),N357=0),"",P357/N357),"")</f>
        <v/>
      </c>
      <c r="R357" s="51">
        <f>IFERROR(IF(ISBLANK(Q357),R356,IF(ISNUMBER(R356),R356,0)+Q357),"")</f>
        <v/>
      </c>
      <c r="S357" s="52">
        <f>IFERROR(IF(OR(ISBLANK(P357),ISBLANK(K357)),"",P357*K357*VLOOKUP(C357,設定!$B$9:$D$23,3,FALSE)),"")</f>
        <v/>
      </c>
      <c r="T357" s="45" t="n"/>
    </row>
    <row r="358">
      <c r="A358" s="33">
        <f>IF(ISBLANK(B358),"",COUNTA($B$2:B358))</f>
        <v/>
      </c>
      <c r="B358" s="34" t="n"/>
      <c r="C358" s="35" t="n"/>
      <c r="D358" s="35" t="n"/>
      <c r="E358" s="35" t="n"/>
      <c r="F358" s="33" t="n"/>
      <c r="G358" s="36" t="n"/>
      <c r="H358" s="37" t="n"/>
      <c r="I358" s="37" t="n"/>
      <c r="J358" s="37" t="n"/>
      <c r="K358" s="38" t="n"/>
      <c r="L358" s="37" t="n"/>
      <c r="M358" s="35" t="n"/>
      <c r="N358" s="39">
        <f>IFERROR(IF(ISBLANK(H358),"",ABS(H358-I358)/VLOOKUP(C358,設定!$B$9:$D$23,2,FALSE)),"")</f>
        <v/>
      </c>
      <c r="O358" s="38">
        <f>IFERROR(IF(ISBLANK(J358),"",ABS(J358-H358)/ABS(H358-I358)),"")</f>
        <v/>
      </c>
      <c r="P358" s="40">
        <f>IFERROR(IF(OR(ISBLANK(L358),ISBLANK(E358)),"",IF(E358="Long",(L358-H358),(H358-L358))/VLOOKUP(C358,設定!$B$9:$D$23,2,FALSE)),"")</f>
        <v/>
      </c>
      <c r="Q358" s="41">
        <f>IFERROR(IF(OR(ISBLANK(P358),N358=0),"",P358/N358),"")</f>
        <v/>
      </c>
      <c r="R358" s="41">
        <f>IFERROR(IF(ISBLANK(Q358),R357,IF(ISNUMBER(R357),R357,0)+Q358),"")</f>
        <v/>
      </c>
      <c r="S358" s="42">
        <f>IFERROR(IF(OR(ISBLANK(P358),ISBLANK(K358)),"",P358*K358*VLOOKUP(C358,設定!$B$9:$D$23,3,FALSE)),"")</f>
        <v/>
      </c>
      <c r="T358" s="35" t="n"/>
    </row>
    <row r="359">
      <c r="A359" s="43">
        <f>IF(ISBLANK(B359),"",COUNTA($B$2:B359))</f>
        <v/>
      </c>
      <c r="B359" s="44" t="n"/>
      <c r="C359" s="45" t="n"/>
      <c r="D359" s="45" t="n"/>
      <c r="E359" s="45" t="n"/>
      <c r="F359" s="43" t="n"/>
      <c r="G359" s="46" t="n"/>
      <c r="H359" s="47" t="n"/>
      <c r="I359" s="47" t="n"/>
      <c r="J359" s="47" t="n"/>
      <c r="K359" s="48" t="n"/>
      <c r="L359" s="47" t="n"/>
      <c r="M359" s="45" t="n"/>
      <c r="N359" s="49">
        <f>IFERROR(IF(ISBLANK(H359),"",ABS(H359-I359)/VLOOKUP(C359,設定!$B$9:$D$23,2,FALSE)),"")</f>
        <v/>
      </c>
      <c r="O359" s="48">
        <f>IFERROR(IF(ISBLANK(J359),"",ABS(J359-H359)/ABS(H359-I359)),"")</f>
        <v/>
      </c>
      <c r="P359" s="50">
        <f>IFERROR(IF(OR(ISBLANK(L359),ISBLANK(E359)),"",IF(E359="Long",(L359-H359),(H359-L359))/VLOOKUP(C359,設定!$B$9:$D$23,2,FALSE)),"")</f>
        <v/>
      </c>
      <c r="Q359" s="51">
        <f>IFERROR(IF(OR(ISBLANK(P359),N359=0),"",P359/N359),"")</f>
        <v/>
      </c>
      <c r="R359" s="51">
        <f>IFERROR(IF(ISBLANK(Q359),R358,IF(ISNUMBER(R358),R358,0)+Q359),"")</f>
        <v/>
      </c>
      <c r="S359" s="52">
        <f>IFERROR(IF(OR(ISBLANK(P359),ISBLANK(K359)),"",P359*K359*VLOOKUP(C359,設定!$B$9:$D$23,3,FALSE)),"")</f>
        <v/>
      </c>
      <c r="T359" s="45" t="n"/>
    </row>
    <row r="360">
      <c r="A360" s="33">
        <f>IF(ISBLANK(B360),"",COUNTA($B$2:B360))</f>
        <v/>
      </c>
      <c r="B360" s="34" t="n"/>
      <c r="C360" s="35" t="n"/>
      <c r="D360" s="35" t="n"/>
      <c r="E360" s="35" t="n"/>
      <c r="F360" s="33" t="n"/>
      <c r="G360" s="36" t="n"/>
      <c r="H360" s="37" t="n"/>
      <c r="I360" s="37" t="n"/>
      <c r="J360" s="37" t="n"/>
      <c r="K360" s="38" t="n"/>
      <c r="L360" s="37" t="n"/>
      <c r="M360" s="35" t="n"/>
      <c r="N360" s="39">
        <f>IFERROR(IF(ISBLANK(H360),"",ABS(H360-I360)/VLOOKUP(C360,設定!$B$9:$D$23,2,FALSE)),"")</f>
        <v/>
      </c>
      <c r="O360" s="38">
        <f>IFERROR(IF(ISBLANK(J360),"",ABS(J360-H360)/ABS(H360-I360)),"")</f>
        <v/>
      </c>
      <c r="P360" s="40">
        <f>IFERROR(IF(OR(ISBLANK(L360),ISBLANK(E360)),"",IF(E360="Long",(L360-H360),(H360-L360))/VLOOKUP(C360,設定!$B$9:$D$23,2,FALSE)),"")</f>
        <v/>
      </c>
      <c r="Q360" s="41">
        <f>IFERROR(IF(OR(ISBLANK(P360),N360=0),"",P360/N360),"")</f>
        <v/>
      </c>
      <c r="R360" s="41">
        <f>IFERROR(IF(ISBLANK(Q360),R359,IF(ISNUMBER(R359),R359,0)+Q360),"")</f>
        <v/>
      </c>
      <c r="S360" s="42">
        <f>IFERROR(IF(OR(ISBLANK(P360),ISBLANK(K360)),"",P360*K360*VLOOKUP(C360,設定!$B$9:$D$23,3,FALSE)),"")</f>
        <v/>
      </c>
      <c r="T360" s="35" t="n"/>
    </row>
    <row r="361">
      <c r="A361" s="43">
        <f>IF(ISBLANK(B361),"",COUNTA($B$2:B361))</f>
        <v/>
      </c>
      <c r="B361" s="44" t="n"/>
      <c r="C361" s="45" t="n"/>
      <c r="D361" s="45" t="n"/>
      <c r="E361" s="45" t="n"/>
      <c r="F361" s="43" t="n"/>
      <c r="G361" s="46" t="n"/>
      <c r="H361" s="47" t="n"/>
      <c r="I361" s="47" t="n"/>
      <c r="J361" s="47" t="n"/>
      <c r="K361" s="48" t="n"/>
      <c r="L361" s="47" t="n"/>
      <c r="M361" s="45" t="n"/>
      <c r="N361" s="49">
        <f>IFERROR(IF(ISBLANK(H361),"",ABS(H361-I361)/VLOOKUP(C361,設定!$B$9:$D$23,2,FALSE)),"")</f>
        <v/>
      </c>
      <c r="O361" s="48">
        <f>IFERROR(IF(ISBLANK(J361),"",ABS(J361-H361)/ABS(H361-I361)),"")</f>
        <v/>
      </c>
      <c r="P361" s="50">
        <f>IFERROR(IF(OR(ISBLANK(L361),ISBLANK(E361)),"",IF(E361="Long",(L361-H361),(H361-L361))/VLOOKUP(C361,設定!$B$9:$D$23,2,FALSE)),"")</f>
        <v/>
      </c>
      <c r="Q361" s="51">
        <f>IFERROR(IF(OR(ISBLANK(P361),N361=0),"",P361/N361),"")</f>
        <v/>
      </c>
      <c r="R361" s="51">
        <f>IFERROR(IF(ISBLANK(Q361),R360,IF(ISNUMBER(R360),R360,0)+Q361),"")</f>
        <v/>
      </c>
      <c r="S361" s="52">
        <f>IFERROR(IF(OR(ISBLANK(P361),ISBLANK(K361)),"",P361*K361*VLOOKUP(C361,設定!$B$9:$D$23,3,FALSE)),"")</f>
        <v/>
      </c>
      <c r="T361" s="45" t="n"/>
    </row>
    <row r="362">
      <c r="A362" s="33">
        <f>IF(ISBLANK(B362),"",COUNTA($B$2:B362))</f>
        <v/>
      </c>
      <c r="B362" s="34" t="n"/>
      <c r="C362" s="35" t="n"/>
      <c r="D362" s="35" t="n"/>
      <c r="E362" s="35" t="n"/>
      <c r="F362" s="33" t="n"/>
      <c r="G362" s="36" t="n"/>
      <c r="H362" s="37" t="n"/>
      <c r="I362" s="37" t="n"/>
      <c r="J362" s="37" t="n"/>
      <c r="K362" s="38" t="n"/>
      <c r="L362" s="37" t="n"/>
      <c r="M362" s="35" t="n"/>
      <c r="N362" s="39">
        <f>IFERROR(IF(ISBLANK(H362),"",ABS(H362-I362)/VLOOKUP(C362,設定!$B$9:$D$23,2,FALSE)),"")</f>
        <v/>
      </c>
      <c r="O362" s="38">
        <f>IFERROR(IF(ISBLANK(J362),"",ABS(J362-H362)/ABS(H362-I362)),"")</f>
        <v/>
      </c>
      <c r="P362" s="40">
        <f>IFERROR(IF(OR(ISBLANK(L362),ISBLANK(E362)),"",IF(E362="Long",(L362-H362),(H362-L362))/VLOOKUP(C362,設定!$B$9:$D$23,2,FALSE)),"")</f>
        <v/>
      </c>
      <c r="Q362" s="41">
        <f>IFERROR(IF(OR(ISBLANK(P362),N362=0),"",P362/N362),"")</f>
        <v/>
      </c>
      <c r="R362" s="41">
        <f>IFERROR(IF(ISBLANK(Q362),R361,IF(ISNUMBER(R361),R361,0)+Q362),"")</f>
        <v/>
      </c>
      <c r="S362" s="42">
        <f>IFERROR(IF(OR(ISBLANK(P362),ISBLANK(K362)),"",P362*K362*VLOOKUP(C362,設定!$B$9:$D$23,3,FALSE)),"")</f>
        <v/>
      </c>
      <c r="T362" s="35" t="n"/>
    </row>
    <row r="363">
      <c r="A363" s="43">
        <f>IF(ISBLANK(B363),"",COUNTA($B$2:B363))</f>
        <v/>
      </c>
      <c r="B363" s="44" t="n"/>
      <c r="C363" s="45" t="n"/>
      <c r="D363" s="45" t="n"/>
      <c r="E363" s="45" t="n"/>
      <c r="F363" s="43" t="n"/>
      <c r="G363" s="46" t="n"/>
      <c r="H363" s="47" t="n"/>
      <c r="I363" s="47" t="n"/>
      <c r="J363" s="47" t="n"/>
      <c r="K363" s="48" t="n"/>
      <c r="L363" s="47" t="n"/>
      <c r="M363" s="45" t="n"/>
      <c r="N363" s="49">
        <f>IFERROR(IF(ISBLANK(H363),"",ABS(H363-I363)/VLOOKUP(C363,設定!$B$9:$D$23,2,FALSE)),"")</f>
        <v/>
      </c>
      <c r="O363" s="48">
        <f>IFERROR(IF(ISBLANK(J363),"",ABS(J363-H363)/ABS(H363-I363)),"")</f>
        <v/>
      </c>
      <c r="P363" s="50">
        <f>IFERROR(IF(OR(ISBLANK(L363),ISBLANK(E363)),"",IF(E363="Long",(L363-H363),(H363-L363))/VLOOKUP(C363,設定!$B$9:$D$23,2,FALSE)),"")</f>
        <v/>
      </c>
      <c r="Q363" s="51">
        <f>IFERROR(IF(OR(ISBLANK(P363),N363=0),"",P363/N363),"")</f>
        <v/>
      </c>
      <c r="R363" s="51">
        <f>IFERROR(IF(ISBLANK(Q363),R362,IF(ISNUMBER(R362),R362,0)+Q363),"")</f>
        <v/>
      </c>
      <c r="S363" s="52">
        <f>IFERROR(IF(OR(ISBLANK(P363),ISBLANK(K363)),"",P363*K363*VLOOKUP(C363,設定!$B$9:$D$23,3,FALSE)),"")</f>
        <v/>
      </c>
      <c r="T363" s="45" t="n"/>
    </row>
    <row r="364">
      <c r="A364" s="33">
        <f>IF(ISBLANK(B364),"",COUNTA($B$2:B364))</f>
        <v/>
      </c>
      <c r="B364" s="34" t="n"/>
      <c r="C364" s="35" t="n"/>
      <c r="D364" s="35" t="n"/>
      <c r="E364" s="35" t="n"/>
      <c r="F364" s="33" t="n"/>
      <c r="G364" s="36" t="n"/>
      <c r="H364" s="37" t="n"/>
      <c r="I364" s="37" t="n"/>
      <c r="J364" s="37" t="n"/>
      <c r="K364" s="38" t="n"/>
      <c r="L364" s="37" t="n"/>
      <c r="M364" s="35" t="n"/>
      <c r="N364" s="39">
        <f>IFERROR(IF(ISBLANK(H364),"",ABS(H364-I364)/VLOOKUP(C364,設定!$B$9:$D$23,2,FALSE)),"")</f>
        <v/>
      </c>
      <c r="O364" s="38">
        <f>IFERROR(IF(ISBLANK(J364),"",ABS(J364-H364)/ABS(H364-I364)),"")</f>
        <v/>
      </c>
      <c r="P364" s="40">
        <f>IFERROR(IF(OR(ISBLANK(L364),ISBLANK(E364)),"",IF(E364="Long",(L364-H364),(H364-L364))/VLOOKUP(C364,設定!$B$9:$D$23,2,FALSE)),"")</f>
        <v/>
      </c>
      <c r="Q364" s="41">
        <f>IFERROR(IF(OR(ISBLANK(P364),N364=0),"",P364/N364),"")</f>
        <v/>
      </c>
      <c r="R364" s="41">
        <f>IFERROR(IF(ISBLANK(Q364),R363,IF(ISNUMBER(R363),R363,0)+Q364),"")</f>
        <v/>
      </c>
      <c r="S364" s="42">
        <f>IFERROR(IF(OR(ISBLANK(P364),ISBLANK(K364)),"",P364*K364*VLOOKUP(C364,設定!$B$9:$D$23,3,FALSE)),"")</f>
        <v/>
      </c>
      <c r="T364" s="35" t="n"/>
    </row>
    <row r="365">
      <c r="A365" s="43">
        <f>IF(ISBLANK(B365),"",COUNTA($B$2:B365))</f>
        <v/>
      </c>
      <c r="B365" s="44" t="n"/>
      <c r="C365" s="45" t="n"/>
      <c r="D365" s="45" t="n"/>
      <c r="E365" s="45" t="n"/>
      <c r="F365" s="43" t="n"/>
      <c r="G365" s="46" t="n"/>
      <c r="H365" s="47" t="n"/>
      <c r="I365" s="47" t="n"/>
      <c r="J365" s="47" t="n"/>
      <c r="K365" s="48" t="n"/>
      <c r="L365" s="47" t="n"/>
      <c r="M365" s="45" t="n"/>
      <c r="N365" s="49">
        <f>IFERROR(IF(ISBLANK(H365),"",ABS(H365-I365)/VLOOKUP(C365,設定!$B$9:$D$23,2,FALSE)),"")</f>
        <v/>
      </c>
      <c r="O365" s="48">
        <f>IFERROR(IF(ISBLANK(J365),"",ABS(J365-H365)/ABS(H365-I365)),"")</f>
        <v/>
      </c>
      <c r="P365" s="50">
        <f>IFERROR(IF(OR(ISBLANK(L365),ISBLANK(E365)),"",IF(E365="Long",(L365-H365),(H365-L365))/VLOOKUP(C365,設定!$B$9:$D$23,2,FALSE)),"")</f>
        <v/>
      </c>
      <c r="Q365" s="51">
        <f>IFERROR(IF(OR(ISBLANK(P365),N365=0),"",P365/N365),"")</f>
        <v/>
      </c>
      <c r="R365" s="51">
        <f>IFERROR(IF(ISBLANK(Q365),R364,IF(ISNUMBER(R364),R364,0)+Q365),"")</f>
        <v/>
      </c>
      <c r="S365" s="52">
        <f>IFERROR(IF(OR(ISBLANK(P365),ISBLANK(K365)),"",P365*K365*VLOOKUP(C365,設定!$B$9:$D$23,3,FALSE)),"")</f>
        <v/>
      </c>
      <c r="T365" s="45" t="n"/>
    </row>
    <row r="366">
      <c r="A366" s="33">
        <f>IF(ISBLANK(B366),"",COUNTA($B$2:B366))</f>
        <v/>
      </c>
      <c r="B366" s="34" t="n"/>
      <c r="C366" s="35" t="n"/>
      <c r="D366" s="35" t="n"/>
      <c r="E366" s="35" t="n"/>
      <c r="F366" s="33" t="n"/>
      <c r="G366" s="36" t="n"/>
      <c r="H366" s="37" t="n"/>
      <c r="I366" s="37" t="n"/>
      <c r="J366" s="37" t="n"/>
      <c r="K366" s="38" t="n"/>
      <c r="L366" s="37" t="n"/>
      <c r="M366" s="35" t="n"/>
      <c r="N366" s="39">
        <f>IFERROR(IF(ISBLANK(H366),"",ABS(H366-I366)/VLOOKUP(C366,設定!$B$9:$D$23,2,FALSE)),"")</f>
        <v/>
      </c>
      <c r="O366" s="38">
        <f>IFERROR(IF(ISBLANK(J366),"",ABS(J366-H366)/ABS(H366-I366)),"")</f>
        <v/>
      </c>
      <c r="P366" s="40">
        <f>IFERROR(IF(OR(ISBLANK(L366),ISBLANK(E366)),"",IF(E366="Long",(L366-H366),(H366-L366))/VLOOKUP(C366,設定!$B$9:$D$23,2,FALSE)),"")</f>
        <v/>
      </c>
      <c r="Q366" s="41">
        <f>IFERROR(IF(OR(ISBLANK(P366),N366=0),"",P366/N366),"")</f>
        <v/>
      </c>
      <c r="R366" s="41">
        <f>IFERROR(IF(ISBLANK(Q366),R365,IF(ISNUMBER(R365),R365,0)+Q366),"")</f>
        <v/>
      </c>
      <c r="S366" s="42">
        <f>IFERROR(IF(OR(ISBLANK(P366),ISBLANK(K366)),"",P366*K366*VLOOKUP(C366,設定!$B$9:$D$23,3,FALSE)),"")</f>
        <v/>
      </c>
      <c r="T366" s="35" t="n"/>
    </row>
    <row r="367">
      <c r="A367" s="43">
        <f>IF(ISBLANK(B367),"",COUNTA($B$2:B367))</f>
        <v/>
      </c>
      <c r="B367" s="44" t="n"/>
      <c r="C367" s="45" t="n"/>
      <c r="D367" s="45" t="n"/>
      <c r="E367" s="45" t="n"/>
      <c r="F367" s="43" t="n"/>
      <c r="G367" s="46" t="n"/>
      <c r="H367" s="47" t="n"/>
      <c r="I367" s="47" t="n"/>
      <c r="J367" s="47" t="n"/>
      <c r="K367" s="48" t="n"/>
      <c r="L367" s="47" t="n"/>
      <c r="M367" s="45" t="n"/>
      <c r="N367" s="49">
        <f>IFERROR(IF(ISBLANK(H367),"",ABS(H367-I367)/VLOOKUP(C367,設定!$B$9:$D$23,2,FALSE)),"")</f>
        <v/>
      </c>
      <c r="O367" s="48">
        <f>IFERROR(IF(ISBLANK(J367),"",ABS(J367-H367)/ABS(H367-I367)),"")</f>
        <v/>
      </c>
      <c r="P367" s="50">
        <f>IFERROR(IF(OR(ISBLANK(L367),ISBLANK(E367)),"",IF(E367="Long",(L367-H367),(H367-L367))/VLOOKUP(C367,設定!$B$9:$D$23,2,FALSE)),"")</f>
        <v/>
      </c>
      <c r="Q367" s="51">
        <f>IFERROR(IF(OR(ISBLANK(P367),N367=0),"",P367/N367),"")</f>
        <v/>
      </c>
      <c r="R367" s="51">
        <f>IFERROR(IF(ISBLANK(Q367),R366,IF(ISNUMBER(R366),R366,0)+Q367),"")</f>
        <v/>
      </c>
      <c r="S367" s="52">
        <f>IFERROR(IF(OR(ISBLANK(P367),ISBLANK(K367)),"",P367*K367*VLOOKUP(C367,設定!$B$9:$D$23,3,FALSE)),"")</f>
        <v/>
      </c>
      <c r="T367" s="45" t="n"/>
    </row>
    <row r="368">
      <c r="A368" s="33">
        <f>IF(ISBLANK(B368),"",COUNTA($B$2:B368))</f>
        <v/>
      </c>
      <c r="B368" s="34" t="n"/>
      <c r="C368" s="35" t="n"/>
      <c r="D368" s="35" t="n"/>
      <c r="E368" s="35" t="n"/>
      <c r="F368" s="33" t="n"/>
      <c r="G368" s="36" t="n"/>
      <c r="H368" s="37" t="n"/>
      <c r="I368" s="37" t="n"/>
      <c r="J368" s="37" t="n"/>
      <c r="K368" s="38" t="n"/>
      <c r="L368" s="37" t="n"/>
      <c r="M368" s="35" t="n"/>
      <c r="N368" s="39">
        <f>IFERROR(IF(ISBLANK(H368),"",ABS(H368-I368)/VLOOKUP(C368,設定!$B$9:$D$23,2,FALSE)),"")</f>
        <v/>
      </c>
      <c r="O368" s="38">
        <f>IFERROR(IF(ISBLANK(J368),"",ABS(J368-H368)/ABS(H368-I368)),"")</f>
        <v/>
      </c>
      <c r="P368" s="40">
        <f>IFERROR(IF(OR(ISBLANK(L368),ISBLANK(E368)),"",IF(E368="Long",(L368-H368),(H368-L368))/VLOOKUP(C368,設定!$B$9:$D$23,2,FALSE)),"")</f>
        <v/>
      </c>
      <c r="Q368" s="41">
        <f>IFERROR(IF(OR(ISBLANK(P368),N368=0),"",P368/N368),"")</f>
        <v/>
      </c>
      <c r="R368" s="41">
        <f>IFERROR(IF(ISBLANK(Q368),R367,IF(ISNUMBER(R367),R367,0)+Q368),"")</f>
        <v/>
      </c>
      <c r="S368" s="42">
        <f>IFERROR(IF(OR(ISBLANK(P368),ISBLANK(K368)),"",P368*K368*VLOOKUP(C368,設定!$B$9:$D$23,3,FALSE)),"")</f>
        <v/>
      </c>
      <c r="T368" s="35" t="n"/>
    </row>
    <row r="369">
      <c r="A369" s="43">
        <f>IF(ISBLANK(B369),"",COUNTA($B$2:B369))</f>
        <v/>
      </c>
      <c r="B369" s="44" t="n"/>
      <c r="C369" s="45" t="n"/>
      <c r="D369" s="45" t="n"/>
      <c r="E369" s="45" t="n"/>
      <c r="F369" s="43" t="n"/>
      <c r="G369" s="46" t="n"/>
      <c r="H369" s="47" t="n"/>
      <c r="I369" s="47" t="n"/>
      <c r="J369" s="47" t="n"/>
      <c r="K369" s="48" t="n"/>
      <c r="L369" s="47" t="n"/>
      <c r="M369" s="45" t="n"/>
      <c r="N369" s="49">
        <f>IFERROR(IF(ISBLANK(H369),"",ABS(H369-I369)/VLOOKUP(C369,設定!$B$9:$D$23,2,FALSE)),"")</f>
        <v/>
      </c>
      <c r="O369" s="48">
        <f>IFERROR(IF(ISBLANK(J369),"",ABS(J369-H369)/ABS(H369-I369)),"")</f>
        <v/>
      </c>
      <c r="P369" s="50">
        <f>IFERROR(IF(OR(ISBLANK(L369),ISBLANK(E369)),"",IF(E369="Long",(L369-H369),(H369-L369))/VLOOKUP(C369,設定!$B$9:$D$23,2,FALSE)),"")</f>
        <v/>
      </c>
      <c r="Q369" s="51">
        <f>IFERROR(IF(OR(ISBLANK(P369),N369=0),"",P369/N369),"")</f>
        <v/>
      </c>
      <c r="R369" s="51">
        <f>IFERROR(IF(ISBLANK(Q369),R368,IF(ISNUMBER(R368),R368,0)+Q369),"")</f>
        <v/>
      </c>
      <c r="S369" s="52">
        <f>IFERROR(IF(OR(ISBLANK(P369),ISBLANK(K369)),"",P369*K369*VLOOKUP(C369,設定!$B$9:$D$23,3,FALSE)),"")</f>
        <v/>
      </c>
      <c r="T369" s="45" t="n"/>
    </row>
    <row r="370">
      <c r="A370" s="33">
        <f>IF(ISBLANK(B370),"",COUNTA($B$2:B370))</f>
        <v/>
      </c>
      <c r="B370" s="34" t="n"/>
      <c r="C370" s="35" t="n"/>
      <c r="D370" s="35" t="n"/>
      <c r="E370" s="35" t="n"/>
      <c r="F370" s="33" t="n"/>
      <c r="G370" s="36" t="n"/>
      <c r="H370" s="37" t="n"/>
      <c r="I370" s="37" t="n"/>
      <c r="J370" s="37" t="n"/>
      <c r="K370" s="38" t="n"/>
      <c r="L370" s="37" t="n"/>
      <c r="M370" s="35" t="n"/>
      <c r="N370" s="39">
        <f>IFERROR(IF(ISBLANK(H370),"",ABS(H370-I370)/VLOOKUP(C370,設定!$B$9:$D$23,2,FALSE)),"")</f>
        <v/>
      </c>
      <c r="O370" s="38">
        <f>IFERROR(IF(ISBLANK(J370),"",ABS(J370-H370)/ABS(H370-I370)),"")</f>
        <v/>
      </c>
      <c r="P370" s="40">
        <f>IFERROR(IF(OR(ISBLANK(L370),ISBLANK(E370)),"",IF(E370="Long",(L370-H370),(H370-L370))/VLOOKUP(C370,設定!$B$9:$D$23,2,FALSE)),"")</f>
        <v/>
      </c>
      <c r="Q370" s="41">
        <f>IFERROR(IF(OR(ISBLANK(P370),N370=0),"",P370/N370),"")</f>
        <v/>
      </c>
      <c r="R370" s="41">
        <f>IFERROR(IF(ISBLANK(Q370),R369,IF(ISNUMBER(R369),R369,0)+Q370),"")</f>
        <v/>
      </c>
      <c r="S370" s="42">
        <f>IFERROR(IF(OR(ISBLANK(P370),ISBLANK(K370)),"",P370*K370*VLOOKUP(C370,設定!$B$9:$D$23,3,FALSE)),"")</f>
        <v/>
      </c>
      <c r="T370" s="35" t="n"/>
    </row>
    <row r="371">
      <c r="A371" s="43">
        <f>IF(ISBLANK(B371),"",COUNTA($B$2:B371))</f>
        <v/>
      </c>
      <c r="B371" s="44" t="n"/>
      <c r="C371" s="45" t="n"/>
      <c r="D371" s="45" t="n"/>
      <c r="E371" s="45" t="n"/>
      <c r="F371" s="43" t="n"/>
      <c r="G371" s="46" t="n"/>
      <c r="H371" s="47" t="n"/>
      <c r="I371" s="47" t="n"/>
      <c r="J371" s="47" t="n"/>
      <c r="K371" s="48" t="n"/>
      <c r="L371" s="47" t="n"/>
      <c r="M371" s="45" t="n"/>
      <c r="N371" s="49">
        <f>IFERROR(IF(ISBLANK(H371),"",ABS(H371-I371)/VLOOKUP(C371,設定!$B$9:$D$23,2,FALSE)),"")</f>
        <v/>
      </c>
      <c r="O371" s="48">
        <f>IFERROR(IF(ISBLANK(J371),"",ABS(J371-H371)/ABS(H371-I371)),"")</f>
        <v/>
      </c>
      <c r="P371" s="50">
        <f>IFERROR(IF(OR(ISBLANK(L371),ISBLANK(E371)),"",IF(E371="Long",(L371-H371),(H371-L371))/VLOOKUP(C371,設定!$B$9:$D$23,2,FALSE)),"")</f>
        <v/>
      </c>
      <c r="Q371" s="51">
        <f>IFERROR(IF(OR(ISBLANK(P371),N371=0),"",P371/N371),"")</f>
        <v/>
      </c>
      <c r="R371" s="51">
        <f>IFERROR(IF(ISBLANK(Q371),R370,IF(ISNUMBER(R370),R370,0)+Q371),"")</f>
        <v/>
      </c>
      <c r="S371" s="52">
        <f>IFERROR(IF(OR(ISBLANK(P371),ISBLANK(K371)),"",P371*K371*VLOOKUP(C371,設定!$B$9:$D$23,3,FALSE)),"")</f>
        <v/>
      </c>
      <c r="T371" s="45" t="n"/>
    </row>
    <row r="372">
      <c r="A372" s="33">
        <f>IF(ISBLANK(B372),"",COUNTA($B$2:B372))</f>
        <v/>
      </c>
      <c r="B372" s="34" t="n"/>
      <c r="C372" s="35" t="n"/>
      <c r="D372" s="35" t="n"/>
      <c r="E372" s="35" t="n"/>
      <c r="F372" s="33" t="n"/>
      <c r="G372" s="36" t="n"/>
      <c r="H372" s="37" t="n"/>
      <c r="I372" s="37" t="n"/>
      <c r="J372" s="37" t="n"/>
      <c r="K372" s="38" t="n"/>
      <c r="L372" s="37" t="n"/>
      <c r="M372" s="35" t="n"/>
      <c r="N372" s="39">
        <f>IFERROR(IF(ISBLANK(H372),"",ABS(H372-I372)/VLOOKUP(C372,設定!$B$9:$D$23,2,FALSE)),"")</f>
        <v/>
      </c>
      <c r="O372" s="38">
        <f>IFERROR(IF(ISBLANK(J372),"",ABS(J372-H372)/ABS(H372-I372)),"")</f>
        <v/>
      </c>
      <c r="P372" s="40">
        <f>IFERROR(IF(OR(ISBLANK(L372),ISBLANK(E372)),"",IF(E372="Long",(L372-H372),(H372-L372))/VLOOKUP(C372,設定!$B$9:$D$23,2,FALSE)),"")</f>
        <v/>
      </c>
      <c r="Q372" s="41">
        <f>IFERROR(IF(OR(ISBLANK(P372),N372=0),"",P372/N372),"")</f>
        <v/>
      </c>
      <c r="R372" s="41">
        <f>IFERROR(IF(ISBLANK(Q372),R371,IF(ISNUMBER(R371),R371,0)+Q372),"")</f>
        <v/>
      </c>
      <c r="S372" s="42">
        <f>IFERROR(IF(OR(ISBLANK(P372),ISBLANK(K372)),"",P372*K372*VLOOKUP(C372,設定!$B$9:$D$23,3,FALSE)),"")</f>
        <v/>
      </c>
      <c r="T372" s="35" t="n"/>
    </row>
    <row r="373">
      <c r="A373" s="43">
        <f>IF(ISBLANK(B373),"",COUNTA($B$2:B373))</f>
        <v/>
      </c>
      <c r="B373" s="44" t="n"/>
      <c r="C373" s="45" t="n"/>
      <c r="D373" s="45" t="n"/>
      <c r="E373" s="45" t="n"/>
      <c r="F373" s="43" t="n"/>
      <c r="G373" s="46" t="n"/>
      <c r="H373" s="47" t="n"/>
      <c r="I373" s="47" t="n"/>
      <c r="J373" s="47" t="n"/>
      <c r="K373" s="48" t="n"/>
      <c r="L373" s="47" t="n"/>
      <c r="M373" s="45" t="n"/>
      <c r="N373" s="49">
        <f>IFERROR(IF(ISBLANK(H373),"",ABS(H373-I373)/VLOOKUP(C373,設定!$B$9:$D$23,2,FALSE)),"")</f>
        <v/>
      </c>
      <c r="O373" s="48">
        <f>IFERROR(IF(ISBLANK(J373),"",ABS(J373-H373)/ABS(H373-I373)),"")</f>
        <v/>
      </c>
      <c r="P373" s="50">
        <f>IFERROR(IF(OR(ISBLANK(L373),ISBLANK(E373)),"",IF(E373="Long",(L373-H373),(H373-L373))/VLOOKUP(C373,設定!$B$9:$D$23,2,FALSE)),"")</f>
        <v/>
      </c>
      <c r="Q373" s="51">
        <f>IFERROR(IF(OR(ISBLANK(P373),N373=0),"",P373/N373),"")</f>
        <v/>
      </c>
      <c r="R373" s="51">
        <f>IFERROR(IF(ISBLANK(Q373),R372,IF(ISNUMBER(R372),R372,0)+Q373),"")</f>
        <v/>
      </c>
      <c r="S373" s="52">
        <f>IFERROR(IF(OR(ISBLANK(P373),ISBLANK(K373)),"",P373*K373*VLOOKUP(C373,設定!$B$9:$D$23,3,FALSE)),"")</f>
        <v/>
      </c>
      <c r="T373" s="45" t="n"/>
    </row>
    <row r="374">
      <c r="A374" s="33">
        <f>IF(ISBLANK(B374),"",COUNTA($B$2:B374))</f>
        <v/>
      </c>
      <c r="B374" s="34" t="n"/>
      <c r="C374" s="35" t="n"/>
      <c r="D374" s="35" t="n"/>
      <c r="E374" s="35" t="n"/>
      <c r="F374" s="33" t="n"/>
      <c r="G374" s="36" t="n"/>
      <c r="H374" s="37" t="n"/>
      <c r="I374" s="37" t="n"/>
      <c r="J374" s="37" t="n"/>
      <c r="K374" s="38" t="n"/>
      <c r="L374" s="37" t="n"/>
      <c r="M374" s="35" t="n"/>
      <c r="N374" s="39">
        <f>IFERROR(IF(ISBLANK(H374),"",ABS(H374-I374)/VLOOKUP(C374,設定!$B$9:$D$23,2,FALSE)),"")</f>
        <v/>
      </c>
      <c r="O374" s="38">
        <f>IFERROR(IF(ISBLANK(J374),"",ABS(J374-H374)/ABS(H374-I374)),"")</f>
        <v/>
      </c>
      <c r="P374" s="40">
        <f>IFERROR(IF(OR(ISBLANK(L374),ISBLANK(E374)),"",IF(E374="Long",(L374-H374),(H374-L374))/VLOOKUP(C374,設定!$B$9:$D$23,2,FALSE)),"")</f>
        <v/>
      </c>
      <c r="Q374" s="41">
        <f>IFERROR(IF(OR(ISBLANK(P374),N374=0),"",P374/N374),"")</f>
        <v/>
      </c>
      <c r="R374" s="41">
        <f>IFERROR(IF(ISBLANK(Q374),R373,IF(ISNUMBER(R373),R373,0)+Q374),"")</f>
        <v/>
      </c>
      <c r="S374" s="42">
        <f>IFERROR(IF(OR(ISBLANK(P374),ISBLANK(K374)),"",P374*K374*VLOOKUP(C374,設定!$B$9:$D$23,3,FALSE)),"")</f>
        <v/>
      </c>
      <c r="T374" s="35" t="n"/>
    </row>
    <row r="375">
      <c r="A375" s="43">
        <f>IF(ISBLANK(B375),"",COUNTA($B$2:B375))</f>
        <v/>
      </c>
      <c r="B375" s="44" t="n"/>
      <c r="C375" s="45" t="n"/>
      <c r="D375" s="45" t="n"/>
      <c r="E375" s="45" t="n"/>
      <c r="F375" s="43" t="n"/>
      <c r="G375" s="46" t="n"/>
      <c r="H375" s="47" t="n"/>
      <c r="I375" s="47" t="n"/>
      <c r="J375" s="47" t="n"/>
      <c r="K375" s="48" t="n"/>
      <c r="L375" s="47" t="n"/>
      <c r="M375" s="45" t="n"/>
      <c r="N375" s="49">
        <f>IFERROR(IF(ISBLANK(H375),"",ABS(H375-I375)/VLOOKUP(C375,設定!$B$9:$D$23,2,FALSE)),"")</f>
        <v/>
      </c>
      <c r="O375" s="48">
        <f>IFERROR(IF(ISBLANK(J375),"",ABS(J375-H375)/ABS(H375-I375)),"")</f>
        <v/>
      </c>
      <c r="P375" s="50">
        <f>IFERROR(IF(OR(ISBLANK(L375),ISBLANK(E375)),"",IF(E375="Long",(L375-H375),(H375-L375))/VLOOKUP(C375,設定!$B$9:$D$23,2,FALSE)),"")</f>
        <v/>
      </c>
      <c r="Q375" s="51">
        <f>IFERROR(IF(OR(ISBLANK(P375),N375=0),"",P375/N375),"")</f>
        <v/>
      </c>
      <c r="R375" s="51">
        <f>IFERROR(IF(ISBLANK(Q375),R374,IF(ISNUMBER(R374),R374,0)+Q375),"")</f>
        <v/>
      </c>
      <c r="S375" s="52">
        <f>IFERROR(IF(OR(ISBLANK(P375),ISBLANK(K375)),"",P375*K375*VLOOKUP(C375,設定!$B$9:$D$23,3,FALSE)),"")</f>
        <v/>
      </c>
      <c r="T375" s="45" t="n"/>
    </row>
    <row r="376">
      <c r="A376" s="33">
        <f>IF(ISBLANK(B376),"",COUNTA($B$2:B376))</f>
        <v/>
      </c>
      <c r="B376" s="34" t="n"/>
      <c r="C376" s="35" t="n"/>
      <c r="D376" s="35" t="n"/>
      <c r="E376" s="35" t="n"/>
      <c r="F376" s="33" t="n"/>
      <c r="G376" s="36" t="n"/>
      <c r="H376" s="37" t="n"/>
      <c r="I376" s="37" t="n"/>
      <c r="J376" s="37" t="n"/>
      <c r="K376" s="38" t="n"/>
      <c r="L376" s="37" t="n"/>
      <c r="M376" s="35" t="n"/>
      <c r="N376" s="39">
        <f>IFERROR(IF(ISBLANK(H376),"",ABS(H376-I376)/VLOOKUP(C376,設定!$B$9:$D$23,2,FALSE)),"")</f>
        <v/>
      </c>
      <c r="O376" s="38">
        <f>IFERROR(IF(ISBLANK(J376),"",ABS(J376-H376)/ABS(H376-I376)),"")</f>
        <v/>
      </c>
      <c r="P376" s="40">
        <f>IFERROR(IF(OR(ISBLANK(L376),ISBLANK(E376)),"",IF(E376="Long",(L376-H376),(H376-L376))/VLOOKUP(C376,設定!$B$9:$D$23,2,FALSE)),"")</f>
        <v/>
      </c>
      <c r="Q376" s="41">
        <f>IFERROR(IF(OR(ISBLANK(P376),N376=0),"",P376/N376),"")</f>
        <v/>
      </c>
      <c r="R376" s="41">
        <f>IFERROR(IF(ISBLANK(Q376),R375,IF(ISNUMBER(R375),R375,0)+Q376),"")</f>
        <v/>
      </c>
      <c r="S376" s="42">
        <f>IFERROR(IF(OR(ISBLANK(P376),ISBLANK(K376)),"",P376*K376*VLOOKUP(C376,設定!$B$9:$D$23,3,FALSE)),"")</f>
        <v/>
      </c>
      <c r="T376" s="35" t="n"/>
    </row>
    <row r="377">
      <c r="A377" s="43">
        <f>IF(ISBLANK(B377),"",COUNTA($B$2:B377))</f>
        <v/>
      </c>
      <c r="B377" s="44" t="n"/>
      <c r="C377" s="45" t="n"/>
      <c r="D377" s="45" t="n"/>
      <c r="E377" s="45" t="n"/>
      <c r="F377" s="43" t="n"/>
      <c r="G377" s="46" t="n"/>
      <c r="H377" s="47" t="n"/>
      <c r="I377" s="47" t="n"/>
      <c r="J377" s="47" t="n"/>
      <c r="K377" s="48" t="n"/>
      <c r="L377" s="47" t="n"/>
      <c r="M377" s="45" t="n"/>
      <c r="N377" s="49">
        <f>IFERROR(IF(ISBLANK(H377),"",ABS(H377-I377)/VLOOKUP(C377,設定!$B$9:$D$23,2,FALSE)),"")</f>
        <v/>
      </c>
      <c r="O377" s="48">
        <f>IFERROR(IF(ISBLANK(J377),"",ABS(J377-H377)/ABS(H377-I377)),"")</f>
        <v/>
      </c>
      <c r="P377" s="50">
        <f>IFERROR(IF(OR(ISBLANK(L377),ISBLANK(E377)),"",IF(E377="Long",(L377-H377),(H377-L377))/VLOOKUP(C377,設定!$B$9:$D$23,2,FALSE)),"")</f>
        <v/>
      </c>
      <c r="Q377" s="51">
        <f>IFERROR(IF(OR(ISBLANK(P377),N377=0),"",P377/N377),"")</f>
        <v/>
      </c>
      <c r="R377" s="51">
        <f>IFERROR(IF(ISBLANK(Q377),R376,IF(ISNUMBER(R376),R376,0)+Q377),"")</f>
        <v/>
      </c>
      <c r="S377" s="52">
        <f>IFERROR(IF(OR(ISBLANK(P377),ISBLANK(K377)),"",P377*K377*VLOOKUP(C377,設定!$B$9:$D$23,3,FALSE)),"")</f>
        <v/>
      </c>
      <c r="T377" s="45" t="n"/>
    </row>
    <row r="378">
      <c r="A378" s="33">
        <f>IF(ISBLANK(B378),"",COUNTA($B$2:B378))</f>
        <v/>
      </c>
      <c r="B378" s="34" t="n"/>
      <c r="C378" s="35" t="n"/>
      <c r="D378" s="35" t="n"/>
      <c r="E378" s="35" t="n"/>
      <c r="F378" s="33" t="n"/>
      <c r="G378" s="36" t="n"/>
      <c r="H378" s="37" t="n"/>
      <c r="I378" s="37" t="n"/>
      <c r="J378" s="37" t="n"/>
      <c r="K378" s="38" t="n"/>
      <c r="L378" s="37" t="n"/>
      <c r="M378" s="35" t="n"/>
      <c r="N378" s="39">
        <f>IFERROR(IF(ISBLANK(H378),"",ABS(H378-I378)/VLOOKUP(C378,設定!$B$9:$D$23,2,FALSE)),"")</f>
        <v/>
      </c>
      <c r="O378" s="38">
        <f>IFERROR(IF(ISBLANK(J378),"",ABS(J378-H378)/ABS(H378-I378)),"")</f>
        <v/>
      </c>
      <c r="P378" s="40">
        <f>IFERROR(IF(OR(ISBLANK(L378),ISBLANK(E378)),"",IF(E378="Long",(L378-H378),(H378-L378))/VLOOKUP(C378,設定!$B$9:$D$23,2,FALSE)),"")</f>
        <v/>
      </c>
      <c r="Q378" s="41">
        <f>IFERROR(IF(OR(ISBLANK(P378),N378=0),"",P378/N378),"")</f>
        <v/>
      </c>
      <c r="R378" s="41">
        <f>IFERROR(IF(ISBLANK(Q378),R377,IF(ISNUMBER(R377),R377,0)+Q378),"")</f>
        <v/>
      </c>
      <c r="S378" s="42">
        <f>IFERROR(IF(OR(ISBLANK(P378),ISBLANK(K378)),"",P378*K378*VLOOKUP(C378,設定!$B$9:$D$23,3,FALSE)),"")</f>
        <v/>
      </c>
      <c r="T378" s="35" t="n"/>
    </row>
    <row r="379">
      <c r="A379" s="43">
        <f>IF(ISBLANK(B379),"",COUNTA($B$2:B379))</f>
        <v/>
      </c>
      <c r="B379" s="44" t="n"/>
      <c r="C379" s="45" t="n"/>
      <c r="D379" s="45" t="n"/>
      <c r="E379" s="45" t="n"/>
      <c r="F379" s="43" t="n"/>
      <c r="G379" s="46" t="n"/>
      <c r="H379" s="47" t="n"/>
      <c r="I379" s="47" t="n"/>
      <c r="J379" s="47" t="n"/>
      <c r="K379" s="48" t="n"/>
      <c r="L379" s="47" t="n"/>
      <c r="M379" s="45" t="n"/>
      <c r="N379" s="49">
        <f>IFERROR(IF(ISBLANK(H379),"",ABS(H379-I379)/VLOOKUP(C379,設定!$B$9:$D$23,2,FALSE)),"")</f>
        <v/>
      </c>
      <c r="O379" s="48">
        <f>IFERROR(IF(ISBLANK(J379),"",ABS(J379-H379)/ABS(H379-I379)),"")</f>
        <v/>
      </c>
      <c r="P379" s="50">
        <f>IFERROR(IF(OR(ISBLANK(L379),ISBLANK(E379)),"",IF(E379="Long",(L379-H379),(H379-L379))/VLOOKUP(C379,設定!$B$9:$D$23,2,FALSE)),"")</f>
        <v/>
      </c>
      <c r="Q379" s="51">
        <f>IFERROR(IF(OR(ISBLANK(P379),N379=0),"",P379/N379),"")</f>
        <v/>
      </c>
      <c r="R379" s="51">
        <f>IFERROR(IF(ISBLANK(Q379),R378,IF(ISNUMBER(R378),R378,0)+Q379),"")</f>
        <v/>
      </c>
      <c r="S379" s="52">
        <f>IFERROR(IF(OR(ISBLANK(P379),ISBLANK(K379)),"",P379*K379*VLOOKUP(C379,設定!$B$9:$D$23,3,FALSE)),"")</f>
        <v/>
      </c>
      <c r="T379" s="45" t="n"/>
    </row>
    <row r="380">
      <c r="A380" s="33">
        <f>IF(ISBLANK(B380),"",COUNTA($B$2:B380))</f>
        <v/>
      </c>
      <c r="B380" s="34" t="n"/>
      <c r="C380" s="35" t="n"/>
      <c r="D380" s="35" t="n"/>
      <c r="E380" s="35" t="n"/>
      <c r="F380" s="33" t="n"/>
      <c r="G380" s="36" t="n"/>
      <c r="H380" s="37" t="n"/>
      <c r="I380" s="37" t="n"/>
      <c r="J380" s="37" t="n"/>
      <c r="K380" s="38" t="n"/>
      <c r="L380" s="37" t="n"/>
      <c r="M380" s="35" t="n"/>
      <c r="N380" s="39">
        <f>IFERROR(IF(ISBLANK(H380),"",ABS(H380-I380)/VLOOKUP(C380,設定!$B$9:$D$23,2,FALSE)),"")</f>
        <v/>
      </c>
      <c r="O380" s="38">
        <f>IFERROR(IF(ISBLANK(J380),"",ABS(J380-H380)/ABS(H380-I380)),"")</f>
        <v/>
      </c>
      <c r="P380" s="40">
        <f>IFERROR(IF(OR(ISBLANK(L380),ISBLANK(E380)),"",IF(E380="Long",(L380-H380),(H380-L380))/VLOOKUP(C380,設定!$B$9:$D$23,2,FALSE)),"")</f>
        <v/>
      </c>
      <c r="Q380" s="41">
        <f>IFERROR(IF(OR(ISBLANK(P380),N380=0),"",P380/N380),"")</f>
        <v/>
      </c>
      <c r="R380" s="41">
        <f>IFERROR(IF(ISBLANK(Q380),R379,IF(ISNUMBER(R379),R379,0)+Q380),"")</f>
        <v/>
      </c>
      <c r="S380" s="42">
        <f>IFERROR(IF(OR(ISBLANK(P380),ISBLANK(K380)),"",P380*K380*VLOOKUP(C380,設定!$B$9:$D$23,3,FALSE)),"")</f>
        <v/>
      </c>
      <c r="T380" s="35" t="n"/>
    </row>
    <row r="381">
      <c r="A381" s="43">
        <f>IF(ISBLANK(B381),"",COUNTA($B$2:B381))</f>
        <v/>
      </c>
      <c r="B381" s="44" t="n"/>
      <c r="C381" s="45" t="n"/>
      <c r="D381" s="45" t="n"/>
      <c r="E381" s="45" t="n"/>
      <c r="F381" s="43" t="n"/>
      <c r="G381" s="46" t="n"/>
      <c r="H381" s="47" t="n"/>
      <c r="I381" s="47" t="n"/>
      <c r="J381" s="47" t="n"/>
      <c r="K381" s="48" t="n"/>
      <c r="L381" s="47" t="n"/>
      <c r="M381" s="45" t="n"/>
      <c r="N381" s="49">
        <f>IFERROR(IF(ISBLANK(H381),"",ABS(H381-I381)/VLOOKUP(C381,設定!$B$9:$D$23,2,FALSE)),"")</f>
        <v/>
      </c>
      <c r="O381" s="48">
        <f>IFERROR(IF(ISBLANK(J381),"",ABS(J381-H381)/ABS(H381-I381)),"")</f>
        <v/>
      </c>
      <c r="P381" s="50">
        <f>IFERROR(IF(OR(ISBLANK(L381),ISBLANK(E381)),"",IF(E381="Long",(L381-H381),(H381-L381))/VLOOKUP(C381,設定!$B$9:$D$23,2,FALSE)),"")</f>
        <v/>
      </c>
      <c r="Q381" s="51">
        <f>IFERROR(IF(OR(ISBLANK(P381),N381=0),"",P381/N381),"")</f>
        <v/>
      </c>
      <c r="R381" s="51">
        <f>IFERROR(IF(ISBLANK(Q381),R380,IF(ISNUMBER(R380),R380,0)+Q381),"")</f>
        <v/>
      </c>
      <c r="S381" s="52">
        <f>IFERROR(IF(OR(ISBLANK(P381),ISBLANK(K381)),"",P381*K381*VLOOKUP(C381,設定!$B$9:$D$23,3,FALSE)),"")</f>
        <v/>
      </c>
      <c r="T381" s="45" t="n"/>
    </row>
    <row r="382">
      <c r="A382" s="33">
        <f>IF(ISBLANK(B382),"",COUNTA($B$2:B382))</f>
        <v/>
      </c>
      <c r="B382" s="34" t="n"/>
      <c r="C382" s="35" t="n"/>
      <c r="D382" s="35" t="n"/>
      <c r="E382" s="35" t="n"/>
      <c r="F382" s="33" t="n"/>
      <c r="G382" s="36" t="n"/>
      <c r="H382" s="37" t="n"/>
      <c r="I382" s="37" t="n"/>
      <c r="J382" s="37" t="n"/>
      <c r="K382" s="38" t="n"/>
      <c r="L382" s="37" t="n"/>
      <c r="M382" s="35" t="n"/>
      <c r="N382" s="39">
        <f>IFERROR(IF(ISBLANK(H382),"",ABS(H382-I382)/VLOOKUP(C382,設定!$B$9:$D$23,2,FALSE)),"")</f>
        <v/>
      </c>
      <c r="O382" s="38">
        <f>IFERROR(IF(ISBLANK(J382),"",ABS(J382-H382)/ABS(H382-I382)),"")</f>
        <v/>
      </c>
      <c r="P382" s="40">
        <f>IFERROR(IF(OR(ISBLANK(L382),ISBLANK(E382)),"",IF(E382="Long",(L382-H382),(H382-L382))/VLOOKUP(C382,設定!$B$9:$D$23,2,FALSE)),"")</f>
        <v/>
      </c>
      <c r="Q382" s="41">
        <f>IFERROR(IF(OR(ISBLANK(P382),N382=0),"",P382/N382),"")</f>
        <v/>
      </c>
      <c r="R382" s="41">
        <f>IFERROR(IF(ISBLANK(Q382),R381,IF(ISNUMBER(R381),R381,0)+Q382),"")</f>
        <v/>
      </c>
      <c r="S382" s="42">
        <f>IFERROR(IF(OR(ISBLANK(P382),ISBLANK(K382)),"",P382*K382*VLOOKUP(C382,設定!$B$9:$D$23,3,FALSE)),"")</f>
        <v/>
      </c>
      <c r="T382" s="35" t="n"/>
    </row>
    <row r="383">
      <c r="A383" s="43">
        <f>IF(ISBLANK(B383),"",COUNTA($B$2:B383))</f>
        <v/>
      </c>
      <c r="B383" s="44" t="n"/>
      <c r="C383" s="45" t="n"/>
      <c r="D383" s="45" t="n"/>
      <c r="E383" s="45" t="n"/>
      <c r="F383" s="43" t="n"/>
      <c r="G383" s="46" t="n"/>
      <c r="H383" s="47" t="n"/>
      <c r="I383" s="47" t="n"/>
      <c r="J383" s="47" t="n"/>
      <c r="K383" s="48" t="n"/>
      <c r="L383" s="47" t="n"/>
      <c r="M383" s="45" t="n"/>
      <c r="N383" s="49">
        <f>IFERROR(IF(ISBLANK(H383),"",ABS(H383-I383)/VLOOKUP(C383,設定!$B$9:$D$23,2,FALSE)),"")</f>
        <v/>
      </c>
      <c r="O383" s="48">
        <f>IFERROR(IF(ISBLANK(J383),"",ABS(J383-H383)/ABS(H383-I383)),"")</f>
        <v/>
      </c>
      <c r="P383" s="50">
        <f>IFERROR(IF(OR(ISBLANK(L383),ISBLANK(E383)),"",IF(E383="Long",(L383-H383),(H383-L383))/VLOOKUP(C383,設定!$B$9:$D$23,2,FALSE)),"")</f>
        <v/>
      </c>
      <c r="Q383" s="51">
        <f>IFERROR(IF(OR(ISBLANK(P383),N383=0),"",P383/N383),"")</f>
        <v/>
      </c>
      <c r="R383" s="51">
        <f>IFERROR(IF(ISBLANK(Q383),R382,IF(ISNUMBER(R382),R382,0)+Q383),"")</f>
        <v/>
      </c>
      <c r="S383" s="52">
        <f>IFERROR(IF(OR(ISBLANK(P383),ISBLANK(K383)),"",P383*K383*VLOOKUP(C383,設定!$B$9:$D$23,3,FALSE)),"")</f>
        <v/>
      </c>
      <c r="T383" s="45" t="n"/>
    </row>
    <row r="384">
      <c r="A384" s="33">
        <f>IF(ISBLANK(B384),"",COUNTA($B$2:B384))</f>
        <v/>
      </c>
      <c r="B384" s="34" t="n"/>
      <c r="C384" s="35" t="n"/>
      <c r="D384" s="35" t="n"/>
      <c r="E384" s="35" t="n"/>
      <c r="F384" s="33" t="n"/>
      <c r="G384" s="36" t="n"/>
      <c r="H384" s="37" t="n"/>
      <c r="I384" s="37" t="n"/>
      <c r="J384" s="37" t="n"/>
      <c r="K384" s="38" t="n"/>
      <c r="L384" s="37" t="n"/>
      <c r="M384" s="35" t="n"/>
      <c r="N384" s="39">
        <f>IFERROR(IF(ISBLANK(H384),"",ABS(H384-I384)/VLOOKUP(C384,設定!$B$9:$D$23,2,FALSE)),"")</f>
        <v/>
      </c>
      <c r="O384" s="38">
        <f>IFERROR(IF(ISBLANK(J384),"",ABS(J384-H384)/ABS(H384-I384)),"")</f>
        <v/>
      </c>
      <c r="P384" s="40">
        <f>IFERROR(IF(OR(ISBLANK(L384),ISBLANK(E384)),"",IF(E384="Long",(L384-H384),(H384-L384))/VLOOKUP(C384,設定!$B$9:$D$23,2,FALSE)),"")</f>
        <v/>
      </c>
      <c r="Q384" s="41">
        <f>IFERROR(IF(OR(ISBLANK(P384),N384=0),"",P384/N384),"")</f>
        <v/>
      </c>
      <c r="R384" s="41">
        <f>IFERROR(IF(ISBLANK(Q384),R383,IF(ISNUMBER(R383),R383,0)+Q384),"")</f>
        <v/>
      </c>
      <c r="S384" s="42">
        <f>IFERROR(IF(OR(ISBLANK(P384),ISBLANK(K384)),"",P384*K384*VLOOKUP(C384,設定!$B$9:$D$23,3,FALSE)),"")</f>
        <v/>
      </c>
      <c r="T384" s="35" t="n"/>
    </row>
    <row r="385">
      <c r="A385" s="43">
        <f>IF(ISBLANK(B385),"",COUNTA($B$2:B385))</f>
        <v/>
      </c>
      <c r="B385" s="44" t="n"/>
      <c r="C385" s="45" t="n"/>
      <c r="D385" s="45" t="n"/>
      <c r="E385" s="45" t="n"/>
      <c r="F385" s="43" t="n"/>
      <c r="G385" s="46" t="n"/>
      <c r="H385" s="47" t="n"/>
      <c r="I385" s="47" t="n"/>
      <c r="J385" s="47" t="n"/>
      <c r="K385" s="48" t="n"/>
      <c r="L385" s="47" t="n"/>
      <c r="M385" s="45" t="n"/>
      <c r="N385" s="49">
        <f>IFERROR(IF(ISBLANK(H385),"",ABS(H385-I385)/VLOOKUP(C385,設定!$B$9:$D$23,2,FALSE)),"")</f>
        <v/>
      </c>
      <c r="O385" s="48">
        <f>IFERROR(IF(ISBLANK(J385),"",ABS(J385-H385)/ABS(H385-I385)),"")</f>
        <v/>
      </c>
      <c r="P385" s="50">
        <f>IFERROR(IF(OR(ISBLANK(L385),ISBLANK(E385)),"",IF(E385="Long",(L385-H385),(H385-L385))/VLOOKUP(C385,設定!$B$9:$D$23,2,FALSE)),"")</f>
        <v/>
      </c>
      <c r="Q385" s="51">
        <f>IFERROR(IF(OR(ISBLANK(P385),N385=0),"",P385/N385),"")</f>
        <v/>
      </c>
      <c r="R385" s="51">
        <f>IFERROR(IF(ISBLANK(Q385),R384,IF(ISNUMBER(R384),R384,0)+Q385),"")</f>
        <v/>
      </c>
      <c r="S385" s="52">
        <f>IFERROR(IF(OR(ISBLANK(P385),ISBLANK(K385)),"",P385*K385*VLOOKUP(C385,設定!$B$9:$D$23,3,FALSE)),"")</f>
        <v/>
      </c>
      <c r="T385" s="45" t="n"/>
    </row>
    <row r="386">
      <c r="A386" s="33">
        <f>IF(ISBLANK(B386),"",COUNTA($B$2:B386))</f>
        <v/>
      </c>
      <c r="B386" s="34" t="n"/>
      <c r="C386" s="35" t="n"/>
      <c r="D386" s="35" t="n"/>
      <c r="E386" s="35" t="n"/>
      <c r="F386" s="33" t="n"/>
      <c r="G386" s="36" t="n"/>
      <c r="H386" s="37" t="n"/>
      <c r="I386" s="37" t="n"/>
      <c r="J386" s="37" t="n"/>
      <c r="K386" s="38" t="n"/>
      <c r="L386" s="37" t="n"/>
      <c r="M386" s="35" t="n"/>
      <c r="N386" s="39">
        <f>IFERROR(IF(ISBLANK(H386),"",ABS(H386-I386)/VLOOKUP(C386,設定!$B$9:$D$23,2,FALSE)),"")</f>
        <v/>
      </c>
      <c r="O386" s="38">
        <f>IFERROR(IF(ISBLANK(J386),"",ABS(J386-H386)/ABS(H386-I386)),"")</f>
        <v/>
      </c>
      <c r="P386" s="40">
        <f>IFERROR(IF(OR(ISBLANK(L386),ISBLANK(E386)),"",IF(E386="Long",(L386-H386),(H386-L386))/VLOOKUP(C386,設定!$B$9:$D$23,2,FALSE)),"")</f>
        <v/>
      </c>
      <c r="Q386" s="41">
        <f>IFERROR(IF(OR(ISBLANK(P386),N386=0),"",P386/N386),"")</f>
        <v/>
      </c>
      <c r="R386" s="41">
        <f>IFERROR(IF(ISBLANK(Q386),R385,IF(ISNUMBER(R385),R385,0)+Q386),"")</f>
        <v/>
      </c>
      <c r="S386" s="42">
        <f>IFERROR(IF(OR(ISBLANK(P386),ISBLANK(K386)),"",P386*K386*VLOOKUP(C386,設定!$B$9:$D$23,3,FALSE)),"")</f>
        <v/>
      </c>
      <c r="T386" s="35" t="n"/>
    </row>
    <row r="387">
      <c r="A387" s="43">
        <f>IF(ISBLANK(B387),"",COUNTA($B$2:B387))</f>
        <v/>
      </c>
      <c r="B387" s="44" t="n"/>
      <c r="C387" s="45" t="n"/>
      <c r="D387" s="45" t="n"/>
      <c r="E387" s="45" t="n"/>
      <c r="F387" s="43" t="n"/>
      <c r="G387" s="46" t="n"/>
      <c r="H387" s="47" t="n"/>
      <c r="I387" s="47" t="n"/>
      <c r="J387" s="47" t="n"/>
      <c r="K387" s="48" t="n"/>
      <c r="L387" s="47" t="n"/>
      <c r="M387" s="45" t="n"/>
      <c r="N387" s="49">
        <f>IFERROR(IF(ISBLANK(H387),"",ABS(H387-I387)/VLOOKUP(C387,設定!$B$9:$D$23,2,FALSE)),"")</f>
        <v/>
      </c>
      <c r="O387" s="48">
        <f>IFERROR(IF(ISBLANK(J387),"",ABS(J387-H387)/ABS(H387-I387)),"")</f>
        <v/>
      </c>
      <c r="P387" s="50">
        <f>IFERROR(IF(OR(ISBLANK(L387),ISBLANK(E387)),"",IF(E387="Long",(L387-H387),(H387-L387))/VLOOKUP(C387,設定!$B$9:$D$23,2,FALSE)),"")</f>
        <v/>
      </c>
      <c r="Q387" s="51">
        <f>IFERROR(IF(OR(ISBLANK(P387),N387=0),"",P387/N387),"")</f>
        <v/>
      </c>
      <c r="R387" s="51">
        <f>IFERROR(IF(ISBLANK(Q387),R386,IF(ISNUMBER(R386),R386,0)+Q387),"")</f>
        <v/>
      </c>
      <c r="S387" s="52">
        <f>IFERROR(IF(OR(ISBLANK(P387),ISBLANK(K387)),"",P387*K387*VLOOKUP(C387,設定!$B$9:$D$23,3,FALSE)),"")</f>
        <v/>
      </c>
      <c r="T387" s="45" t="n"/>
    </row>
    <row r="388">
      <c r="A388" s="33">
        <f>IF(ISBLANK(B388),"",COUNTA($B$2:B388))</f>
        <v/>
      </c>
      <c r="B388" s="34" t="n"/>
      <c r="C388" s="35" t="n"/>
      <c r="D388" s="35" t="n"/>
      <c r="E388" s="35" t="n"/>
      <c r="F388" s="33" t="n"/>
      <c r="G388" s="36" t="n"/>
      <c r="H388" s="37" t="n"/>
      <c r="I388" s="37" t="n"/>
      <c r="J388" s="37" t="n"/>
      <c r="K388" s="38" t="n"/>
      <c r="L388" s="37" t="n"/>
      <c r="M388" s="35" t="n"/>
      <c r="N388" s="39">
        <f>IFERROR(IF(ISBLANK(H388),"",ABS(H388-I388)/VLOOKUP(C388,設定!$B$9:$D$23,2,FALSE)),"")</f>
        <v/>
      </c>
      <c r="O388" s="38">
        <f>IFERROR(IF(ISBLANK(J388),"",ABS(J388-H388)/ABS(H388-I388)),"")</f>
        <v/>
      </c>
      <c r="P388" s="40">
        <f>IFERROR(IF(OR(ISBLANK(L388),ISBLANK(E388)),"",IF(E388="Long",(L388-H388),(H388-L388))/VLOOKUP(C388,設定!$B$9:$D$23,2,FALSE)),"")</f>
        <v/>
      </c>
      <c r="Q388" s="41">
        <f>IFERROR(IF(OR(ISBLANK(P388),N388=0),"",P388/N388),"")</f>
        <v/>
      </c>
      <c r="R388" s="41">
        <f>IFERROR(IF(ISBLANK(Q388),R387,IF(ISNUMBER(R387),R387,0)+Q388),"")</f>
        <v/>
      </c>
      <c r="S388" s="42">
        <f>IFERROR(IF(OR(ISBLANK(P388),ISBLANK(K388)),"",P388*K388*VLOOKUP(C388,設定!$B$9:$D$23,3,FALSE)),"")</f>
        <v/>
      </c>
      <c r="T388" s="35" t="n"/>
    </row>
    <row r="389">
      <c r="A389" s="43">
        <f>IF(ISBLANK(B389),"",COUNTA($B$2:B389))</f>
        <v/>
      </c>
      <c r="B389" s="44" t="n"/>
      <c r="C389" s="45" t="n"/>
      <c r="D389" s="45" t="n"/>
      <c r="E389" s="45" t="n"/>
      <c r="F389" s="43" t="n"/>
      <c r="G389" s="46" t="n"/>
      <c r="H389" s="47" t="n"/>
      <c r="I389" s="47" t="n"/>
      <c r="J389" s="47" t="n"/>
      <c r="K389" s="48" t="n"/>
      <c r="L389" s="47" t="n"/>
      <c r="M389" s="45" t="n"/>
      <c r="N389" s="49">
        <f>IFERROR(IF(ISBLANK(H389),"",ABS(H389-I389)/VLOOKUP(C389,設定!$B$9:$D$23,2,FALSE)),"")</f>
        <v/>
      </c>
      <c r="O389" s="48">
        <f>IFERROR(IF(ISBLANK(J389),"",ABS(J389-H389)/ABS(H389-I389)),"")</f>
        <v/>
      </c>
      <c r="P389" s="50">
        <f>IFERROR(IF(OR(ISBLANK(L389),ISBLANK(E389)),"",IF(E389="Long",(L389-H389),(H389-L389))/VLOOKUP(C389,設定!$B$9:$D$23,2,FALSE)),"")</f>
        <v/>
      </c>
      <c r="Q389" s="51">
        <f>IFERROR(IF(OR(ISBLANK(P389),N389=0),"",P389/N389),"")</f>
        <v/>
      </c>
      <c r="R389" s="51">
        <f>IFERROR(IF(ISBLANK(Q389),R388,IF(ISNUMBER(R388),R388,0)+Q389),"")</f>
        <v/>
      </c>
      <c r="S389" s="52">
        <f>IFERROR(IF(OR(ISBLANK(P389),ISBLANK(K389)),"",P389*K389*VLOOKUP(C389,設定!$B$9:$D$23,3,FALSE)),"")</f>
        <v/>
      </c>
      <c r="T389" s="45" t="n"/>
    </row>
    <row r="390">
      <c r="A390" s="33">
        <f>IF(ISBLANK(B390),"",COUNTA($B$2:B390))</f>
        <v/>
      </c>
      <c r="B390" s="34" t="n"/>
      <c r="C390" s="35" t="n"/>
      <c r="D390" s="35" t="n"/>
      <c r="E390" s="35" t="n"/>
      <c r="F390" s="33" t="n"/>
      <c r="G390" s="36" t="n"/>
      <c r="H390" s="37" t="n"/>
      <c r="I390" s="37" t="n"/>
      <c r="J390" s="37" t="n"/>
      <c r="K390" s="38" t="n"/>
      <c r="L390" s="37" t="n"/>
      <c r="M390" s="35" t="n"/>
      <c r="N390" s="39">
        <f>IFERROR(IF(ISBLANK(H390),"",ABS(H390-I390)/VLOOKUP(C390,設定!$B$9:$D$23,2,FALSE)),"")</f>
        <v/>
      </c>
      <c r="O390" s="38">
        <f>IFERROR(IF(ISBLANK(J390),"",ABS(J390-H390)/ABS(H390-I390)),"")</f>
        <v/>
      </c>
      <c r="P390" s="40">
        <f>IFERROR(IF(OR(ISBLANK(L390),ISBLANK(E390)),"",IF(E390="Long",(L390-H390),(H390-L390))/VLOOKUP(C390,設定!$B$9:$D$23,2,FALSE)),"")</f>
        <v/>
      </c>
      <c r="Q390" s="41">
        <f>IFERROR(IF(OR(ISBLANK(P390),N390=0),"",P390/N390),"")</f>
        <v/>
      </c>
      <c r="R390" s="41">
        <f>IFERROR(IF(ISBLANK(Q390),R389,IF(ISNUMBER(R389),R389,0)+Q390),"")</f>
        <v/>
      </c>
      <c r="S390" s="42">
        <f>IFERROR(IF(OR(ISBLANK(P390),ISBLANK(K390)),"",P390*K390*VLOOKUP(C390,設定!$B$9:$D$23,3,FALSE)),"")</f>
        <v/>
      </c>
      <c r="T390" s="35" t="n"/>
    </row>
    <row r="391">
      <c r="A391" s="43">
        <f>IF(ISBLANK(B391),"",COUNTA($B$2:B391))</f>
        <v/>
      </c>
      <c r="B391" s="44" t="n"/>
      <c r="C391" s="45" t="n"/>
      <c r="D391" s="45" t="n"/>
      <c r="E391" s="45" t="n"/>
      <c r="F391" s="43" t="n"/>
      <c r="G391" s="46" t="n"/>
      <c r="H391" s="47" t="n"/>
      <c r="I391" s="47" t="n"/>
      <c r="J391" s="47" t="n"/>
      <c r="K391" s="48" t="n"/>
      <c r="L391" s="47" t="n"/>
      <c r="M391" s="45" t="n"/>
      <c r="N391" s="49">
        <f>IFERROR(IF(ISBLANK(H391),"",ABS(H391-I391)/VLOOKUP(C391,設定!$B$9:$D$23,2,FALSE)),"")</f>
        <v/>
      </c>
      <c r="O391" s="48">
        <f>IFERROR(IF(ISBLANK(J391),"",ABS(J391-H391)/ABS(H391-I391)),"")</f>
        <v/>
      </c>
      <c r="P391" s="50">
        <f>IFERROR(IF(OR(ISBLANK(L391),ISBLANK(E391)),"",IF(E391="Long",(L391-H391),(H391-L391))/VLOOKUP(C391,設定!$B$9:$D$23,2,FALSE)),"")</f>
        <v/>
      </c>
      <c r="Q391" s="51">
        <f>IFERROR(IF(OR(ISBLANK(P391),N391=0),"",P391/N391),"")</f>
        <v/>
      </c>
      <c r="R391" s="51">
        <f>IFERROR(IF(ISBLANK(Q391),R390,IF(ISNUMBER(R390),R390,0)+Q391),"")</f>
        <v/>
      </c>
      <c r="S391" s="52">
        <f>IFERROR(IF(OR(ISBLANK(P391),ISBLANK(K391)),"",P391*K391*VLOOKUP(C391,設定!$B$9:$D$23,3,FALSE)),"")</f>
        <v/>
      </c>
      <c r="T391" s="45" t="n"/>
    </row>
    <row r="392">
      <c r="A392" s="33">
        <f>IF(ISBLANK(B392),"",COUNTA($B$2:B392))</f>
        <v/>
      </c>
      <c r="B392" s="34" t="n"/>
      <c r="C392" s="35" t="n"/>
      <c r="D392" s="35" t="n"/>
      <c r="E392" s="35" t="n"/>
      <c r="F392" s="33" t="n"/>
      <c r="G392" s="36" t="n"/>
      <c r="H392" s="37" t="n"/>
      <c r="I392" s="37" t="n"/>
      <c r="J392" s="37" t="n"/>
      <c r="K392" s="38" t="n"/>
      <c r="L392" s="37" t="n"/>
      <c r="M392" s="35" t="n"/>
      <c r="N392" s="39">
        <f>IFERROR(IF(ISBLANK(H392),"",ABS(H392-I392)/VLOOKUP(C392,設定!$B$9:$D$23,2,FALSE)),"")</f>
        <v/>
      </c>
      <c r="O392" s="38">
        <f>IFERROR(IF(ISBLANK(J392),"",ABS(J392-H392)/ABS(H392-I392)),"")</f>
        <v/>
      </c>
      <c r="P392" s="40">
        <f>IFERROR(IF(OR(ISBLANK(L392),ISBLANK(E392)),"",IF(E392="Long",(L392-H392),(H392-L392))/VLOOKUP(C392,設定!$B$9:$D$23,2,FALSE)),"")</f>
        <v/>
      </c>
      <c r="Q392" s="41">
        <f>IFERROR(IF(OR(ISBLANK(P392),N392=0),"",P392/N392),"")</f>
        <v/>
      </c>
      <c r="R392" s="41">
        <f>IFERROR(IF(ISBLANK(Q392),R391,IF(ISNUMBER(R391),R391,0)+Q392),"")</f>
        <v/>
      </c>
      <c r="S392" s="42">
        <f>IFERROR(IF(OR(ISBLANK(P392),ISBLANK(K392)),"",P392*K392*VLOOKUP(C392,設定!$B$9:$D$23,3,FALSE)),"")</f>
        <v/>
      </c>
      <c r="T392" s="35" t="n"/>
    </row>
    <row r="393">
      <c r="A393" s="43">
        <f>IF(ISBLANK(B393),"",COUNTA($B$2:B393))</f>
        <v/>
      </c>
      <c r="B393" s="44" t="n"/>
      <c r="C393" s="45" t="n"/>
      <c r="D393" s="45" t="n"/>
      <c r="E393" s="45" t="n"/>
      <c r="F393" s="43" t="n"/>
      <c r="G393" s="46" t="n"/>
      <c r="H393" s="47" t="n"/>
      <c r="I393" s="47" t="n"/>
      <c r="J393" s="47" t="n"/>
      <c r="K393" s="48" t="n"/>
      <c r="L393" s="47" t="n"/>
      <c r="M393" s="45" t="n"/>
      <c r="N393" s="49">
        <f>IFERROR(IF(ISBLANK(H393),"",ABS(H393-I393)/VLOOKUP(C393,設定!$B$9:$D$23,2,FALSE)),"")</f>
        <v/>
      </c>
      <c r="O393" s="48">
        <f>IFERROR(IF(ISBLANK(J393),"",ABS(J393-H393)/ABS(H393-I393)),"")</f>
        <v/>
      </c>
      <c r="P393" s="50">
        <f>IFERROR(IF(OR(ISBLANK(L393),ISBLANK(E393)),"",IF(E393="Long",(L393-H393),(H393-L393))/VLOOKUP(C393,設定!$B$9:$D$23,2,FALSE)),"")</f>
        <v/>
      </c>
      <c r="Q393" s="51">
        <f>IFERROR(IF(OR(ISBLANK(P393),N393=0),"",P393/N393),"")</f>
        <v/>
      </c>
      <c r="R393" s="51">
        <f>IFERROR(IF(ISBLANK(Q393),R392,IF(ISNUMBER(R392),R392,0)+Q393),"")</f>
        <v/>
      </c>
      <c r="S393" s="52">
        <f>IFERROR(IF(OR(ISBLANK(P393),ISBLANK(K393)),"",P393*K393*VLOOKUP(C393,設定!$B$9:$D$23,3,FALSE)),"")</f>
        <v/>
      </c>
      <c r="T393" s="45" t="n"/>
    </row>
    <row r="394">
      <c r="A394" s="33">
        <f>IF(ISBLANK(B394),"",COUNTA($B$2:B394))</f>
        <v/>
      </c>
      <c r="B394" s="34" t="n"/>
      <c r="C394" s="35" t="n"/>
      <c r="D394" s="35" t="n"/>
      <c r="E394" s="35" t="n"/>
      <c r="F394" s="33" t="n"/>
      <c r="G394" s="36" t="n"/>
      <c r="H394" s="37" t="n"/>
      <c r="I394" s="37" t="n"/>
      <c r="J394" s="37" t="n"/>
      <c r="K394" s="38" t="n"/>
      <c r="L394" s="37" t="n"/>
      <c r="M394" s="35" t="n"/>
      <c r="N394" s="39">
        <f>IFERROR(IF(ISBLANK(H394),"",ABS(H394-I394)/VLOOKUP(C394,設定!$B$9:$D$23,2,FALSE)),"")</f>
        <v/>
      </c>
      <c r="O394" s="38">
        <f>IFERROR(IF(ISBLANK(J394),"",ABS(J394-H394)/ABS(H394-I394)),"")</f>
        <v/>
      </c>
      <c r="P394" s="40">
        <f>IFERROR(IF(OR(ISBLANK(L394),ISBLANK(E394)),"",IF(E394="Long",(L394-H394),(H394-L394))/VLOOKUP(C394,設定!$B$9:$D$23,2,FALSE)),"")</f>
        <v/>
      </c>
      <c r="Q394" s="41">
        <f>IFERROR(IF(OR(ISBLANK(P394),N394=0),"",P394/N394),"")</f>
        <v/>
      </c>
      <c r="R394" s="41">
        <f>IFERROR(IF(ISBLANK(Q394),R393,IF(ISNUMBER(R393),R393,0)+Q394),"")</f>
        <v/>
      </c>
      <c r="S394" s="42">
        <f>IFERROR(IF(OR(ISBLANK(P394),ISBLANK(K394)),"",P394*K394*VLOOKUP(C394,設定!$B$9:$D$23,3,FALSE)),"")</f>
        <v/>
      </c>
      <c r="T394" s="35" t="n"/>
    </row>
    <row r="395">
      <c r="A395" s="43">
        <f>IF(ISBLANK(B395),"",COUNTA($B$2:B395))</f>
        <v/>
      </c>
      <c r="B395" s="44" t="n"/>
      <c r="C395" s="45" t="n"/>
      <c r="D395" s="45" t="n"/>
      <c r="E395" s="45" t="n"/>
      <c r="F395" s="43" t="n"/>
      <c r="G395" s="46" t="n"/>
      <c r="H395" s="47" t="n"/>
      <c r="I395" s="47" t="n"/>
      <c r="J395" s="47" t="n"/>
      <c r="K395" s="48" t="n"/>
      <c r="L395" s="47" t="n"/>
      <c r="M395" s="45" t="n"/>
      <c r="N395" s="49">
        <f>IFERROR(IF(ISBLANK(H395),"",ABS(H395-I395)/VLOOKUP(C395,設定!$B$9:$D$23,2,FALSE)),"")</f>
        <v/>
      </c>
      <c r="O395" s="48">
        <f>IFERROR(IF(ISBLANK(J395),"",ABS(J395-H395)/ABS(H395-I395)),"")</f>
        <v/>
      </c>
      <c r="P395" s="50">
        <f>IFERROR(IF(OR(ISBLANK(L395),ISBLANK(E395)),"",IF(E395="Long",(L395-H395),(H395-L395))/VLOOKUP(C395,設定!$B$9:$D$23,2,FALSE)),"")</f>
        <v/>
      </c>
      <c r="Q395" s="51">
        <f>IFERROR(IF(OR(ISBLANK(P395),N395=0),"",P395/N395),"")</f>
        <v/>
      </c>
      <c r="R395" s="51">
        <f>IFERROR(IF(ISBLANK(Q395),R394,IF(ISNUMBER(R394),R394,0)+Q395),"")</f>
        <v/>
      </c>
      <c r="S395" s="52">
        <f>IFERROR(IF(OR(ISBLANK(P395),ISBLANK(K395)),"",P395*K395*VLOOKUP(C395,設定!$B$9:$D$23,3,FALSE)),"")</f>
        <v/>
      </c>
      <c r="T395" s="45" t="n"/>
    </row>
    <row r="396">
      <c r="A396" s="33">
        <f>IF(ISBLANK(B396),"",COUNTA($B$2:B396))</f>
        <v/>
      </c>
      <c r="B396" s="34" t="n"/>
      <c r="C396" s="35" t="n"/>
      <c r="D396" s="35" t="n"/>
      <c r="E396" s="35" t="n"/>
      <c r="F396" s="33" t="n"/>
      <c r="G396" s="36" t="n"/>
      <c r="H396" s="37" t="n"/>
      <c r="I396" s="37" t="n"/>
      <c r="J396" s="37" t="n"/>
      <c r="K396" s="38" t="n"/>
      <c r="L396" s="37" t="n"/>
      <c r="M396" s="35" t="n"/>
      <c r="N396" s="39">
        <f>IFERROR(IF(ISBLANK(H396),"",ABS(H396-I396)/VLOOKUP(C396,設定!$B$9:$D$23,2,FALSE)),"")</f>
        <v/>
      </c>
      <c r="O396" s="38">
        <f>IFERROR(IF(ISBLANK(J396),"",ABS(J396-H396)/ABS(H396-I396)),"")</f>
        <v/>
      </c>
      <c r="P396" s="40">
        <f>IFERROR(IF(OR(ISBLANK(L396),ISBLANK(E396)),"",IF(E396="Long",(L396-H396),(H396-L396))/VLOOKUP(C396,設定!$B$9:$D$23,2,FALSE)),"")</f>
        <v/>
      </c>
      <c r="Q396" s="41">
        <f>IFERROR(IF(OR(ISBLANK(P396),N396=0),"",P396/N396),"")</f>
        <v/>
      </c>
      <c r="R396" s="41">
        <f>IFERROR(IF(ISBLANK(Q396),R395,IF(ISNUMBER(R395),R395,0)+Q396),"")</f>
        <v/>
      </c>
      <c r="S396" s="42">
        <f>IFERROR(IF(OR(ISBLANK(P396),ISBLANK(K396)),"",P396*K396*VLOOKUP(C396,設定!$B$9:$D$23,3,FALSE)),"")</f>
        <v/>
      </c>
      <c r="T396" s="35" t="n"/>
    </row>
    <row r="397">
      <c r="A397" s="43">
        <f>IF(ISBLANK(B397),"",COUNTA($B$2:B397))</f>
        <v/>
      </c>
      <c r="B397" s="44" t="n"/>
      <c r="C397" s="45" t="n"/>
      <c r="D397" s="45" t="n"/>
      <c r="E397" s="45" t="n"/>
      <c r="F397" s="43" t="n"/>
      <c r="G397" s="46" t="n"/>
      <c r="H397" s="47" t="n"/>
      <c r="I397" s="47" t="n"/>
      <c r="J397" s="47" t="n"/>
      <c r="K397" s="48" t="n"/>
      <c r="L397" s="47" t="n"/>
      <c r="M397" s="45" t="n"/>
      <c r="N397" s="49">
        <f>IFERROR(IF(ISBLANK(H397),"",ABS(H397-I397)/VLOOKUP(C397,設定!$B$9:$D$23,2,FALSE)),"")</f>
        <v/>
      </c>
      <c r="O397" s="48">
        <f>IFERROR(IF(ISBLANK(J397),"",ABS(J397-H397)/ABS(H397-I397)),"")</f>
        <v/>
      </c>
      <c r="P397" s="50">
        <f>IFERROR(IF(OR(ISBLANK(L397),ISBLANK(E397)),"",IF(E397="Long",(L397-H397),(H397-L397))/VLOOKUP(C397,設定!$B$9:$D$23,2,FALSE)),"")</f>
        <v/>
      </c>
      <c r="Q397" s="51">
        <f>IFERROR(IF(OR(ISBLANK(P397),N397=0),"",P397/N397),"")</f>
        <v/>
      </c>
      <c r="R397" s="51">
        <f>IFERROR(IF(ISBLANK(Q397),R396,IF(ISNUMBER(R396),R396,0)+Q397),"")</f>
        <v/>
      </c>
      <c r="S397" s="52">
        <f>IFERROR(IF(OR(ISBLANK(P397),ISBLANK(K397)),"",P397*K397*VLOOKUP(C397,設定!$B$9:$D$23,3,FALSE)),"")</f>
        <v/>
      </c>
      <c r="T397" s="45" t="n"/>
    </row>
    <row r="398">
      <c r="A398" s="33">
        <f>IF(ISBLANK(B398),"",COUNTA($B$2:B398))</f>
        <v/>
      </c>
      <c r="B398" s="34" t="n"/>
      <c r="C398" s="35" t="n"/>
      <c r="D398" s="35" t="n"/>
      <c r="E398" s="35" t="n"/>
      <c r="F398" s="33" t="n"/>
      <c r="G398" s="36" t="n"/>
      <c r="H398" s="37" t="n"/>
      <c r="I398" s="37" t="n"/>
      <c r="J398" s="37" t="n"/>
      <c r="K398" s="38" t="n"/>
      <c r="L398" s="37" t="n"/>
      <c r="M398" s="35" t="n"/>
      <c r="N398" s="39">
        <f>IFERROR(IF(ISBLANK(H398),"",ABS(H398-I398)/VLOOKUP(C398,設定!$B$9:$D$23,2,FALSE)),"")</f>
        <v/>
      </c>
      <c r="O398" s="38">
        <f>IFERROR(IF(ISBLANK(J398),"",ABS(J398-H398)/ABS(H398-I398)),"")</f>
        <v/>
      </c>
      <c r="P398" s="40">
        <f>IFERROR(IF(OR(ISBLANK(L398),ISBLANK(E398)),"",IF(E398="Long",(L398-H398),(H398-L398))/VLOOKUP(C398,設定!$B$9:$D$23,2,FALSE)),"")</f>
        <v/>
      </c>
      <c r="Q398" s="41">
        <f>IFERROR(IF(OR(ISBLANK(P398),N398=0),"",P398/N398),"")</f>
        <v/>
      </c>
      <c r="R398" s="41">
        <f>IFERROR(IF(ISBLANK(Q398),R397,IF(ISNUMBER(R397),R397,0)+Q398),"")</f>
        <v/>
      </c>
      <c r="S398" s="42">
        <f>IFERROR(IF(OR(ISBLANK(P398),ISBLANK(K398)),"",P398*K398*VLOOKUP(C398,設定!$B$9:$D$23,3,FALSE)),"")</f>
        <v/>
      </c>
      <c r="T398" s="35" t="n"/>
    </row>
    <row r="399">
      <c r="A399" s="43">
        <f>IF(ISBLANK(B399),"",COUNTA($B$2:B399))</f>
        <v/>
      </c>
      <c r="B399" s="44" t="n"/>
      <c r="C399" s="45" t="n"/>
      <c r="D399" s="45" t="n"/>
      <c r="E399" s="45" t="n"/>
      <c r="F399" s="43" t="n"/>
      <c r="G399" s="46" t="n"/>
      <c r="H399" s="47" t="n"/>
      <c r="I399" s="47" t="n"/>
      <c r="J399" s="47" t="n"/>
      <c r="K399" s="48" t="n"/>
      <c r="L399" s="47" t="n"/>
      <c r="M399" s="45" t="n"/>
      <c r="N399" s="49">
        <f>IFERROR(IF(ISBLANK(H399),"",ABS(H399-I399)/VLOOKUP(C399,設定!$B$9:$D$23,2,FALSE)),"")</f>
        <v/>
      </c>
      <c r="O399" s="48">
        <f>IFERROR(IF(ISBLANK(J399),"",ABS(J399-H399)/ABS(H399-I399)),"")</f>
        <v/>
      </c>
      <c r="P399" s="50">
        <f>IFERROR(IF(OR(ISBLANK(L399),ISBLANK(E399)),"",IF(E399="Long",(L399-H399),(H399-L399))/VLOOKUP(C399,設定!$B$9:$D$23,2,FALSE)),"")</f>
        <v/>
      </c>
      <c r="Q399" s="51">
        <f>IFERROR(IF(OR(ISBLANK(P399),N399=0),"",P399/N399),"")</f>
        <v/>
      </c>
      <c r="R399" s="51">
        <f>IFERROR(IF(ISBLANK(Q399),R398,IF(ISNUMBER(R398),R398,0)+Q399),"")</f>
        <v/>
      </c>
      <c r="S399" s="52">
        <f>IFERROR(IF(OR(ISBLANK(P399),ISBLANK(K399)),"",P399*K399*VLOOKUP(C399,設定!$B$9:$D$23,3,FALSE)),"")</f>
        <v/>
      </c>
      <c r="T399" s="45" t="n"/>
    </row>
    <row r="400">
      <c r="A400" s="33">
        <f>IF(ISBLANK(B400),"",COUNTA($B$2:B400))</f>
        <v/>
      </c>
      <c r="B400" s="34" t="n"/>
      <c r="C400" s="35" t="n"/>
      <c r="D400" s="35" t="n"/>
      <c r="E400" s="35" t="n"/>
      <c r="F400" s="33" t="n"/>
      <c r="G400" s="36" t="n"/>
      <c r="H400" s="37" t="n"/>
      <c r="I400" s="37" t="n"/>
      <c r="J400" s="37" t="n"/>
      <c r="K400" s="38" t="n"/>
      <c r="L400" s="37" t="n"/>
      <c r="M400" s="35" t="n"/>
      <c r="N400" s="39">
        <f>IFERROR(IF(ISBLANK(H400),"",ABS(H400-I400)/VLOOKUP(C400,設定!$B$9:$D$23,2,FALSE)),"")</f>
        <v/>
      </c>
      <c r="O400" s="38">
        <f>IFERROR(IF(ISBLANK(J400),"",ABS(J400-H400)/ABS(H400-I400)),"")</f>
        <v/>
      </c>
      <c r="P400" s="40">
        <f>IFERROR(IF(OR(ISBLANK(L400),ISBLANK(E400)),"",IF(E400="Long",(L400-H400),(H400-L400))/VLOOKUP(C400,設定!$B$9:$D$23,2,FALSE)),"")</f>
        <v/>
      </c>
      <c r="Q400" s="41">
        <f>IFERROR(IF(OR(ISBLANK(P400),N400=0),"",P400/N400),"")</f>
        <v/>
      </c>
      <c r="R400" s="41">
        <f>IFERROR(IF(ISBLANK(Q400),R399,IF(ISNUMBER(R399),R399,0)+Q400),"")</f>
        <v/>
      </c>
      <c r="S400" s="42">
        <f>IFERROR(IF(OR(ISBLANK(P400),ISBLANK(K400)),"",P400*K400*VLOOKUP(C400,設定!$B$9:$D$23,3,FALSE)),"")</f>
        <v/>
      </c>
      <c r="T400" s="35" t="n"/>
    </row>
    <row r="401">
      <c r="A401" s="43">
        <f>IF(ISBLANK(B401),"",COUNTA($B$2:B401))</f>
        <v/>
      </c>
      <c r="B401" s="44" t="n"/>
      <c r="C401" s="45" t="n"/>
      <c r="D401" s="45" t="n"/>
      <c r="E401" s="45" t="n"/>
      <c r="F401" s="43" t="n"/>
      <c r="G401" s="46" t="n"/>
      <c r="H401" s="47" t="n"/>
      <c r="I401" s="47" t="n"/>
      <c r="J401" s="47" t="n"/>
      <c r="K401" s="48" t="n"/>
      <c r="L401" s="47" t="n"/>
      <c r="M401" s="45" t="n"/>
      <c r="N401" s="49">
        <f>IFERROR(IF(ISBLANK(H401),"",ABS(H401-I401)/VLOOKUP(C401,設定!$B$9:$D$23,2,FALSE)),"")</f>
        <v/>
      </c>
      <c r="O401" s="48">
        <f>IFERROR(IF(ISBLANK(J401),"",ABS(J401-H401)/ABS(H401-I401)),"")</f>
        <v/>
      </c>
      <c r="P401" s="50">
        <f>IFERROR(IF(OR(ISBLANK(L401),ISBLANK(E401)),"",IF(E401="Long",(L401-H401),(H401-L401))/VLOOKUP(C401,設定!$B$9:$D$23,2,FALSE)),"")</f>
        <v/>
      </c>
      <c r="Q401" s="51">
        <f>IFERROR(IF(OR(ISBLANK(P401),N401=0),"",P401/N401),"")</f>
        <v/>
      </c>
      <c r="R401" s="51">
        <f>IFERROR(IF(ISBLANK(Q401),R400,IF(ISNUMBER(R400),R400,0)+Q401),"")</f>
        <v/>
      </c>
      <c r="S401" s="52">
        <f>IFERROR(IF(OR(ISBLANK(P401),ISBLANK(K401)),"",P401*K401*VLOOKUP(C401,設定!$B$9:$D$23,3,FALSE)),"")</f>
        <v/>
      </c>
      <c r="T401" s="45" t="n"/>
    </row>
    <row r="402">
      <c r="A402" s="33">
        <f>IF(ISBLANK(B402),"",COUNTA($B$2:B402))</f>
        <v/>
      </c>
      <c r="B402" s="34" t="n"/>
      <c r="C402" s="35" t="n"/>
      <c r="D402" s="35" t="n"/>
      <c r="E402" s="35" t="n"/>
      <c r="F402" s="33" t="n"/>
      <c r="G402" s="36" t="n"/>
      <c r="H402" s="37" t="n"/>
      <c r="I402" s="37" t="n"/>
      <c r="J402" s="37" t="n"/>
      <c r="K402" s="38" t="n"/>
      <c r="L402" s="37" t="n"/>
      <c r="M402" s="35" t="n"/>
      <c r="N402" s="39">
        <f>IFERROR(IF(ISBLANK(H402),"",ABS(H402-I402)/VLOOKUP(C402,設定!$B$9:$D$23,2,FALSE)),"")</f>
        <v/>
      </c>
      <c r="O402" s="38">
        <f>IFERROR(IF(ISBLANK(J402),"",ABS(J402-H402)/ABS(H402-I402)),"")</f>
        <v/>
      </c>
      <c r="P402" s="40">
        <f>IFERROR(IF(OR(ISBLANK(L402),ISBLANK(E402)),"",IF(E402="Long",(L402-H402),(H402-L402))/VLOOKUP(C402,設定!$B$9:$D$23,2,FALSE)),"")</f>
        <v/>
      </c>
      <c r="Q402" s="41">
        <f>IFERROR(IF(OR(ISBLANK(P402),N402=0),"",P402/N402),"")</f>
        <v/>
      </c>
      <c r="R402" s="41">
        <f>IFERROR(IF(ISBLANK(Q402),R401,IF(ISNUMBER(R401),R401,0)+Q402),"")</f>
        <v/>
      </c>
      <c r="S402" s="42">
        <f>IFERROR(IF(OR(ISBLANK(P402),ISBLANK(K402)),"",P402*K402*VLOOKUP(C402,設定!$B$9:$D$23,3,FALSE)),"")</f>
        <v/>
      </c>
      <c r="T402" s="35" t="n"/>
    </row>
    <row r="403">
      <c r="A403" s="43">
        <f>IF(ISBLANK(B403),"",COUNTA($B$2:B403))</f>
        <v/>
      </c>
      <c r="B403" s="44" t="n"/>
      <c r="C403" s="45" t="n"/>
      <c r="D403" s="45" t="n"/>
      <c r="E403" s="45" t="n"/>
      <c r="F403" s="43" t="n"/>
      <c r="G403" s="46" t="n"/>
      <c r="H403" s="47" t="n"/>
      <c r="I403" s="47" t="n"/>
      <c r="J403" s="47" t="n"/>
      <c r="K403" s="48" t="n"/>
      <c r="L403" s="47" t="n"/>
      <c r="M403" s="45" t="n"/>
      <c r="N403" s="49">
        <f>IFERROR(IF(ISBLANK(H403),"",ABS(H403-I403)/VLOOKUP(C403,設定!$B$9:$D$23,2,FALSE)),"")</f>
        <v/>
      </c>
      <c r="O403" s="48">
        <f>IFERROR(IF(ISBLANK(J403),"",ABS(J403-H403)/ABS(H403-I403)),"")</f>
        <v/>
      </c>
      <c r="P403" s="50">
        <f>IFERROR(IF(OR(ISBLANK(L403),ISBLANK(E403)),"",IF(E403="Long",(L403-H403),(H403-L403))/VLOOKUP(C403,設定!$B$9:$D$23,2,FALSE)),"")</f>
        <v/>
      </c>
      <c r="Q403" s="51">
        <f>IFERROR(IF(OR(ISBLANK(P403),N403=0),"",P403/N403),"")</f>
        <v/>
      </c>
      <c r="R403" s="51">
        <f>IFERROR(IF(ISBLANK(Q403),R402,IF(ISNUMBER(R402),R402,0)+Q403),"")</f>
        <v/>
      </c>
      <c r="S403" s="52">
        <f>IFERROR(IF(OR(ISBLANK(P403),ISBLANK(K403)),"",P403*K403*VLOOKUP(C403,設定!$B$9:$D$23,3,FALSE)),"")</f>
        <v/>
      </c>
      <c r="T403" s="45" t="n"/>
    </row>
    <row r="404">
      <c r="A404" s="33">
        <f>IF(ISBLANK(B404),"",COUNTA($B$2:B404))</f>
        <v/>
      </c>
      <c r="B404" s="34" t="n"/>
      <c r="C404" s="35" t="n"/>
      <c r="D404" s="35" t="n"/>
      <c r="E404" s="35" t="n"/>
      <c r="F404" s="33" t="n"/>
      <c r="G404" s="36" t="n"/>
      <c r="H404" s="37" t="n"/>
      <c r="I404" s="37" t="n"/>
      <c r="J404" s="37" t="n"/>
      <c r="K404" s="38" t="n"/>
      <c r="L404" s="37" t="n"/>
      <c r="M404" s="35" t="n"/>
      <c r="N404" s="39">
        <f>IFERROR(IF(ISBLANK(H404),"",ABS(H404-I404)/VLOOKUP(C404,設定!$B$9:$D$23,2,FALSE)),"")</f>
        <v/>
      </c>
      <c r="O404" s="38">
        <f>IFERROR(IF(ISBLANK(J404),"",ABS(J404-H404)/ABS(H404-I404)),"")</f>
        <v/>
      </c>
      <c r="P404" s="40">
        <f>IFERROR(IF(OR(ISBLANK(L404),ISBLANK(E404)),"",IF(E404="Long",(L404-H404),(H404-L404))/VLOOKUP(C404,設定!$B$9:$D$23,2,FALSE)),"")</f>
        <v/>
      </c>
      <c r="Q404" s="41">
        <f>IFERROR(IF(OR(ISBLANK(P404),N404=0),"",P404/N404),"")</f>
        <v/>
      </c>
      <c r="R404" s="41">
        <f>IFERROR(IF(ISBLANK(Q404),R403,IF(ISNUMBER(R403),R403,0)+Q404),"")</f>
        <v/>
      </c>
      <c r="S404" s="42">
        <f>IFERROR(IF(OR(ISBLANK(P404),ISBLANK(K404)),"",P404*K404*VLOOKUP(C404,設定!$B$9:$D$23,3,FALSE)),"")</f>
        <v/>
      </c>
      <c r="T404" s="35" t="n"/>
    </row>
    <row r="405">
      <c r="A405" s="43">
        <f>IF(ISBLANK(B405),"",COUNTA($B$2:B405))</f>
        <v/>
      </c>
      <c r="B405" s="44" t="n"/>
      <c r="C405" s="45" t="n"/>
      <c r="D405" s="45" t="n"/>
      <c r="E405" s="45" t="n"/>
      <c r="F405" s="43" t="n"/>
      <c r="G405" s="46" t="n"/>
      <c r="H405" s="47" t="n"/>
      <c r="I405" s="47" t="n"/>
      <c r="J405" s="47" t="n"/>
      <c r="K405" s="48" t="n"/>
      <c r="L405" s="47" t="n"/>
      <c r="M405" s="45" t="n"/>
      <c r="N405" s="49">
        <f>IFERROR(IF(ISBLANK(H405),"",ABS(H405-I405)/VLOOKUP(C405,設定!$B$9:$D$23,2,FALSE)),"")</f>
        <v/>
      </c>
      <c r="O405" s="48">
        <f>IFERROR(IF(ISBLANK(J405),"",ABS(J405-H405)/ABS(H405-I405)),"")</f>
        <v/>
      </c>
      <c r="P405" s="50">
        <f>IFERROR(IF(OR(ISBLANK(L405),ISBLANK(E405)),"",IF(E405="Long",(L405-H405),(H405-L405))/VLOOKUP(C405,設定!$B$9:$D$23,2,FALSE)),"")</f>
        <v/>
      </c>
      <c r="Q405" s="51">
        <f>IFERROR(IF(OR(ISBLANK(P405),N405=0),"",P405/N405),"")</f>
        <v/>
      </c>
      <c r="R405" s="51">
        <f>IFERROR(IF(ISBLANK(Q405),R404,IF(ISNUMBER(R404),R404,0)+Q405),"")</f>
        <v/>
      </c>
      <c r="S405" s="52">
        <f>IFERROR(IF(OR(ISBLANK(P405),ISBLANK(K405)),"",P405*K405*VLOOKUP(C405,設定!$B$9:$D$23,3,FALSE)),"")</f>
        <v/>
      </c>
      <c r="T405" s="45" t="n"/>
    </row>
    <row r="406">
      <c r="A406" s="33">
        <f>IF(ISBLANK(B406),"",COUNTA($B$2:B406))</f>
        <v/>
      </c>
      <c r="B406" s="34" t="n"/>
      <c r="C406" s="35" t="n"/>
      <c r="D406" s="35" t="n"/>
      <c r="E406" s="35" t="n"/>
      <c r="F406" s="33" t="n"/>
      <c r="G406" s="36" t="n"/>
      <c r="H406" s="37" t="n"/>
      <c r="I406" s="37" t="n"/>
      <c r="J406" s="37" t="n"/>
      <c r="K406" s="38" t="n"/>
      <c r="L406" s="37" t="n"/>
      <c r="M406" s="35" t="n"/>
      <c r="N406" s="39">
        <f>IFERROR(IF(ISBLANK(H406),"",ABS(H406-I406)/VLOOKUP(C406,設定!$B$9:$D$23,2,FALSE)),"")</f>
        <v/>
      </c>
      <c r="O406" s="38">
        <f>IFERROR(IF(ISBLANK(J406),"",ABS(J406-H406)/ABS(H406-I406)),"")</f>
        <v/>
      </c>
      <c r="P406" s="40">
        <f>IFERROR(IF(OR(ISBLANK(L406),ISBLANK(E406)),"",IF(E406="Long",(L406-H406),(H406-L406))/VLOOKUP(C406,設定!$B$9:$D$23,2,FALSE)),"")</f>
        <v/>
      </c>
      <c r="Q406" s="41">
        <f>IFERROR(IF(OR(ISBLANK(P406),N406=0),"",P406/N406),"")</f>
        <v/>
      </c>
      <c r="R406" s="41">
        <f>IFERROR(IF(ISBLANK(Q406),R405,IF(ISNUMBER(R405),R405,0)+Q406),"")</f>
        <v/>
      </c>
      <c r="S406" s="42">
        <f>IFERROR(IF(OR(ISBLANK(P406),ISBLANK(K406)),"",P406*K406*VLOOKUP(C406,設定!$B$9:$D$23,3,FALSE)),"")</f>
        <v/>
      </c>
      <c r="T406" s="35" t="n"/>
    </row>
    <row r="407">
      <c r="A407" s="43">
        <f>IF(ISBLANK(B407),"",COUNTA($B$2:B407))</f>
        <v/>
      </c>
      <c r="B407" s="44" t="n"/>
      <c r="C407" s="45" t="n"/>
      <c r="D407" s="45" t="n"/>
      <c r="E407" s="45" t="n"/>
      <c r="F407" s="43" t="n"/>
      <c r="G407" s="46" t="n"/>
      <c r="H407" s="47" t="n"/>
      <c r="I407" s="47" t="n"/>
      <c r="J407" s="47" t="n"/>
      <c r="K407" s="48" t="n"/>
      <c r="L407" s="47" t="n"/>
      <c r="M407" s="45" t="n"/>
      <c r="N407" s="49">
        <f>IFERROR(IF(ISBLANK(H407),"",ABS(H407-I407)/VLOOKUP(C407,設定!$B$9:$D$23,2,FALSE)),"")</f>
        <v/>
      </c>
      <c r="O407" s="48">
        <f>IFERROR(IF(ISBLANK(J407),"",ABS(J407-H407)/ABS(H407-I407)),"")</f>
        <v/>
      </c>
      <c r="P407" s="50">
        <f>IFERROR(IF(OR(ISBLANK(L407),ISBLANK(E407)),"",IF(E407="Long",(L407-H407),(H407-L407))/VLOOKUP(C407,設定!$B$9:$D$23,2,FALSE)),"")</f>
        <v/>
      </c>
      <c r="Q407" s="51">
        <f>IFERROR(IF(OR(ISBLANK(P407),N407=0),"",P407/N407),"")</f>
        <v/>
      </c>
      <c r="R407" s="51">
        <f>IFERROR(IF(ISBLANK(Q407),R406,IF(ISNUMBER(R406),R406,0)+Q407),"")</f>
        <v/>
      </c>
      <c r="S407" s="52">
        <f>IFERROR(IF(OR(ISBLANK(P407),ISBLANK(K407)),"",P407*K407*VLOOKUP(C407,設定!$B$9:$D$23,3,FALSE)),"")</f>
        <v/>
      </c>
      <c r="T407" s="45" t="n"/>
    </row>
    <row r="408">
      <c r="A408" s="33">
        <f>IF(ISBLANK(B408),"",COUNTA($B$2:B408))</f>
        <v/>
      </c>
      <c r="B408" s="34" t="n"/>
      <c r="C408" s="35" t="n"/>
      <c r="D408" s="35" t="n"/>
      <c r="E408" s="35" t="n"/>
      <c r="F408" s="33" t="n"/>
      <c r="G408" s="36" t="n"/>
      <c r="H408" s="37" t="n"/>
      <c r="I408" s="37" t="n"/>
      <c r="J408" s="37" t="n"/>
      <c r="K408" s="38" t="n"/>
      <c r="L408" s="37" t="n"/>
      <c r="M408" s="35" t="n"/>
      <c r="N408" s="39">
        <f>IFERROR(IF(ISBLANK(H408),"",ABS(H408-I408)/VLOOKUP(C408,設定!$B$9:$D$23,2,FALSE)),"")</f>
        <v/>
      </c>
      <c r="O408" s="38">
        <f>IFERROR(IF(ISBLANK(J408),"",ABS(J408-H408)/ABS(H408-I408)),"")</f>
        <v/>
      </c>
      <c r="P408" s="40">
        <f>IFERROR(IF(OR(ISBLANK(L408),ISBLANK(E408)),"",IF(E408="Long",(L408-H408),(H408-L408))/VLOOKUP(C408,設定!$B$9:$D$23,2,FALSE)),"")</f>
        <v/>
      </c>
      <c r="Q408" s="41">
        <f>IFERROR(IF(OR(ISBLANK(P408),N408=0),"",P408/N408),"")</f>
        <v/>
      </c>
      <c r="R408" s="41">
        <f>IFERROR(IF(ISBLANK(Q408),R407,IF(ISNUMBER(R407),R407,0)+Q408),"")</f>
        <v/>
      </c>
      <c r="S408" s="42">
        <f>IFERROR(IF(OR(ISBLANK(P408),ISBLANK(K408)),"",P408*K408*VLOOKUP(C408,設定!$B$9:$D$23,3,FALSE)),"")</f>
        <v/>
      </c>
      <c r="T408" s="35" t="n"/>
    </row>
    <row r="409">
      <c r="A409" s="43">
        <f>IF(ISBLANK(B409),"",COUNTA($B$2:B409))</f>
        <v/>
      </c>
      <c r="B409" s="44" t="n"/>
      <c r="C409" s="45" t="n"/>
      <c r="D409" s="45" t="n"/>
      <c r="E409" s="45" t="n"/>
      <c r="F409" s="43" t="n"/>
      <c r="G409" s="46" t="n"/>
      <c r="H409" s="47" t="n"/>
      <c r="I409" s="47" t="n"/>
      <c r="J409" s="47" t="n"/>
      <c r="K409" s="48" t="n"/>
      <c r="L409" s="47" t="n"/>
      <c r="M409" s="45" t="n"/>
      <c r="N409" s="49">
        <f>IFERROR(IF(ISBLANK(H409),"",ABS(H409-I409)/VLOOKUP(C409,設定!$B$9:$D$23,2,FALSE)),"")</f>
        <v/>
      </c>
      <c r="O409" s="48">
        <f>IFERROR(IF(ISBLANK(J409),"",ABS(J409-H409)/ABS(H409-I409)),"")</f>
        <v/>
      </c>
      <c r="P409" s="50">
        <f>IFERROR(IF(OR(ISBLANK(L409),ISBLANK(E409)),"",IF(E409="Long",(L409-H409),(H409-L409))/VLOOKUP(C409,設定!$B$9:$D$23,2,FALSE)),"")</f>
        <v/>
      </c>
      <c r="Q409" s="51">
        <f>IFERROR(IF(OR(ISBLANK(P409),N409=0),"",P409/N409),"")</f>
        <v/>
      </c>
      <c r="R409" s="51">
        <f>IFERROR(IF(ISBLANK(Q409),R408,IF(ISNUMBER(R408),R408,0)+Q409),"")</f>
        <v/>
      </c>
      <c r="S409" s="52">
        <f>IFERROR(IF(OR(ISBLANK(P409),ISBLANK(K409)),"",P409*K409*VLOOKUP(C409,設定!$B$9:$D$23,3,FALSE)),"")</f>
        <v/>
      </c>
      <c r="T409" s="45" t="n"/>
    </row>
    <row r="410">
      <c r="A410" s="33">
        <f>IF(ISBLANK(B410),"",COUNTA($B$2:B410))</f>
        <v/>
      </c>
      <c r="B410" s="34" t="n"/>
      <c r="C410" s="35" t="n"/>
      <c r="D410" s="35" t="n"/>
      <c r="E410" s="35" t="n"/>
      <c r="F410" s="33" t="n"/>
      <c r="G410" s="36" t="n"/>
      <c r="H410" s="37" t="n"/>
      <c r="I410" s="37" t="n"/>
      <c r="J410" s="37" t="n"/>
      <c r="K410" s="38" t="n"/>
      <c r="L410" s="37" t="n"/>
      <c r="M410" s="35" t="n"/>
      <c r="N410" s="39">
        <f>IFERROR(IF(ISBLANK(H410),"",ABS(H410-I410)/VLOOKUP(C410,設定!$B$9:$D$23,2,FALSE)),"")</f>
        <v/>
      </c>
      <c r="O410" s="38">
        <f>IFERROR(IF(ISBLANK(J410),"",ABS(J410-H410)/ABS(H410-I410)),"")</f>
        <v/>
      </c>
      <c r="P410" s="40">
        <f>IFERROR(IF(OR(ISBLANK(L410),ISBLANK(E410)),"",IF(E410="Long",(L410-H410),(H410-L410))/VLOOKUP(C410,設定!$B$9:$D$23,2,FALSE)),"")</f>
        <v/>
      </c>
      <c r="Q410" s="41">
        <f>IFERROR(IF(OR(ISBLANK(P410),N410=0),"",P410/N410),"")</f>
        <v/>
      </c>
      <c r="R410" s="41">
        <f>IFERROR(IF(ISBLANK(Q410),R409,IF(ISNUMBER(R409),R409,0)+Q410),"")</f>
        <v/>
      </c>
      <c r="S410" s="42">
        <f>IFERROR(IF(OR(ISBLANK(P410),ISBLANK(K410)),"",P410*K410*VLOOKUP(C410,設定!$B$9:$D$23,3,FALSE)),"")</f>
        <v/>
      </c>
      <c r="T410" s="35" t="n"/>
    </row>
    <row r="411">
      <c r="A411" s="43">
        <f>IF(ISBLANK(B411),"",COUNTA($B$2:B411))</f>
        <v/>
      </c>
      <c r="B411" s="44" t="n"/>
      <c r="C411" s="45" t="n"/>
      <c r="D411" s="45" t="n"/>
      <c r="E411" s="45" t="n"/>
      <c r="F411" s="43" t="n"/>
      <c r="G411" s="46" t="n"/>
      <c r="H411" s="47" t="n"/>
      <c r="I411" s="47" t="n"/>
      <c r="J411" s="47" t="n"/>
      <c r="K411" s="48" t="n"/>
      <c r="L411" s="47" t="n"/>
      <c r="M411" s="45" t="n"/>
      <c r="N411" s="49">
        <f>IFERROR(IF(ISBLANK(H411),"",ABS(H411-I411)/VLOOKUP(C411,設定!$B$9:$D$23,2,FALSE)),"")</f>
        <v/>
      </c>
      <c r="O411" s="48">
        <f>IFERROR(IF(ISBLANK(J411),"",ABS(J411-H411)/ABS(H411-I411)),"")</f>
        <v/>
      </c>
      <c r="P411" s="50">
        <f>IFERROR(IF(OR(ISBLANK(L411),ISBLANK(E411)),"",IF(E411="Long",(L411-H411),(H411-L411))/VLOOKUP(C411,設定!$B$9:$D$23,2,FALSE)),"")</f>
        <v/>
      </c>
      <c r="Q411" s="51">
        <f>IFERROR(IF(OR(ISBLANK(P411),N411=0),"",P411/N411),"")</f>
        <v/>
      </c>
      <c r="R411" s="51">
        <f>IFERROR(IF(ISBLANK(Q411),R410,IF(ISNUMBER(R410),R410,0)+Q411),"")</f>
        <v/>
      </c>
      <c r="S411" s="52">
        <f>IFERROR(IF(OR(ISBLANK(P411),ISBLANK(K411)),"",P411*K411*VLOOKUP(C411,設定!$B$9:$D$23,3,FALSE)),"")</f>
        <v/>
      </c>
      <c r="T411" s="45" t="n"/>
    </row>
    <row r="412">
      <c r="A412" s="33">
        <f>IF(ISBLANK(B412),"",COUNTA($B$2:B412))</f>
        <v/>
      </c>
      <c r="B412" s="34" t="n"/>
      <c r="C412" s="35" t="n"/>
      <c r="D412" s="35" t="n"/>
      <c r="E412" s="35" t="n"/>
      <c r="F412" s="33" t="n"/>
      <c r="G412" s="36" t="n"/>
      <c r="H412" s="37" t="n"/>
      <c r="I412" s="37" t="n"/>
      <c r="J412" s="37" t="n"/>
      <c r="K412" s="38" t="n"/>
      <c r="L412" s="37" t="n"/>
      <c r="M412" s="35" t="n"/>
      <c r="N412" s="39">
        <f>IFERROR(IF(ISBLANK(H412),"",ABS(H412-I412)/VLOOKUP(C412,設定!$B$9:$D$23,2,FALSE)),"")</f>
        <v/>
      </c>
      <c r="O412" s="38">
        <f>IFERROR(IF(ISBLANK(J412),"",ABS(J412-H412)/ABS(H412-I412)),"")</f>
        <v/>
      </c>
      <c r="P412" s="40">
        <f>IFERROR(IF(OR(ISBLANK(L412),ISBLANK(E412)),"",IF(E412="Long",(L412-H412),(H412-L412))/VLOOKUP(C412,設定!$B$9:$D$23,2,FALSE)),"")</f>
        <v/>
      </c>
      <c r="Q412" s="41">
        <f>IFERROR(IF(OR(ISBLANK(P412),N412=0),"",P412/N412),"")</f>
        <v/>
      </c>
      <c r="R412" s="41">
        <f>IFERROR(IF(ISBLANK(Q412),R411,IF(ISNUMBER(R411),R411,0)+Q412),"")</f>
        <v/>
      </c>
      <c r="S412" s="42">
        <f>IFERROR(IF(OR(ISBLANK(P412),ISBLANK(K412)),"",P412*K412*VLOOKUP(C412,設定!$B$9:$D$23,3,FALSE)),"")</f>
        <v/>
      </c>
      <c r="T412" s="35" t="n"/>
    </row>
    <row r="413">
      <c r="A413" s="43">
        <f>IF(ISBLANK(B413),"",COUNTA($B$2:B413))</f>
        <v/>
      </c>
      <c r="B413" s="44" t="n"/>
      <c r="C413" s="45" t="n"/>
      <c r="D413" s="45" t="n"/>
      <c r="E413" s="45" t="n"/>
      <c r="F413" s="43" t="n"/>
      <c r="G413" s="46" t="n"/>
      <c r="H413" s="47" t="n"/>
      <c r="I413" s="47" t="n"/>
      <c r="J413" s="47" t="n"/>
      <c r="K413" s="48" t="n"/>
      <c r="L413" s="47" t="n"/>
      <c r="M413" s="45" t="n"/>
      <c r="N413" s="49">
        <f>IFERROR(IF(ISBLANK(H413),"",ABS(H413-I413)/VLOOKUP(C413,設定!$B$9:$D$23,2,FALSE)),"")</f>
        <v/>
      </c>
      <c r="O413" s="48">
        <f>IFERROR(IF(ISBLANK(J413),"",ABS(J413-H413)/ABS(H413-I413)),"")</f>
        <v/>
      </c>
      <c r="P413" s="50">
        <f>IFERROR(IF(OR(ISBLANK(L413),ISBLANK(E413)),"",IF(E413="Long",(L413-H413),(H413-L413))/VLOOKUP(C413,設定!$B$9:$D$23,2,FALSE)),"")</f>
        <v/>
      </c>
      <c r="Q413" s="51">
        <f>IFERROR(IF(OR(ISBLANK(P413),N413=0),"",P413/N413),"")</f>
        <v/>
      </c>
      <c r="R413" s="51">
        <f>IFERROR(IF(ISBLANK(Q413),R412,IF(ISNUMBER(R412),R412,0)+Q413),"")</f>
        <v/>
      </c>
      <c r="S413" s="52">
        <f>IFERROR(IF(OR(ISBLANK(P413),ISBLANK(K413)),"",P413*K413*VLOOKUP(C413,設定!$B$9:$D$23,3,FALSE)),"")</f>
        <v/>
      </c>
      <c r="T413" s="45" t="n"/>
    </row>
    <row r="414">
      <c r="A414" s="33">
        <f>IF(ISBLANK(B414),"",COUNTA($B$2:B414))</f>
        <v/>
      </c>
      <c r="B414" s="34" t="n"/>
      <c r="C414" s="35" t="n"/>
      <c r="D414" s="35" t="n"/>
      <c r="E414" s="35" t="n"/>
      <c r="F414" s="33" t="n"/>
      <c r="G414" s="36" t="n"/>
      <c r="H414" s="37" t="n"/>
      <c r="I414" s="37" t="n"/>
      <c r="J414" s="37" t="n"/>
      <c r="K414" s="38" t="n"/>
      <c r="L414" s="37" t="n"/>
      <c r="M414" s="35" t="n"/>
      <c r="N414" s="39">
        <f>IFERROR(IF(ISBLANK(H414),"",ABS(H414-I414)/VLOOKUP(C414,設定!$B$9:$D$23,2,FALSE)),"")</f>
        <v/>
      </c>
      <c r="O414" s="38">
        <f>IFERROR(IF(ISBLANK(J414),"",ABS(J414-H414)/ABS(H414-I414)),"")</f>
        <v/>
      </c>
      <c r="P414" s="40">
        <f>IFERROR(IF(OR(ISBLANK(L414),ISBLANK(E414)),"",IF(E414="Long",(L414-H414),(H414-L414))/VLOOKUP(C414,設定!$B$9:$D$23,2,FALSE)),"")</f>
        <v/>
      </c>
      <c r="Q414" s="41">
        <f>IFERROR(IF(OR(ISBLANK(P414),N414=0),"",P414/N414),"")</f>
        <v/>
      </c>
      <c r="R414" s="41">
        <f>IFERROR(IF(ISBLANK(Q414),R413,IF(ISNUMBER(R413),R413,0)+Q414),"")</f>
        <v/>
      </c>
      <c r="S414" s="42">
        <f>IFERROR(IF(OR(ISBLANK(P414),ISBLANK(K414)),"",P414*K414*VLOOKUP(C414,設定!$B$9:$D$23,3,FALSE)),"")</f>
        <v/>
      </c>
      <c r="T414" s="35" t="n"/>
    </row>
    <row r="415">
      <c r="A415" s="43">
        <f>IF(ISBLANK(B415),"",COUNTA($B$2:B415))</f>
        <v/>
      </c>
      <c r="B415" s="44" t="n"/>
      <c r="C415" s="45" t="n"/>
      <c r="D415" s="45" t="n"/>
      <c r="E415" s="45" t="n"/>
      <c r="F415" s="43" t="n"/>
      <c r="G415" s="46" t="n"/>
      <c r="H415" s="47" t="n"/>
      <c r="I415" s="47" t="n"/>
      <c r="J415" s="47" t="n"/>
      <c r="K415" s="48" t="n"/>
      <c r="L415" s="47" t="n"/>
      <c r="M415" s="45" t="n"/>
      <c r="N415" s="49">
        <f>IFERROR(IF(ISBLANK(H415),"",ABS(H415-I415)/VLOOKUP(C415,設定!$B$9:$D$23,2,FALSE)),"")</f>
        <v/>
      </c>
      <c r="O415" s="48">
        <f>IFERROR(IF(ISBLANK(J415),"",ABS(J415-H415)/ABS(H415-I415)),"")</f>
        <v/>
      </c>
      <c r="P415" s="50">
        <f>IFERROR(IF(OR(ISBLANK(L415),ISBLANK(E415)),"",IF(E415="Long",(L415-H415),(H415-L415))/VLOOKUP(C415,設定!$B$9:$D$23,2,FALSE)),"")</f>
        <v/>
      </c>
      <c r="Q415" s="51">
        <f>IFERROR(IF(OR(ISBLANK(P415),N415=0),"",P415/N415),"")</f>
        <v/>
      </c>
      <c r="R415" s="51">
        <f>IFERROR(IF(ISBLANK(Q415),R414,IF(ISNUMBER(R414),R414,0)+Q415),"")</f>
        <v/>
      </c>
      <c r="S415" s="52">
        <f>IFERROR(IF(OR(ISBLANK(P415),ISBLANK(K415)),"",P415*K415*VLOOKUP(C415,設定!$B$9:$D$23,3,FALSE)),"")</f>
        <v/>
      </c>
      <c r="T415" s="45" t="n"/>
    </row>
    <row r="416">
      <c r="A416" s="33">
        <f>IF(ISBLANK(B416),"",COUNTA($B$2:B416))</f>
        <v/>
      </c>
      <c r="B416" s="34" t="n"/>
      <c r="C416" s="35" t="n"/>
      <c r="D416" s="35" t="n"/>
      <c r="E416" s="35" t="n"/>
      <c r="F416" s="33" t="n"/>
      <c r="G416" s="36" t="n"/>
      <c r="H416" s="37" t="n"/>
      <c r="I416" s="37" t="n"/>
      <c r="J416" s="37" t="n"/>
      <c r="K416" s="38" t="n"/>
      <c r="L416" s="37" t="n"/>
      <c r="M416" s="35" t="n"/>
      <c r="N416" s="39">
        <f>IFERROR(IF(ISBLANK(H416),"",ABS(H416-I416)/VLOOKUP(C416,設定!$B$9:$D$23,2,FALSE)),"")</f>
        <v/>
      </c>
      <c r="O416" s="38">
        <f>IFERROR(IF(ISBLANK(J416),"",ABS(J416-H416)/ABS(H416-I416)),"")</f>
        <v/>
      </c>
      <c r="P416" s="40">
        <f>IFERROR(IF(OR(ISBLANK(L416),ISBLANK(E416)),"",IF(E416="Long",(L416-H416),(H416-L416))/VLOOKUP(C416,設定!$B$9:$D$23,2,FALSE)),"")</f>
        <v/>
      </c>
      <c r="Q416" s="41">
        <f>IFERROR(IF(OR(ISBLANK(P416),N416=0),"",P416/N416),"")</f>
        <v/>
      </c>
      <c r="R416" s="41">
        <f>IFERROR(IF(ISBLANK(Q416),R415,IF(ISNUMBER(R415),R415,0)+Q416),"")</f>
        <v/>
      </c>
      <c r="S416" s="42">
        <f>IFERROR(IF(OR(ISBLANK(P416),ISBLANK(K416)),"",P416*K416*VLOOKUP(C416,設定!$B$9:$D$23,3,FALSE)),"")</f>
        <v/>
      </c>
      <c r="T416" s="35" t="n"/>
    </row>
    <row r="417">
      <c r="A417" s="43">
        <f>IF(ISBLANK(B417),"",COUNTA($B$2:B417))</f>
        <v/>
      </c>
      <c r="B417" s="44" t="n"/>
      <c r="C417" s="45" t="n"/>
      <c r="D417" s="45" t="n"/>
      <c r="E417" s="45" t="n"/>
      <c r="F417" s="43" t="n"/>
      <c r="G417" s="46" t="n"/>
      <c r="H417" s="47" t="n"/>
      <c r="I417" s="47" t="n"/>
      <c r="J417" s="47" t="n"/>
      <c r="K417" s="48" t="n"/>
      <c r="L417" s="47" t="n"/>
      <c r="M417" s="45" t="n"/>
      <c r="N417" s="49">
        <f>IFERROR(IF(ISBLANK(H417),"",ABS(H417-I417)/VLOOKUP(C417,設定!$B$9:$D$23,2,FALSE)),"")</f>
        <v/>
      </c>
      <c r="O417" s="48">
        <f>IFERROR(IF(ISBLANK(J417),"",ABS(J417-H417)/ABS(H417-I417)),"")</f>
        <v/>
      </c>
      <c r="P417" s="50">
        <f>IFERROR(IF(OR(ISBLANK(L417),ISBLANK(E417)),"",IF(E417="Long",(L417-H417),(H417-L417))/VLOOKUP(C417,設定!$B$9:$D$23,2,FALSE)),"")</f>
        <v/>
      </c>
      <c r="Q417" s="51">
        <f>IFERROR(IF(OR(ISBLANK(P417),N417=0),"",P417/N417),"")</f>
        <v/>
      </c>
      <c r="R417" s="51">
        <f>IFERROR(IF(ISBLANK(Q417),R416,IF(ISNUMBER(R416),R416,0)+Q417),"")</f>
        <v/>
      </c>
      <c r="S417" s="52">
        <f>IFERROR(IF(OR(ISBLANK(P417),ISBLANK(K417)),"",P417*K417*VLOOKUP(C417,設定!$B$9:$D$23,3,FALSE)),"")</f>
        <v/>
      </c>
      <c r="T417" s="45" t="n"/>
    </row>
    <row r="418">
      <c r="A418" s="33">
        <f>IF(ISBLANK(B418),"",COUNTA($B$2:B418))</f>
        <v/>
      </c>
      <c r="B418" s="34" t="n"/>
      <c r="C418" s="35" t="n"/>
      <c r="D418" s="35" t="n"/>
      <c r="E418" s="35" t="n"/>
      <c r="F418" s="33" t="n"/>
      <c r="G418" s="36" t="n"/>
      <c r="H418" s="37" t="n"/>
      <c r="I418" s="37" t="n"/>
      <c r="J418" s="37" t="n"/>
      <c r="K418" s="38" t="n"/>
      <c r="L418" s="37" t="n"/>
      <c r="M418" s="35" t="n"/>
      <c r="N418" s="39">
        <f>IFERROR(IF(ISBLANK(H418),"",ABS(H418-I418)/VLOOKUP(C418,設定!$B$9:$D$23,2,FALSE)),"")</f>
        <v/>
      </c>
      <c r="O418" s="38">
        <f>IFERROR(IF(ISBLANK(J418),"",ABS(J418-H418)/ABS(H418-I418)),"")</f>
        <v/>
      </c>
      <c r="P418" s="40">
        <f>IFERROR(IF(OR(ISBLANK(L418),ISBLANK(E418)),"",IF(E418="Long",(L418-H418),(H418-L418))/VLOOKUP(C418,設定!$B$9:$D$23,2,FALSE)),"")</f>
        <v/>
      </c>
      <c r="Q418" s="41">
        <f>IFERROR(IF(OR(ISBLANK(P418),N418=0),"",P418/N418),"")</f>
        <v/>
      </c>
      <c r="R418" s="41">
        <f>IFERROR(IF(ISBLANK(Q418),R417,IF(ISNUMBER(R417),R417,0)+Q418),"")</f>
        <v/>
      </c>
      <c r="S418" s="42">
        <f>IFERROR(IF(OR(ISBLANK(P418),ISBLANK(K418)),"",P418*K418*VLOOKUP(C418,設定!$B$9:$D$23,3,FALSE)),"")</f>
        <v/>
      </c>
      <c r="T418" s="35" t="n"/>
    </row>
    <row r="419">
      <c r="A419" s="43">
        <f>IF(ISBLANK(B419),"",COUNTA($B$2:B419))</f>
        <v/>
      </c>
      <c r="B419" s="44" t="n"/>
      <c r="C419" s="45" t="n"/>
      <c r="D419" s="45" t="n"/>
      <c r="E419" s="45" t="n"/>
      <c r="F419" s="43" t="n"/>
      <c r="G419" s="46" t="n"/>
      <c r="H419" s="47" t="n"/>
      <c r="I419" s="47" t="n"/>
      <c r="J419" s="47" t="n"/>
      <c r="K419" s="48" t="n"/>
      <c r="L419" s="47" t="n"/>
      <c r="M419" s="45" t="n"/>
      <c r="N419" s="49">
        <f>IFERROR(IF(ISBLANK(H419),"",ABS(H419-I419)/VLOOKUP(C419,設定!$B$9:$D$23,2,FALSE)),"")</f>
        <v/>
      </c>
      <c r="O419" s="48">
        <f>IFERROR(IF(ISBLANK(J419),"",ABS(J419-H419)/ABS(H419-I419)),"")</f>
        <v/>
      </c>
      <c r="P419" s="50">
        <f>IFERROR(IF(OR(ISBLANK(L419),ISBLANK(E419)),"",IF(E419="Long",(L419-H419),(H419-L419))/VLOOKUP(C419,設定!$B$9:$D$23,2,FALSE)),"")</f>
        <v/>
      </c>
      <c r="Q419" s="51">
        <f>IFERROR(IF(OR(ISBLANK(P419),N419=0),"",P419/N419),"")</f>
        <v/>
      </c>
      <c r="R419" s="51">
        <f>IFERROR(IF(ISBLANK(Q419),R418,IF(ISNUMBER(R418),R418,0)+Q419),"")</f>
        <v/>
      </c>
      <c r="S419" s="52">
        <f>IFERROR(IF(OR(ISBLANK(P419),ISBLANK(K419)),"",P419*K419*VLOOKUP(C419,設定!$B$9:$D$23,3,FALSE)),"")</f>
        <v/>
      </c>
      <c r="T419" s="45" t="n"/>
    </row>
    <row r="420">
      <c r="A420" s="33">
        <f>IF(ISBLANK(B420),"",COUNTA($B$2:B420))</f>
        <v/>
      </c>
      <c r="B420" s="34" t="n"/>
      <c r="C420" s="35" t="n"/>
      <c r="D420" s="35" t="n"/>
      <c r="E420" s="35" t="n"/>
      <c r="F420" s="33" t="n"/>
      <c r="G420" s="36" t="n"/>
      <c r="H420" s="37" t="n"/>
      <c r="I420" s="37" t="n"/>
      <c r="J420" s="37" t="n"/>
      <c r="K420" s="38" t="n"/>
      <c r="L420" s="37" t="n"/>
      <c r="M420" s="35" t="n"/>
      <c r="N420" s="39">
        <f>IFERROR(IF(ISBLANK(H420),"",ABS(H420-I420)/VLOOKUP(C420,設定!$B$9:$D$23,2,FALSE)),"")</f>
        <v/>
      </c>
      <c r="O420" s="38">
        <f>IFERROR(IF(ISBLANK(J420),"",ABS(J420-H420)/ABS(H420-I420)),"")</f>
        <v/>
      </c>
      <c r="P420" s="40">
        <f>IFERROR(IF(OR(ISBLANK(L420),ISBLANK(E420)),"",IF(E420="Long",(L420-H420),(H420-L420))/VLOOKUP(C420,設定!$B$9:$D$23,2,FALSE)),"")</f>
        <v/>
      </c>
      <c r="Q420" s="41">
        <f>IFERROR(IF(OR(ISBLANK(P420),N420=0),"",P420/N420),"")</f>
        <v/>
      </c>
      <c r="R420" s="41">
        <f>IFERROR(IF(ISBLANK(Q420),R419,IF(ISNUMBER(R419),R419,0)+Q420),"")</f>
        <v/>
      </c>
      <c r="S420" s="42">
        <f>IFERROR(IF(OR(ISBLANK(P420),ISBLANK(K420)),"",P420*K420*VLOOKUP(C420,設定!$B$9:$D$23,3,FALSE)),"")</f>
        <v/>
      </c>
      <c r="T420" s="35" t="n"/>
    </row>
    <row r="421">
      <c r="A421" s="43">
        <f>IF(ISBLANK(B421),"",COUNTA($B$2:B421))</f>
        <v/>
      </c>
      <c r="B421" s="44" t="n"/>
      <c r="C421" s="45" t="n"/>
      <c r="D421" s="45" t="n"/>
      <c r="E421" s="45" t="n"/>
      <c r="F421" s="43" t="n"/>
      <c r="G421" s="46" t="n"/>
      <c r="H421" s="47" t="n"/>
      <c r="I421" s="47" t="n"/>
      <c r="J421" s="47" t="n"/>
      <c r="K421" s="48" t="n"/>
      <c r="L421" s="47" t="n"/>
      <c r="M421" s="45" t="n"/>
      <c r="N421" s="49">
        <f>IFERROR(IF(ISBLANK(H421),"",ABS(H421-I421)/VLOOKUP(C421,設定!$B$9:$D$23,2,FALSE)),"")</f>
        <v/>
      </c>
      <c r="O421" s="48">
        <f>IFERROR(IF(ISBLANK(J421),"",ABS(J421-H421)/ABS(H421-I421)),"")</f>
        <v/>
      </c>
      <c r="P421" s="50">
        <f>IFERROR(IF(OR(ISBLANK(L421),ISBLANK(E421)),"",IF(E421="Long",(L421-H421),(H421-L421))/VLOOKUP(C421,設定!$B$9:$D$23,2,FALSE)),"")</f>
        <v/>
      </c>
      <c r="Q421" s="51">
        <f>IFERROR(IF(OR(ISBLANK(P421),N421=0),"",P421/N421),"")</f>
        <v/>
      </c>
      <c r="R421" s="51">
        <f>IFERROR(IF(ISBLANK(Q421),R420,IF(ISNUMBER(R420),R420,0)+Q421),"")</f>
        <v/>
      </c>
      <c r="S421" s="52">
        <f>IFERROR(IF(OR(ISBLANK(P421),ISBLANK(K421)),"",P421*K421*VLOOKUP(C421,設定!$B$9:$D$23,3,FALSE)),"")</f>
        <v/>
      </c>
      <c r="T421" s="45" t="n"/>
    </row>
    <row r="422">
      <c r="A422" s="33">
        <f>IF(ISBLANK(B422),"",COUNTA($B$2:B422))</f>
        <v/>
      </c>
      <c r="B422" s="34" t="n"/>
      <c r="C422" s="35" t="n"/>
      <c r="D422" s="35" t="n"/>
      <c r="E422" s="35" t="n"/>
      <c r="F422" s="33" t="n"/>
      <c r="G422" s="36" t="n"/>
      <c r="H422" s="37" t="n"/>
      <c r="I422" s="37" t="n"/>
      <c r="J422" s="37" t="n"/>
      <c r="K422" s="38" t="n"/>
      <c r="L422" s="37" t="n"/>
      <c r="M422" s="35" t="n"/>
      <c r="N422" s="39">
        <f>IFERROR(IF(ISBLANK(H422),"",ABS(H422-I422)/VLOOKUP(C422,設定!$B$9:$D$23,2,FALSE)),"")</f>
        <v/>
      </c>
      <c r="O422" s="38">
        <f>IFERROR(IF(ISBLANK(J422),"",ABS(J422-H422)/ABS(H422-I422)),"")</f>
        <v/>
      </c>
      <c r="P422" s="40">
        <f>IFERROR(IF(OR(ISBLANK(L422),ISBLANK(E422)),"",IF(E422="Long",(L422-H422),(H422-L422))/VLOOKUP(C422,設定!$B$9:$D$23,2,FALSE)),"")</f>
        <v/>
      </c>
      <c r="Q422" s="41">
        <f>IFERROR(IF(OR(ISBLANK(P422),N422=0),"",P422/N422),"")</f>
        <v/>
      </c>
      <c r="R422" s="41">
        <f>IFERROR(IF(ISBLANK(Q422),R421,IF(ISNUMBER(R421),R421,0)+Q422),"")</f>
        <v/>
      </c>
      <c r="S422" s="42">
        <f>IFERROR(IF(OR(ISBLANK(P422),ISBLANK(K422)),"",P422*K422*VLOOKUP(C422,設定!$B$9:$D$23,3,FALSE)),"")</f>
        <v/>
      </c>
      <c r="T422" s="35" t="n"/>
    </row>
    <row r="423">
      <c r="A423" s="43">
        <f>IF(ISBLANK(B423),"",COUNTA($B$2:B423))</f>
        <v/>
      </c>
      <c r="B423" s="44" t="n"/>
      <c r="C423" s="45" t="n"/>
      <c r="D423" s="45" t="n"/>
      <c r="E423" s="45" t="n"/>
      <c r="F423" s="43" t="n"/>
      <c r="G423" s="46" t="n"/>
      <c r="H423" s="47" t="n"/>
      <c r="I423" s="47" t="n"/>
      <c r="J423" s="47" t="n"/>
      <c r="K423" s="48" t="n"/>
      <c r="L423" s="47" t="n"/>
      <c r="M423" s="45" t="n"/>
      <c r="N423" s="49">
        <f>IFERROR(IF(ISBLANK(H423),"",ABS(H423-I423)/VLOOKUP(C423,設定!$B$9:$D$23,2,FALSE)),"")</f>
        <v/>
      </c>
      <c r="O423" s="48">
        <f>IFERROR(IF(ISBLANK(J423),"",ABS(J423-H423)/ABS(H423-I423)),"")</f>
        <v/>
      </c>
      <c r="P423" s="50">
        <f>IFERROR(IF(OR(ISBLANK(L423),ISBLANK(E423)),"",IF(E423="Long",(L423-H423),(H423-L423))/VLOOKUP(C423,設定!$B$9:$D$23,2,FALSE)),"")</f>
        <v/>
      </c>
      <c r="Q423" s="51">
        <f>IFERROR(IF(OR(ISBLANK(P423),N423=0),"",P423/N423),"")</f>
        <v/>
      </c>
      <c r="R423" s="51">
        <f>IFERROR(IF(ISBLANK(Q423),R422,IF(ISNUMBER(R422),R422,0)+Q423),"")</f>
        <v/>
      </c>
      <c r="S423" s="52">
        <f>IFERROR(IF(OR(ISBLANK(P423),ISBLANK(K423)),"",P423*K423*VLOOKUP(C423,設定!$B$9:$D$23,3,FALSE)),"")</f>
        <v/>
      </c>
      <c r="T423" s="45" t="n"/>
    </row>
    <row r="424">
      <c r="A424" s="33">
        <f>IF(ISBLANK(B424),"",COUNTA($B$2:B424))</f>
        <v/>
      </c>
      <c r="B424" s="34" t="n"/>
      <c r="C424" s="35" t="n"/>
      <c r="D424" s="35" t="n"/>
      <c r="E424" s="35" t="n"/>
      <c r="F424" s="33" t="n"/>
      <c r="G424" s="36" t="n"/>
      <c r="H424" s="37" t="n"/>
      <c r="I424" s="37" t="n"/>
      <c r="J424" s="37" t="n"/>
      <c r="K424" s="38" t="n"/>
      <c r="L424" s="37" t="n"/>
      <c r="M424" s="35" t="n"/>
      <c r="N424" s="39">
        <f>IFERROR(IF(ISBLANK(H424),"",ABS(H424-I424)/VLOOKUP(C424,設定!$B$9:$D$23,2,FALSE)),"")</f>
        <v/>
      </c>
      <c r="O424" s="38">
        <f>IFERROR(IF(ISBLANK(J424),"",ABS(J424-H424)/ABS(H424-I424)),"")</f>
        <v/>
      </c>
      <c r="P424" s="40">
        <f>IFERROR(IF(OR(ISBLANK(L424),ISBLANK(E424)),"",IF(E424="Long",(L424-H424),(H424-L424))/VLOOKUP(C424,設定!$B$9:$D$23,2,FALSE)),"")</f>
        <v/>
      </c>
      <c r="Q424" s="41">
        <f>IFERROR(IF(OR(ISBLANK(P424),N424=0),"",P424/N424),"")</f>
        <v/>
      </c>
      <c r="R424" s="41">
        <f>IFERROR(IF(ISBLANK(Q424),R423,IF(ISNUMBER(R423),R423,0)+Q424),"")</f>
        <v/>
      </c>
      <c r="S424" s="42">
        <f>IFERROR(IF(OR(ISBLANK(P424),ISBLANK(K424)),"",P424*K424*VLOOKUP(C424,設定!$B$9:$D$23,3,FALSE)),"")</f>
        <v/>
      </c>
      <c r="T424" s="35" t="n"/>
    </row>
    <row r="425">
      <c r="A425" s="43">
        <f>IF(ISBLANK(B425),"",COUNTA($B$2:B425))</f>
        <v/>
      </c>
      <c r="B425" s="44" t="n"/>
      <c r="C425" s="45" t="n"/>
      <c r="D425" s="45" t="n"/>
      <c r="E425" s="45" t="n"/>
      <c r="F425" s="43" t="n"/>
      <c r="G425" s="46" t="n"/>
      <c r="H425" s="47" t="n"/>
      <c r="I425" s="47" t="n"/>
      <c r="J425" s="47" t="n"/>
      <c r="K425" s="48" t="n"/>
      <c r="L425" s="47" t="n"/>
      <c r="M425" s="45" t="n"/>
      <c r="N425" s="49">
        <f>IFERROR(IF(ISBLANK(H425),"",ABS(H425-I425)/VLOOKUP(C425,設定!$B$9:$D$23,2,FALSE)),"")</f>
        <v/>
      </c>
      <c r="O425" s="48">
        <f>IFERROR(IF(ISBLANK(J425),"",ABS(J425-H425)/ABS(H425-I425)),"")</f>
        <v/>
      </c>
      <c r="P425" s="50">
        <f>IFERROR(IF(OR(ISBLANK(L425),ISBLANK(E425)),"",IF(E425="Long",(L425-H425),(H425-L425))/VLOOKUP(C425,設定!$B$9:$D$23,2,FALSE)),"")</f>
        <v/>
      </c>
      <c r="Q425" s="51">
        <f>IFERROR(IF(OR(ISBLANK(P425),N425=0),"",P425/N425),"")</f>
        <v/>
      </c>
      <c r="R425" s="51">
        <f>IFERROR(IF(ISBLANK(Q425),R424,IF(ISNUMBER(R424),R424,0)+Q425),"")</f>
        <v/>
      </c>
      <c r="S425" s="52">
        <f>IFERROR(IF(OR(ISBLANK(P425),ISBLANK(K425)),"",P425*K425*VLOOKUP(C425,設定!$B$9:$D$23,3,FALSE)),"")</f>
        <v/>
      </c>
      <c r="T425" s="45" t="n"/>
    </row>
    <row r="426">
      <c r="A426" s="33">
        <f>IF(ISBLANK(B426),"",COUNTA($B$2:B426))</f>
        <v/>
      </c>
      <c r="B426" s="34" t="n"/>
      <c r="C426" s="35" t="n"/>
      <c r="D426" s="35" t="n"/>
      <c r="E426" s="35" t="n"/>
      <c r="F426" s="33" t="n"/>
      <c r="G426" s="36" t="n"/>
      <c r="H426" s="37" t="n"/>
      <c r="I426" s="37" t="n"/>
      <c r="J426" s="37" t="n"/>
      <c r="K426" s="38" t="n"/>
      <c r="L426" s="37" t="n"/>
      <c r="M426" s="35" t="n"/>
      <c r="N426" s="39">
        <f>IFERROR(IF(ISBLANK(H426),"",ABS(H426-I426)/VLOOKUP(C426,設定!$B$9:$D$23,2,FALSE)),"")</f>
        <v/>
      </c>
      <c r="O426" s="38">
        <f>IFERROR(IF(ISBLANK(J426),"",ABS(J426-H426)/ABS(H426-I426)),"")</f>
        <v/>
      </c>
      <c r="P426" s="40">
        <f>IFERROR(IF(OR(ISBLANK(L426),ISBLANK(E426)),"",IF(E426="Long",(L426-H426),(H426-L426))/VLOOKUP(C426,設定!$B$9:$D$23,2,FALSE)),"")</f>
        <v/>
      </c>
      <c r="Q426" s="41">
        <f>IFERROR(IF(OR(ISBLANK(P426),N426=0),"",P426/N426),"")</f>
        <v/>
      </c>
      <c r="R426" s="41">
        <f>IFERROR(IF(ISBLANK(Q426),R425,IF(ISNUMBER(R425),R425,0)+Q426),"")</f>
        <v/>
      </c>
      <c r="S426" s="42">
        <f>IFERROR(IF(OR(ISBLANK(P426),ISBLANK(K426)),"",P426*K426*VLOOKUP(C426,設定!$B$9:$D$23,3,FALSE)),"")</f>
        <v/>
      </c>
      <c r="T426" s="35" t="n"/>
    </row>
    <row r="427">
      <c r="A427" s="43">
        <f>IF(ISBLANK(B427),"",COUNTA($B$2:B427))</f>
        <v/>
      </c>
      <c r="B427" s="44" t="n"/>
      <c r="C427" s="45" t="n"/>
      <c r="D427" s="45" t="n"/>
      <c r="E427" s="45" t="n"/>
      <c r="F427" s="43" t="n"/>
      <c r="G427" s="46" t="n"/>
      <c r="H427" s="47" t="n"/>
      <c r="I427" s="47" t="n"/>
      <c r="J427" s="47" t="n"/>
      <c r="K427" s="48" t="n"/>
      <c r="L427" s="47" t="n"/>
      <c r="M427" s="45" t="n"/>
      <c r="N427" s="49">
        <f>IFERROR(IF(ISBLANK(H427),"",ABS(H427-I427)/VLOOKUP(C427,設定!$B$9:$D$23,2,FALSE)),"")</f>
        <v/>
      </c>
      <c r="O427" s="48">
        <f>IFERROR(IF(ISBLANK(J427),"",ABS(J427-H427)/ABS(H427-I427)),"")</f>
        <v/>
      </c>
      <c r="P427" s="50">
        <f>IFERROR(IF(OR(ISBLANK(L427),ISBLANK(E427)),"",IF(E427="Long",(L427-H427),(H427-L427))/VLOOKUP(C427,設定!$B$9:$D$23,2,FALSE)),"")</f>
        <v/>
      </c>
      <c r="Q427" s="51">
        <f>IFERROR(IF(OR(ISBLANK(P427),N427=0),"",P427/N427),"")</f>
        <v/>
      </c>
      <c r="R427" s="51">
        <f>IFERROR(IF(ISBLANK(Q427),R426,IF(ISNUMBER(R426),R426,0)+Q427),"")</f>
        <v/>
      </c>
      <c r="S427" s="52">
        <f>IFERROR(IF(OR(ISBLANK(P427),ISBLANK(K427)),"",P427*K427*VLOOKUP(C427,設定!$B$9:$D$23,3,FALSE)),"")</f>
        <v/>
      </c>
      <c r="T427" s="45" t="n"/>
    </row>
    <row r="428">
      <c r="A428" s="33">
        <f>IF(ISBLANK(B428),"",COUNTA($B$2:B428))</f>
        <v/>
      </c>
      <c r="B428" s="34" t="n"/>
      <c r="C428" s="35" t="n"/>
      <c r="D428" s="35" t="n"/>
      <c r="E428" s="35" t="n"/>
      <c r="F428" s="33" t="n"/>
      <c r="G428" s="36" t="n"/>
      <c r="H428" s="37" t="n"/>
      <c r="I428" s="37" t="n"/>
      <c r="J428" s="37" t="n"/>
      <c r="K428" s="38" t="n"/>
      <c r="L428" s="37" t="n"/>
      <c r="M428" s="35" t="n"/>
      <c r="N428" s="39">
        <f>IFERROR(IF(ISBLANK(H428),"",ABS(H428-I428)/VLOOKUP(C428,設定!$B$9:$D$23,2,FALSE)),"")</f>
        <v/>
      </c>
      <c r="O428" s="38">
        <f>IFERROR(IF(ISBLANK(J428),"",ABS(J428-H428)/ABS(H428-I428)),"")</f>
        <v/>
      </c>
      <c r="P428" s="40">
        <f>IFERROR(IF(OR(ISBLANK(L428),ISBLANK(E428)),"",IF(E428="Long",(L428-H428),(H428-L428))/VLOOKUP(C428,設定!$B$9:$D$23,2,FALSE)),"")</f>
        <v/>
      </c>
      <c r="Q428" s="41">
        <f>IFERROR(IF(OR(ISBLANK(P428),N428=0),"",P428/N428),"")</f>
        <v/>
      </c>
      <c r="R428" s="41">
        <f>IFERROR(IF(ISBLANK(Q428),R427,IF(ISNUMBER(R427),R427,0)+Q428),"")</f>
        <v/>
      </c>
      <c r="S428" s="42">
        <f>IFERROR(IF(OR(ISBLANK(P428),ISBLANK(K428)),"",P428*K428*VLOOKUP(C428,設定!$B$9:$D$23,3,FALSE)),"")</f>
        <v/>
      </c>
      <c r="T428" s="35" t="n"/>
    </row>
    <row r="429">
      <c r="A429" s="43">
        <f>IF(ISBLANK(B429),"",COUNTA($B$2:B429))</f>
        <v/>
      </c>
      <c r="B429" s="44" t="n"/>
      <c r="C429" s="45" t="n"/>
      <c r="D429" s="45" t="n"/>
      <c r="E429" s="45" t="n"/>
      <c r="F429" s="43" t="n"/>
      <c r="G429" s="46" t="n"/>
      <c r="H429" s="47" t="n"/>
      <c r="I429" s="47" t="n"/>
      <c r="J429" s="47" t="n"/>
      <c r="K429" s="48" t="n"/>
      <c r="L429" s="47" t="n"/>
      <c r="M429" s="45" t="n"/>
      <c r="N429" s="49">
        <f>IFERROR(IF(ISBLANK(H429),"",ABS(H429-I429)/VLOOKUP(C429,設定!$B$9:$D$23,2,FALSE)),"")</f>
        <v/>
      </c>
      <c r="O429" s="48">
        <f>IFERROR(IF(ISBLANK(J429),"",ABS(J429-H429)/ABS(H429-I429)),"")</f>
        <v/>
      </c>
      <c r="P429" s="50">
        <f>IFERROR(IF(OR(ISBLANK(L429),ISBLANK(E429)),"",IF(E429="Long",(L429-H429),(H429-L429))/VLOOKUP(C429,設定!$B$9:$D$23,2,FALSE)),"")</f>
        <v/>
      </c>
      <c r="Q429" s="51">
        <f>IFERROR(IF(OR(ISBLANK(P429),N429=0),"",P429/N429),"")</f>
        <v/>
      </c>
      <c r="R429" s="51">
        <f>IFERROR(IF(ISBLANK(Q429),R428,IF(ISNUMBER(R428),R428,0)+Q429),"")</f>
        <v/>
      </c>
      <c r="S429" s="52">
        <f>IFERROR(IF(OR(ISBLANK(P429),ISBLANK(K429)),"",P429*K429*VLOOKUP(C429,設定!$B$9:$D$23,3,FALSE)),"")</f>
        <v/>
      </c>
      <c r="T429" s="45" t="n"/>
    </row>
    <row r="430">
      <c r="A430" s="33">
        <f>IF(ISBLANK(B430),"",COUNTA($B$2:B430))</f>
        <v/>
      </c>
      <c r="B430" s="34" t="n"/>
      <c r="C430" s="35" t="n"/>
      <c r="D430" s="35" t="n"/>
      <c r="E430" s="35" t="n"/>
      <c r="F430" s="33" t="n"/>
      <c r="G430" s="36" t="n"/>
      <c r="H430" s="37" t="n"/>
      <c r="I430" s="37" t="n"/>
      <c r="J430" s="37" t="n"/>
      <c r="K430" s="38" t="n"/>
      <c r="L430" s="37" t="n"/>
      <c r="M430" s="35" t="n"/>
      <c r="N430" s="39">
        <f>IFERROR(IF(ISBLANK(H430),"",ABS(H430-I430)/VLOOKUP(C430,設定!$B$9:$D$23,2,FALSE)),"")</f>
        <v/>
      </c>
      <c r="O430" s="38">
        <f>IFERROR(IF(ISBLANK(J430),"",ABS(J430-H430)/ABS(H430-I430)),"")</f>
        <v/>
      </c>
      <c r="P430" s="40">
        <f>IFERROR(IF(OR(ISBLANK(L430),ISBLANK(E430)),"",IF(E430="Long",(L430-H430),(H430-L430))/VLOOKUP(C430,設定!$B$9:$D$23,2,FALSE)),"")</f>
        <v/>
      </c>
      <c r="Q430" s="41">
        <f>IFERROR(IF(OR(ISBLANK(P430),N430=0),"",P430/N430),"")</f>
        <v/>
      </c>
      <c r="R430" s="41">
        <f>IFERROR(IF(ISBLANK(Q430),R429,IF(ISNUMBER(R429),R429,0)+Q430),"")</f>
        <v/>
      </c>
      <c r="S430" s="42">
        <f>IFERROR(IF(OR(ISBLANK(P430),ISBLANK(K430)),"",P430*K430*VLOOKUP(C430,設定!$B$9:$D$23,3,FALSE)),"")</f>
        <v/>
      </c>
      <c r="T430" s="35" t="n"/>
    </row>
    <row r="431">
      <c r="A431" s="43">
        <f>IF(ISBLANK(B431),"",COUNTA($B$2:B431))</f>
        <v/>
      </c>
      <c r="B431" s="44" t="n"/>
      <c r="C431" s="45" t="n"/>
      <c r="D431" s="45" t="n"/>
      <c r="E431" s="45" t="n"/>
      <c r="F431" s="43" t="n"/>
      <c r="G431" s="46" t="n"/>
      <c r="H431" s="47" t="n"/>
      <c r="I431" s="47" t="n"/>
      <c r="J431" s="47" t="n"/>
      <c r="K431" s="48" t="n"/>
      <c r="L431" s="47" t="n"/>
      <c r="M431" s="45" t="n"/>
      <c r="N431" s="49">
        <f>IFERROR(IF(ISBLANK(H431),"",ABS(H431-I431)/VLOOKUP(C431,設定!$B$9:$D$23,2,FALSE)),"")</f>
        <v/>
      </c>
      <c r="O431" s="48">
        <f>IFERROR(IF(ISBLANK(J431),"",ABS(J431-H431)/ABS(H431-I431)),"")</f>
        <v/>
      </c>
      <c r="P431" s="50">
        <f>IFERROR(IF(OR(ISBLANK(L431),ISBLANK(E431)),"",IF(E431="Long",(L431-H431),(H431-L431))/VLOOKUP(C431,設定!$B$9:$D$23,2,FALSE)),"")</f>
        <v/>
      </c>
      <c r="Q431" s="51">
        <f>IFERROR(IF(OR(ISBLANK(P431),N431=0),"",P431/N431),"")</f>
        <v/>
      </c>
      <c r="R431" s="51">
        <f>IFERROR(IF(ISBLANK(Q431),R430,IF(ISNUMBER(R430),R430,0)+Q431),"")</f>
        <v/>
      </c>
      <c r="S431" s="52">
        <f>IFERROR(IF(OR(ISBLANK(P431),ISBLANK(K431)),"",P431*K431*VLOOKUP(C431,設定!$B$9:$D$23,3,FALSE)),"")</f>
        <v/>
      </c>
      <c r="T431" s="45" t="n"/>
    </row>
    <row r="432">
      <c r="A432" s="33">
        <f>IF(ISBLANK(B432),"",COUNTA($B$2:B432))</f>
        <v/>
      </c>
      <c r="B432" s="34" t="n"/>
      <c r="C432" s="35" t="n"/>
      <c r="D432" s="35" t="n"/>
      <c r="E432" s="35" t="n"/>
      <c r="F432" s="33" t="n"/>
      <c r="G432" s="36" t="n"/>
      <c r="H432" s="37" t="n"/>
      <c r="I432" s="37" t="n"/>
      <c r="J432" s="37" t="n"/>
      <c r="K432" s="38" t="n"/>
      <c r="L432" s="37" t="n"/>
      <c r="M432" s="35" t="n"/>
      <c r="N432" s="39">
        <f>IFERROR(IF(ISBLANK(H432),"",ABS(H432-I432)/VLOOKUP(C432,設定!$B$9:$D$23,2,FALSE)),"")</f>
        <v/>
      </c>
      <c r="O432" s="38">
        <f>IFERROR(IF(ISBLANK(J432),"",ABS(J432-H432)/ABS(H432-I432)),"")</f>
        <v/>
      </c>
      <c r="P432" s="40">
        <f>IFERROR(IF(OR(ISBLANK(L432),ISBLANK(E432)),"",IF(E432="Long",(L432-H432),(H432-L432))/VLOOKUP(C432,設定!$B$9:$D$23,2,FALSE)),"")</f>
        <v/>
      </c>
      <c r="Q432" s="41">
        <f>IFERROR(IF(OR(ISBLANK(P432),N432=0),"",P432/N432),"")</f>
        <v/>
      </c>
      <c r="R432" s="41">
        <f>IFERROR(IF(ISBLANK(Q432),R431,IF(ISNUMBER(R431),R431,0)+Q432),"")</f>
        <v/>
      </c>
      <c r="S432" s="42">
        <f>IFERROR(IF(OR(ISBLANK(P432),ISBLANK(K432)),"",P432*K432*VLOOKUP(C432,設定!$B$9:$D$23,3,FALSE)),"")</f>
        <v/>
      </c>
      <c r="T432" s="35" t="n"/>
    </row>
    <row r="433">
      <c r="A433" s="43">
        <f>IF(ISBLANK(B433),"",COUNTA($B$2:B433))</f>
        <v/>
      </c>
      <c r="B433" s="44" t="n"/>
      <c r="C433" s="45" t="n"/>
      <c r="D433" s="45" t="n"/>
      <c r="E433" s="45" t="n"/>
      <c r="F433" s="43" t="n"/>
      <c r="G433" s="46" t="n"/>
      <c r="H433" s="47" t="n"/>
      <c r="I433" s="47" t="n"/>
      <c r="J433" s="47" t="n"/>
      <c r="K433" s="48" t="n"/>
      <c r="L433" s="47" t="n"/>
      <c r="M433" s="45" t="n"/>
      <c r="N433" s="49">
        <f>IFERROR(IF(ISBLANK(H433),"",ABS(H433-I433)/VLOOKUP(C433,設定!$B$9:$D$23,2,FALSE)),"")</f>
        <v/>
      </c>
      <c r="O433" s="48">
        <f>IFERROR(IF(ISBLANK(J433),"",ABS(J433-H433)/ABS(H433-I433)),"")</f>
        <v/>
      </c>
      <c r="P433" s="50">
        <f>IFERROR(IF(OR(ISBLANK(L433),ISBLANK(E433)),"",IF(E433="Long",(L433-H433),(H433-L433))/VLOOKUP(C433,設定!$B$9:$D$23,2,FALSE)),"")</f>
        <v/>
      </c>
      <c r="Q433" s="51">
        <f>IFERROR(IF(OR(ISBLANK(P433),N433=0),"",P433/N433),"")</f>
        <v/>
      </c>
      <c r="R433" s="51">
        <f>IFERROR(IF(ISBLANK(Q433),R432,IF(ISNUMBER(R432),R432,0)+Q433),"")</f>
        <v/>
      </c>
      <c r="S433" s="52">
        <f>IFERROR(IF(OR(ISBLANK(P433),ISBLANK(K433)),"",P433*K433*VLOOKUP(C433,設定!$B$9:$D$23,3,FALSE)),"")</f>
        <v/>
      </c>
      <c r="T433" s="45" t="n"/>
    </row>
    <row r="434">
      <c r="A434" s="33">
        <f>IF(ISBLANK(B434),"",COUNTA($B$2:B434))</f>
        <v/>
      </c>
      <c r="B434" s="34" t="n"/>
      <c r="C434" s="35" t="n"/>
      <c r="D434" s="35" t="n"/>
      <c r="E434" s="35" t="n"/>
      <c r="F434" s="33" t="n"/>
      <c r="G434" s="36" t="n"/>
      <c r="H434" s="37" t="n"/>
      <c r="I434" s="37" t="n"/>
      <c r="J434" s="37" t="n"/>
      <c r="K434" s="38" t="n"/>
      <c r="L434" s="37" t="n"/>
      <c r="M434" s="35" t="n"/>
      <c r="N434" s="39">
        <f>IFERROR(IF(ISBLANK(H434),"",ABS(H434-I434)/VLOOKUP(C434,設定!$B$9:$D$23,2,FALSE)),"")</f>
        <v/>
      </c>
      <c r="O434" s="38">
        <f>IFERROR(IF(ISBLANK(J434),"",ABS(J434-H434)/ABS(H434-I434)),"")</f>
        <v/>
      </c>
      <c r="P434" s="40">
        <f>IFERROR(IF(OR(ISBLANK(L434),ISBLANK(E434)),"",IF(E434="Long",(L434-H434),(H434-L434))/VLOOKUP(C434,設定!$B$9:$D$23,2,FALSE)),"")</f>
        <v/>
      </c>
      <c r="Q434" s="41">
        <f>IFERROR(IF(OR(ISBLANK(P434),N434=0),"",P434/N434),"")</f>
        <v/>
      </c>
      <c r="R434" s="41">
        <f>IFERROR(IF(ISBLANK(Q434),R433,IF(ISNUMBER(R433),R433,0)+Q434),"")</f>
        <v/>
      </c>
      <c r="S434" s="42">
        <f>IFERROR(IF(OR(ISBLANK(P434),ISBLANK(K434)),"",P434*K434*VLOOKUP(C434,設定!$B$9:$D$23,3,FALSE)),"")</f>
        <v/>
      </c>
      <c r="T434" s="35" t="n"/>
    </row>
    <row r="435">
      <c r="A435" s="43">
        <f>IF(ISBLANK(B435),"",COUNTA($B$2:B435))</f>
        <v/>
      </c>
      <c r="B435" s="44" t="n"/>
      <c r="C435" s="45" t="n"/>
      <c r="D435" s="45" t="n"/>
      <c r="E435" s="45" t="n"/>
      <c r="F435" s="43" t="n"/>
      <c r="G435" s="46" t="n"/>
      <c r="H435" s="47" t="n"/>
      <c r="I435" s="47" t="n"/>
      <c r="J435" s="47" t="n"/>
      <c r="K435" s="48" t="n"/>
      <c r="L435" s="47" t="n"/>
      <c r="M435" s="45" t="n"/>
      <c r="N435" s="49">
        <f>IFERROR(IF(ISBLANK(H435),"",ABS(H435-I435)/VLOOKUP(C435,設定!$B$9:$D$23,2,FALSE)),"")</f>
        <v/>
      </c>
      <c r="O435" s="48">
        <f>IFERROR(IF(ISBLANK(J435),"",ABS(J435-H435)/ABS(H435-I435)),"")</f>
        <v/>
      </c>
      <c r="P435" s="50">
        <f>IFERROR(IF(OR(ISBLANK(L435),ISBLANK(E435)),"",IF(E435="Long",(L435-H435),(H435-L435))/VLOOKUP(C435,設定!$B$9:$D$23,2,FALSE)),"")</f>
        <v/>
      </c>
      <c r="Q435" s="51">
        <f>IFERROR(IF(OR(ISBLANK(P435),N435=0),"",P435/N435),"")</f>
        <v/>
      </c>
      <c r="R435" s="51">
        <f>IFERROR(IF(ISBLANK(Q435),R434,IF(ISNUMBER(R434),R434,0)+Q435),"")</f>
        <v/>
      </c>
      <c r="S435" s="52">
        <f>IFERROR(IF(OR(ISBLANK(P435),ISBLANK(K435)),"",P435*K435*VLOOKUP(C435,設定!$B$9:$D$23,3,FALSE)),"")</f>
        <v/>
      </c>
      <c r="T435" s="45" t="n"/>
    </row>
    <row r="436">
      <c r="A436" s="33">
        <f>IF(ISBLANK(B436),"",COUNTA($B$2:B436))</f>
        <v/>
      </c>
      <c r="B436" s="34" t="n"/>
      <c r="C436" s="35" t="n"/>
      <c r="D436" s="35" t="n"/>
      <c r="E436" s="35" t="n"/>
      <c r="F436" s="33" t="n"/>
      <c r="G436" s="36" t="n"/>
      <c r="H436" s="37" t="n"/>
      <c r="I436" s="37" t="n"/>
      <c r="J436" s="37" t="n"/>
      <c r="K436" s="38" t="n"/>
      <c r="L436" s="37" t="n"/>
      <c r="M436" s="35" t="n"/>
      <c r="N436" s="39">
        <f>IFERROR(IF(ISBLANK(H436),"",ABS(H436-I436)/VLOOKUP(C436,設定!$B$9:$D$23,2,FALSE)),"")</f>
        <v/>
      </c>
      <c r="O436" s="38">
        <f>IFERROR(IF(ISBLANK(J436),"",ABS(J436-H436)/ABS(H436-I436)),"")</f>
        <v/>
      </c>
      <c r="P436" s="40">
        <f>IFERROR(IF(OR(ISBLANK(L436),ISBLANK(E436)),"",IF(E436="Long",(L436-H436),(H436-L436))/VLOOKUP(C436,設定!$B$9:$D$23,2,FALSE)),"")</f>
        <v/>
      </c>
      <c r="Q436" s="41">
        <f>IFERROR(IF(OR(ISBLANK(P436),N436=0),"",P436/N436),"")</f>
        <v/>
      </c>
      <c r="R436" s="41">
        <f>IFERROR(IF(ISBLANK(Q436),R435,IF(ISNUMBER(R435),R435,0)+Q436),"")</f>
        <v/>
      </c>
      <c r="S436" s="42">
        <f>IFERROR(IF(OR(ISBLANK(P436),ISBLANK(K436)),"",P436*K436*VLOOKUP(C436,設定!$B$9:$D$23,3,FALSE)),"")</f>
        <v/>
      </c>
      <c r="T436" s="35" t="n"/>
    </row>
    <row r="437">
      <c r="A437" s="43">
        <f>IF(ISBLANK(B437),"",COUNTA($B$2:B437))</f>
        <v/>
      </c>
      <c r="B437" s="44" t="n"/>
      <c r="C437" s="45" t="n"/>
      <c r="D437" s="45" t="n"/>
      <c r="E437" s="45" t="n"/>
      <c r="F437" s="43" t="n"/>
      <c r="G437" s="46" t="n"/>
      <c r="H437" s="47" t="n"/>
      <c r="I437" s="47" t="n"/>
      <c r="J437" s="47" t="n"/>
      <c r="K437" s="48" t="n"/>
      <c r="L437" s="47" t="n"/>
      <c r="M437" s="45" t="n"/>
      <c r="N437" s="49">
        <f>IFERROR(IF(ISBLANK(H437),"",ABS(H437-I437)/VLOOKUP(C437,設定!$B$9:$D$23,2,FALSE)),"")</f>
        <v/>
      </c>
      <c r="O437" s="48">
        <f>IFERROR(IF(ISBLANK(J437),"",ABS(J437-H437)/ABS(H437-I437)),"")</f>
        <v/>
      </c>
      <c r="P437" s="50">
        <f>IFERROR(IF(OR(ISBLANK(L437),ISBLANK(E437)),"",IF(E437="Long",(L437-H437),(H437-L437))/VLOOKUP(C437,設定!$B$9:$D$23,2,FALSE)),"")</f>
        <v/>
      </c>
      <c r="Q437" s="51">
        <f>IFERROR(IF(OR(ISBLANK(P437),N437=0),"",P437/N437),"")</f>
        <v/>
      </c>
      <c r="R437" s="51">
        <f>IFERROR(IF(ISBLANK(Q437),R436,IF(ISNUMBER(R436),R436,0)+Q437),"")</f>
        <v/>
      </c>
      <c r="S437" s="52">
        <f>IFERROR(IF(OR(ISBLANK(P437),ISBLANK(K437)),"",P437*K437*VLOOKUP(C437,設定!$B$9:$D$23,3,FALSE)),"")</f>
        <v/>
      </c>
      <c r="T437" s="45" t="n"/>
    </row>
    <row r="438">
      <c r="A438" s="33">
        <f>IF(ISBLANK(B438),"",COUNTA($B$2:B438))</f>
        <v/>
      </c>
      <c r="B438" s="34" t="n"/>
      <c r="C438" s="35" t="n"/>
      <c r="D438" s="35" t="n"/>
      <c r="E438" s="35" t="n"/>
      <c r="F438" s="33" t="n"/>
      <c r="G438" s="36" t="n"/>
      <c r="H438" s="37" t="n"/>
      <c r="I438" s="37" t="n"/>
      <c r="J438" s="37" t="n"/>
      <c r="K438" s="38" t="n"/>
      <c r="L438" s="37" t="n"/>
      <c r="M438" s="35" t="n"/>
      <c r="N438" s="39">
        <f>IFERROR(IF(ISBLANK(H438),"",ABS(H438-I438)/VLOOKUP(C438,設定!$B$9:$D$23,2,FALSE)),"")</f>
        <v/>
      </c>
      <c r="O438" s="38">
        <f>IFERROR(IF(ISBLANK(J438),"",ABS(J438-H438)/ABS(H438-I438)),"")</f>
        <v/>
      </c>
      <c r="P438" s="40">
        <f>IFERROR(IF(OR(ISBLANK(L438),ISBLANK(E438)),"",IF(E438="Long",(L438-H438),(H438-L438))/VLOOKUP(C438,設定!$B$9:$D$23,2,FALSE)),"")</f>
        <v/>
      </c>
      <c r="Q438" s="41">
        <f>IFERROR(IF(OR(ISBLANK(P438),N438=0),"",P438/N438),"")</f>
        <v/>
      </c>
      <c r="R438" s="41">
        <f>IFERROR(IF(ISBLANK(Q438),R437,IF(ISNUMBER(R437),R437,0)+Q438),"")</f>
        <v/>
      </c>
      <c r="S438" s="42">
        <f>IFERROR(IF(OR(ISBLANK(P438),ISBLANK(K438)),"",P438*K438*VLOOKUP(C438,設定!$B$9:$D$23,3,FALSE)),"")</f>
        <v/>
      </c>
      <c r="T438" s="35" t="n"/>
    </row>
    <row r="439">
      <c r="A439" s="43">
        <f>IF(ISBLANK(B439),"",COUNTA($B$2:B439))</f>
        <v/>
      </c>
      <c r="B439" s="44" t="n"/>
      <c r="C439" s="45" t="n"/>
      <c r="D439" s="45" t="n"/>
      <c r="E439" s="45" t="n"/>
      <c r="F439" s="43" t="n"/>
      <c r="G439" s="46" t="n"/>
      <c r="H439" s="47" t="n"/>
      <c r="I439" s="47" t="n"/>
      <c r="J439" s="47" t="n"/>
      <c r="K439" s="48" t="n"/>
      <c r="L439" s="47" t="n"/>
      <c r="M439" s="45" t="n"/>
      <c r="N439" s="49">
        <f>IFERROR(IF(ISBLANK(H439),"",ABS(H439-I439)/VLOOKUP(C439,設定!$B$9:$D$23,2,FALSE)),"")</f>
        <v/>
      </c>
      <c r="O439" s="48">
        <f>IFERROR(IF(ISBLANK(J439),"",ABS(J439-H439)/ABS(H439-I439)),"")</f>
        <v/>
      </c>
      <c r="P439" s="50">
        <f>IFERROR(IF(OR(ISBLANK(L439),ISBLANK(E439)),"",IF(E439="Long",(L439-H439),(H439-L439))/VLOOKUP(C439,設定!$B$9:$D$23,2,FALSE)),"")</f>
        <v/>
      </c>
      <c r="Q439" s="51">
        <f>IFERROR(IF(OR(ISBLANK(P439),N439=0),"",P439/N439),"")</f>
        <v/>
      </c>
      <c r="R439" s="51">
        <f>IFERROR(IF(ISBLANK(Q439),R438,IF(ISNUMBER(R438),R438,0)+Q439),"")</f>
        <v/>
      </c>
      <c r="S439" s="52">
        <f>IFERROR(IF(OR(ISBLANK(P439),ISBLANK(K439)),"",P439*K439*VLOOKUP(C439,設定!$B$9:$D$23,3,FALSE)),"")</f>
        <v/>
      </c>
      <c r="T439" s="45" t="n"/>
    </row>
    <row r="440">
      <c r="A440" s="33">
        <f>IF(ISBLANK(B440),"",COUNTA($B$2:B440))</f>
        <v/>
      </c>
      <c r="B440" s="34" t="n"/>
      <c r="C440" s="35" t="n"/>
      <c r="D440" s="35" t="n"/>
      <c r="E440" s="35" t="n"/>
      <c r="F440" s="33" t="n"/>
      <c r="G440" s="36" t="n"/>
      <c r="H440" s="37" t="n"/>
      <c r="I440" s="37" t="n"/>
      <c r="J440" s="37" t="n"/>
      <c r="K440" s="38" t="n"/>
      <c r="L440" s="37" t="n"/>
      <c r="M440" s="35" t="n"/>
      <c r="N440" s="39">
        <f>IFERROR(IF(ISBLANK(H440),"",ABS(H440-I440)/VLOOKUP(C440,設定!$B$9:$D$23,2,FALSE)),"")</f>
        <v/>
      </c>
      <c r="O440" s="38">
        <f>IFERROR(IF(ISBLANK(J440),"",ABS(J440-H440)/ABS(H440-I440)),"")</f>
        <v/>
      </c>
      <c r="P440" s="40">
        <f>IFERROR(IF(OR(ISBLANK(L440),ISBLANK(E440)),"",IF(E440="Long",(L440-H440),(H440-L440))/VLOOKUP(C440,設定!$B$9:$D$23,2,FALSE)),"")</f>
        <v/>
      </c>
      <c r="Q440" s="41">
        <f>IFERROR(IF(OR(ISBLANK(P440),N440=0),"",P440/N440),"")</f>
        <v/>
      </c>
      <c r="R440" s="41">
        <f>IFERROR(IF(ISBLANK(Q440),R439,IF(ISNUMBER(R439),R439,0)+Q440),"")</f>
        <v/>
      </c>
      <c r="S440" s="42">
        <f>IFERROR(IF(OR(ISBLANK(P440),ISBLANK(K440)),"",P440*K440*VLOOKUP(C440,設定!$B$9:$D$23,3,FALSE)),"")</f>
        <v/>
      </c>
      <c r="T440" s="35" t="n"/>
    </row>
    <row r="441">
      <c r="A441" s="43">
        <f>IF(ISBLANK(B441),"",COUNTA($B$2:B441))</f>
        <v/>
      </c>
      <c r="B441" s="44" t="n"/>
      <c r="C441" s="45" t="n"/>
      <c r="D441" s="45" t="n"/>
      <c r="E441" s="45" t="n"/>
      <c r="F441" s="43" t="n"/>
      <c r="G441" s="46" t="n"/>
      <c r="H441" s="47" t="n"/>
      <c r="I441" s="47" t="n"/>
      <c r="J441" s="47" t="n"/>
      <c r="K441" s="48" t="n"/>
      <c r="L441" s="47" t="n"/>
      <c r="M441" s="45" t="n"/>
      <c r="N441" s="49">
        <f>IFERROR(IF(ISBLANK(H441),"",ABS(H441-I441)/VLOOKUP(C441,設定!$B$9:$D$23,2,FALSE)),"")</f>
        <v/>
      </c>
      <c r="O441" s="48">
        <f>IFERROR(IF(ISBLANK(J441),"",ABS(J441-H441)/ABS(H441-I441)),"")</f>
        <v/>
      </c>
      <c r="P441" s="50">
        <f>IFERROR(IF(OR(ISBLANK(L441),ISBLANK(E441)),"",IF(E441="Long",(L441-H441),(H441-L441))/VLOOKUP(C441,設定!$B$9:$D$23,2,FALSE)),"")</f>
        <v/>
      </c>
      <c r="Q441" s="51">
        <f>IFERROR(IF(OR(ISBLANK(P441),N441=0),"",P441/N441),"")</f>
        <v/>
      </c>
      <c r="R441" s="51">
        <f>IFERROR(IF(ISBLANK(Q441),R440,IF(ISNUMBER(R440),R440,0)+Q441),"")</f>
        <v/>
      </c>
      <c r="S441" s="52">
        <f>IFERROR(IF(OR(ISBLANK(P441),ISBLANK(K441)),"",P441*K441*VLOOKUP(C441,設定!$B$9:$D$23,3,FALSE)),"")</f>
        <v/>
      </c>
      <c r="T441" s="45" t="n"/>
    </row>
    <row r="442">
      <c r="A442" s="33">
        <f>IF(ISBLANK(B442),"",COUNTA($B$2:B442))</f>
        <v/>
      </c>
      <c r="B442" s="34" t="n"/>
      <c r="C442" s="35" t="n"/>
      <c r="D442" s="35" t="n"/>
      <c r="E442" s="35" t="n"/>
      <c r="F442" s="33" t="n"/>
      <c r="G442" s="36" t="n"/>
      <c r="H442" s="37" t="n"/>
      <c r="I442" s="37" t="n"/>
      <c r="J442" s="37" t="n"/>
      <c r="K442" s="38" t="n"/>
      <c r="L442" s="37" t="n"/>
      <c r="M442" s="35" t="n"/>
      <c r="N442" s="39">
        <f>IFERROR(IF(ISBLANK(H442),"",ABS(H442-I442)/VLOOKUP(C442,設定!$B$9:$D$23,2,FALSE)),"")</f>
        <v/>
      </c>
      <c r="O442" s="38">
        <f>IFERROR(IF(ISBLANK(J442),"",ABS(J442-H442)/ABS(H442-I442)),"")</f>
        <v/>
      </c>
      <c r="P442" s="40">
        <f>IFERROR(IF(OR(ISBLANK(L442),ISBLANK(E442)),"",IF(E442="Long",(L442-H442),(H442-L442))/VLOOKUP(C442,設定!$B$9:$D$23,2,FALSE)),"")</f>
        <v/>
      </c>
      <c r="Q442" s="41">
        <f>IFERROR(IF(OR(ISBLANK(P442),N442=0),"",P442/N442),"")</f>
        <v/>
      </c>
      <c r="R442" s="41">
        <f>IFERROR(IF(ISBLANK(Q442),R441,IF(ISNUMBER(R441),R441,0)+Q442),"")</f>
        <v/>
      </c>
      <c r="S442" s="42">
        <f>IFERROR(IF(OR(ISBLANK(P442),ISBLANK(K442)),"",P442*K442*VLOOKUP(C442,設定!$B$9:$D$23,3,FALSE)),"")</f>
        <v/>
      </c>
      <c r="T442" s="35" t="n"/>
    </row>
    <row r="443">
      <c r="A443" s="43">
        <f>IF(ISBLANK(B443),"",COUNTA($B$2:B443))</f>
        <v/>
      </c>
      <c r="B443" s="44" t="n"/>
      <c r="C443" s="45" t="n"/>
      <c r="D443" s="45" t="n"/>
      <c r="E443" s="45" t="n"/>
      <c r="F443" s="43" t="n"/>
      <c r="G443" s="46" t="n"/>
      <c r="H443" s="47" t="n"/>
      <c r="I443" s="47" t="n"/>
      <c r="J443" s="47" t="n"/>
      <c r="K443" s="48" t="n"/>
      <c r="L443" s="47" t="n"/>
      <c r="M443" s="45" t="n"/>
      <c r="N443" s="49">
        <f>IFERROR(IF(ISBLANK(H443),"",ABS(H443-I443)/VLOOKUP(C443,設定!$B$9:$D$23,2,FALSE)),"")</f>
        <v/>
      </c>
      <c r="O443" s="48">
        <f>IFERROR(IF(ISBLANK(J443),"",ABS(J443-H443)/ABS(H443-I443)),"")</f>
        <v/>
      </c>
      <c r="P443" s="50">
        <f>IFERROR(IF(OR(ISBLANK(L443),ISBLANK(E443)),"",IF(E443="Long",(L443-H443),(H443-L443))/VLOOKUP(C443,設定!$B$9:$D$23,2,FALSE)),"")</f>
        <v/>
      </c>
      <c r="Q443" s="51">
        <f>IFERROR(IF(OR(ISBLANK(P443),N443=0),"",P443/N443),"")</f>
        <v/>
      </c>
      <c r="R443" s="51">
        <f>IFERROR(IF(ISBLANK(Q443),R442,IF(ISNUMBER(R442),R442,0)+Q443),"")</f>
        <v/>
      </c>
      <c r="S443" s="52">
        <f>IFERROR(IF(OR(ISBLANK(P443),ISBLANK(K443)),"",P443*K443*VLOOKUP(C443,設定!$B$9:$D$23,3,FALSE)),"")</f>
        <v/>
      </c>
      <c r="T443" s="45" t="n"/>
    </row>
    <row r="444">
      <c r="A444" s="33">
        <f>IF(ISBLANK(B444),"",COUNTA($B$2:B444))</f>
        <v/>
      </c>
      <c r="B444" s="34" t="n"/>
      <c r="C444" s="35" t="n"/>
      <c r="D444" s="35" t="n"/>
      <c r="E444" s="35" t="n"/>
      <c r="F444" s="33" t="n"/>
      <c r="G444" s="36" t="n"/>
      <c r="H444" s="37" t="n"/>
      <c r="I444" s="37" t="n"/>
      <c r="J444" s="37" t="n"/>
      <c r="K444" s="38" t="n"/>
      <c r="L444" s="37" t="n"/>
      <c r="M444" s="35" t="n"/>
      <c r="N444" s="39">
        <f>IFERROR(IF(ISBLANK(H444),"",ABS(H444-I444)/VLOOKUP(C444,設定!$B$9:$D$23,2,FALSE)),"")</f>
        <v/>
      </c>
      <c r="O444" s="38">
        <f>IFERROR(IF(ISBLANK(J444),"",ABS(J444-H444)/ABS(H444-I444)),"")</f>
        <v/>
      </c>
      <c r="P444" s="40">
        <f>IFERROR(IF(OR(ISBLANK(L444),ISBLANK(E444)),"",IF(E444="Long",(L444-H444),(H444-L444))/VLOOKUP(C444,設定!$B$9:$D$23,2,FALSE)),"")</f>
        <v/>
      </c>
      <c r="Q444" s="41">
        <f>IFERROR(IF(OR(ISBLANK(P444),N444=0),"",P444/N444),"")</f>
        <v/>
      </c>
      <c r="R444" s="41">
        <f>IFERROR(IF(ISBLANK(Q444),R443,IF(ISNUMBER(R443),R443,0)+Q444),"")</f>
        <v/>
      </c>
      <c r="S444" s="42">
        <f>IFERROR(IF(OR(ISBLANK(P444),ISBLANK(K444)),"",P444*K444*VLOOKUP(C444,設定!$B$9:$D$23,3,FALSE)),"")</f>
        <v/>
      </c>
      <c r="T444" s="35" t="n"/>
    </row>
    <row r="445">
      <c r="A445" s="43">
        <f>IF(ISBLANK(B445),"",COUNTA($B$2:B445))</f>
        <v/>
      </c>
      <c r="B445" s="44" t="n"/>
      <c r="C445" s="45" t="n"/>
      <c r="D445" s="45" t="n"/>
      <c r="E445" s="45" t="n"/>
      <c r="F445" s="43" t="n"/>
      <c r="G445" s="46" t="n"/>
      <c r="H445" s="47" t="n"/>
      <c r="I445" s="47" t="n"/>
      <c r="J445" s="47" t="n"/>
      <c r="K445" s="48" t="n"/>
      <c r="L445" s="47" t="n"/>
      <c r="M445" s="45" t="n"/>
      <c r="N445" s="49">
        <f>IFERROR(IF(ISBLANK(H445),"",ABS(H445-I445)/VLOOKUP(C445,設定!$B$9:$D$23,2,FALSE)),"")</f>
        <v/>
      </c>
      <c r="O445" s="48">
        <f>IFERROR(IF(ISBLANK(J445),"",ABS(J445-H445)/ABS(H445-I445)),"")</f>
        <v/>
      </c>
      <c r="P445" s="50">
        <f>IFERROR(IF(OR(ISBLANK(L445),ISBLANK(E445)),"",IF(E445="Long",(L445-H445),(H445-L445))/VLOOKUP(C445,設定!$B$9:$D$23,2,FALSE)),"")</f>
        <v/>
      </c>
      <c r="Q445" s="51">
        <f>IFERROR(IF(OR(ISBLANK(P445),N445=0),"",P445/N445),"")</f>
        <v/>
      </c>
      <c r="R445" s="51">
        <f>IFERROR(IF(ISBLANK(Q445),R444,IF(ISNUMBER(R444),R444,0)+Q445),"")</f>
        <v/>
      </c>
      <c r="S445" s="52">
        <f>IFERROR(IF(OR(ISBLANK(P445),ISBLANK(K445)),"",P445*K445*VLOOKUP(C445,設定!$B$9:$D$23,3,FALSE)),"")</f>
        <v/>
      </c>
      <c r="T445" s="45" t="n"/>
    </row>
    <row r="446">
      <c r="A446" s="33">
        <f>IF(ISBLANK(B446),"",COUNTA($B$2:B446))</f>
        <v/>
      </c>
      <c r="B446" s="34" t="n"/>
      <c r="C446" s="35" t="n"/>
      <c r="D446" s="35" t="n"/>
      <c r="E446" s="35" t="n"/>
      <c r="F446" s="33" t="n"/>
      <c r="G446" s="36" t="n"/>
      <c r="H446" s="37" t="n"/>
      <c r="I446" s="37" t="n"/>
      <c r="J446" s="37" t="n"/>
      <c r="K446" s="38" t="n"/>
      <c r="L446" s="37" t="n"/>
      <c r="M446" s="35" t="n"/>
      <c r="N446" s="39">
        <f>IFERROR(IF(ISBLANK(H446),"",ABS(H446-I446)/VLOOKUP(C446,設定!$B$9:$D$23,2,FALSE)),"")</f>
        <v/>
      </c>
      <c r="O446" s="38">
        <f>IFERROR(IF(ISBLANK(J446),"",ABS(J446-H446)/ABS(H446-I446)),"")</f>
        <v/>
      </c>
      <c r="P446" s="40">
        <f>IFERROR(IF(OR(ISBLANK(L446),ISBLANK(E446)),"",IF(E446="Long",(L446-H446),(H446-L446))/VLOOKUP(C446,設定!$B$9:$D$23,2,FALSE)),"")</f>
        <v/>
      </c>
      <c r="Q446" s="41">
        <f>IFERROR(IF(OR(ISBLANK(P446),N446=0),"",P446/N446),"")</f>
        <v/>
      </c>
      <c r="R446" s="41">
        <f>IFERROR(IF(ISBLANK(Q446),R445,IF(ISNUMBER(R445),R445,0)+Q446),"")</f>
        <v/>
      </c>
      <c r="S446" s="42">
        <f>IFERROR(IF(OR(ISBLANK(P446),ISBLANK(K446)),"",P446*K446*VLOOKUP(C446,設定!$B$9:$D$23,3,FALSE)),"")</f>
        <v/>
      </c>
      <c r="T446" s="35" t="n"/>
    </row>
    <row r="447">
      <c r="A447" s="43">
        <f>IF(ISBLANK(B447),"",COUNTA($B$2:B447))</f>
        <v/>
      </c>
      <c r="B447" s="44" t="n"/>
      <c r="C447" s="45" t="n"/>
      <c r="D447" s="45" t="n"/>
      <c r="E447" s="45" t="n"/>
      <c r="F447" s="43" t="n"/>
      <c r="G447" s="46" t="n"/>
      <c r="H447" s="47" t="n"/>
      <c r="I447" s="47" t="n"/>
      <c r="J447" s="47" t="n"/>
      <c r="K447" s="48" t="n"/>
      <c r="L447" s="47" t="n"/>
      <c r="M447" s="45" t="n"/>
      <c r="N447" s="49">
        <f>IFERROR(IF(ISBLANK(H447),"",ABS(H447-I447)/VLOOKUP(C447,設定!$B$9:$D$23,2,FALSE)),"")</f>
        <v/>
      </c>
      <c r="O447" s="48">
        <f>IFERROR(IF(ISBLANK(J447),"",ABS(J447-H447)/ABS(H447-I447)),"")</f>
        <v/>
      </c>
      <c r="P447" s="50">
        <f>IFERROR(IF(OR(ISBLANK(L447),ISBLANK(E447)),"",IF(E447="Long",(L447-H447),(H447-L447))/VLOOKUP(C447,設定!$B$9:$D$23,2,FALSE)),"")</f>
        <v/>
      </c>
      <c r="Q447" s="51">
        <f>IFERROR(IF(OR(ISBLANK(P447),N447=0),"",P447/N447),"")</f>
        <v/>
      </c>
      <c r="R447" s="51">
        <f>IFERROR(IF(ISBLANK(Q447),R446,IF(ISNUMBER(R446),R446,0)+Q447),"")</f>
        <v/>
      </c>
      <c r="S447" s="52">
        <f>IFERROR(IF(OR(ISBLANK(P447),ISBLANK(K447)),"",P447*K447*VLOOKUP(C447,設定!$B$9:$D$23,3,FALSE)),"")</f>
        <v/>
      </c>
      <c r="T447" s="45" t="n"/>
    </row>
    <row r="448">
      <c r="A448" s="33">
        <f>IF(ISBLANK(B448),"",COUNTA($B$2:B448))</f>
        <v/>
      </c>
      <c r="B448" s="34" t="n"/>
      <c r="C448" s="35" t="n"/>
      <c r="D448" s="35" t="n"/>
      <c r="E448" s="35" t="n"/>
      <c r="F448" s="33" t="n"/>
      <c r="G448" s="36" t="n"/>
      <c r="H448" s="37" t="n"/>
      <c r="I448" s="37" t="n"/>
      <c r="J448" s="37" t="n"/>
      <c r="K448" s="38" t="n"/>
      <c r="L448" s="37" t="n"/>
      <c r="M448" s="35" t="n"/>
      <c r="N448" s="39">
        <f>IFERROR(IF(ISBLANK(H448),"",ABS(H448-I448)/VLOOKUP(C448,設定!$B$9:$D$23,2,FALSE)),"")</f>
        <v/>
      </c>
      <c r="O448" s="38">
        <f>IFERROR(IF(ISBLANK(J448),"",ABS(J448-H448)/ABS(H448-I448)),"")</f>
        <v/>
      </c>
      <c r="P448" s="40">
        <f>IFERROR(IF(OR(ISBLANK(L448),ISBLANK(E448)),"",IF(E448="Long",(L448-H448),(H448-L448))/VLOOKUP(C448,設定!$B$9:$D$23,2,FALSE)),"")</f>
        <v/>
      </c>
      <c r="Q448" s="41">
        <f>IFERROR(IF(OR(ISBLANK(P448),N448=0),"",P448/N448),"")</f>
        <v/>
      </c>
      <c r="R448" s="41">
        <f>IFERROR(IF(ISBLANK(Q448),R447,IF(ISNUMBER(R447),R447,0)+Q448),"")</f>
        <v/>
      </c>
      <c r="S448" s="42">
        <f>IFERROR(IF(OR(ISBLANK(P448),ISBLANK(K448)),"",P448*K448*VLOOKUP(C448,設定!$B$9:$D$23,3,FALSE)),"")</f>
        <v/>
      </c>
      <c r="T448" s="35" t="n"/>
    </row>
    <row r="449">
      <c r="A449" s="43">
        <f>IF(ISBLANK(B449),"",COUNTA($B$2:B449))</f>
        <v/>
      </c>
      <c r="B449" s="44" t="n"/>
      <c r="C449" s="45" t="n"/>
      <c r="D449" s="45" t="n"/>
      <c r="E449" s="45" t="n"/>
      <c r="F449" s="43" t="n"/>
      <c r="G449" s="46" t="n"/>
      <c r="H449" s="47" t="n"/>
      <c r="I449" s="47" t="n"/>
      <c r="J449" s="47" t="n"/>
      <c r="K449" s="48" t="n"/>
      <c r="L449" s="47" t="n"/>
      <c r="M449" s="45" t="n"/>
      <c r="N449" s="49">
        <f>IFERROR(IF(ISBLANK(H449),"",ABS(H449-I449)/VLOOKUP(C449,設定!$B$9:$D$23,2,FALSE)),"")</f>
        <v/>
      </c>
      <c r="O449" s="48">
        <f>IFERROR(IF(ISBLANK(J449),"",ABS(J449-H449)/ABS(H449-I449)),"")</f>
        <v/>
      </c>
      <c r="P449" s="50">
        <f>IFERROR(IF(OR(ISBLANK(L449),ISBLANK(E449)),"",IF(E449="Long",(L449-H449),(H449-L449))/VLOOKUP(C449,設定!$B$9:$D$23,2,FALSE)),"")</f>
        <v/>
      </c>
      <c r="Q449" s="51">
        <f>IFERROR(IF(OR(ISBLANK(P449),N449=0),"",P449/N449),"")</f>
        <v/>
      </c>
      <c r="R449" s="51">
        <f>IFERROR(IF(ISBLANK(Q449),R448,IF(ISNUMBER(R448),R448,0)+Q449),"")</f>
        <v/>
      </c>
      <c r="S449" s="52">
        <f>IFERROR(IF(OR(ISBLANK(P449),ISBLANK(K449)),"",P449*K449*VLOOKUP(C449,設定!$B$9:$D$23,3,FALSE)),"")</f>
        <v/>
      </c>
      <c r="T449" s="45" t="n"/>
    </row>
    <row r="450">
      <c r="A450" s="33">
        <f>IF(ISBLANK(B450),"",COUNTA($B$2:B450))</f>
        <v/>
      </c>
      <c r="B450" s="34" t="n"/>
      <c r="C450" s="35" t="n"/>
      <c r="D450" s="35" t="n"/>
      <c r="E450" s="35" t="n"/>
      <c r="F450" s="33" t="n"/>
      <c r="G450" s="36" t="n"/>
      <c r="H450" s="37" t="n"/>
      <c r="I450" s="37" t="n"/>
      <c r="J450" s="37" t="n"/>
      <c r="K450" s="38" t="n"/>
      <c r="L450" s="37" t="n"/>
      <c r="M450" s="35" t="n"/>
      <c r="N450" s="39">
        <f>IFERROR(IF(ISBLANK(H450),"",ABS(H450-I450)/VLOOKUP(C450,設定!$B$9:$D$23,2,FALSE)),"")</f>
        <v/>
      </c>
      <c r="O450" s="38">
        <f>IFERROR(IF(ISBLANK(J450),"",ABS(J450-H450)/ABS(H450-I450)),"")</f>
        <v/>
      </c>
      <c r="P450" s="40">
        <f>IFERROR(IF(OR(ISBLANK(L450),ISBLANK(E450)),"",IF(E450="Long",(L450-H450),(H450-L450))/VLOOKUP(C450,設定!$B$9:$D$23,2,FALSE)),"")</f>
        <v/>
      </c>
      <c r="Q450" s="41">
        <f>IFERROR(IF(OR(ISBLANK(P450),N450=0),"",P450/N450),"")</f>
        <v/>
      </c>
      <c r="R450" s="41">
        <f>IFERROR(IF(ISBLANK(Q450),R449,IF(ISNUMBER(R449),R449,0)+Q450),"")</f>
        <v/>
      </c>
      <c r="S450" s="42">
        <f>IFERROR(IF(OR(ISBLANK(P450),ISBLANK(K450)),"",P450*K450*VLOOKUP(C450,設定!$B$9:$D$23,3,FALSE)),"")</f>
        <v/>
      </c>
      <c r="T450" s="35" t="n"/>
    </row>
    <row r="451">
      <c r="A451" s="43">
        <f>IF(ISBLANK(B451),"",COUNTA($B$2:B451))</f>
        <v/>
      </c>
      <c r="B451" s="44" t="n"/>
      <c r="C451" s="45" t="n"/>
      <c r="D451" s="45" t="n"/>
      <c r="E451" s="45" t="n"/>
      <c r="F451" s="43" t="n"/>
      <c r="G451" s="46" t="n"/>
      <c r="H451" s="47" t="n"/>
      <c r="I451" s="47" t="n"/>
      <c r="J451" s="47" t="n"/>
      <c r="K451" s="48" t="n"/>
      <c r="L451" s="47" t="n"/>
      <c r="M451" s="45" t="n"/>
      <c r="N451" s="49">
        <f>IFERROR(IF(ISBLANK(H451),"",ABS(H451-I451)/VLOOKUP(C451,設定!$B$9:$D$23,2,FALSE)),"")</f>
        <v/>
      </c>
      <c r="O451" s="48">
        <f>IFERROR(IF(ISBLANK(J451),"",ABS(J451-H451)/ABS(H451-I451)),"")</f>
        <v/>
      </c>
      <c r="P451" s="50">
        <f>IFERROR(IF(OR(ISBLANK(L451),ISBLANK(E451)),"",IF(E451="Long",(L451-H451),(H451-L451))/VLOOKUP(C451,設定!$B$9:$D$23,2,FALSE)),"")</f>
        <v/>
      </c>
      <c r="Q451" s="51">
        <f>IFERROR(IF(OR(ISBLANK(P451),N451=0),"",P451/N451),"")</f>
        <v/>
      </c>
      <c r="R451" s="51">
        <f>IFERROR(IF(ISBLANK(Q451),R450,IF(ISNUMBER(R450),R450,0)+Q451),"")</f>
        <v/>
      </c>
      <c r="S451" s="52">
        <f>IFERROR(IF(OR(ISBLANK(P451),ISBLANK(K451)),"",P451*K451*VLOOKUP(C451,設定!$B$9:$D$23,3,FALSE)),"")</f>
        <v/>
      </c>
      <c r="T451" s="45" t="n"/>
    </row>
    <row r="452">
      <c r="A452" s="33">
        <f>IF(ISBLANK(B452),"",COUNTA($B$2:B452))</f>
        <v/>
      </c>
      <c r="B452" s="34" t="n"/>
      <c r="C452" s="35" t="n"/>
      <c r="D452" s="35" t="n"/>
      <c r="E452" s="35" t="n"/>
      <c r="F452" s="33" t="n"/>
      <c r="G452" s="36" t="n"/>
      <c r="H452" s="37" t="n"/>
      <c r="I452" s="37" t="n"/>
      <c r="J452" s="37" t="n"/>
      <c r="K452" s="38" t="n"/>
      <c r="L452" s="37" t="n"/>
      <c r="M452" s="35" t="n"/>
      <c r="N452" s="39">
        <f>IFERROR(IF(ISBLANK(H452),"",ABS(H452-I452)/VLOOKUP(C452,設定!$B$9:$D$23,2,FALSE)),"")</f>
        <v/>
      </c>
      <c r="O452" s="38">
        <f>IFERROR(IF(ISBLANK(J452),"",ABS(J452-H452)/ABS(H452-I452)),"")</f>
        <v/>
      </c>
      <c r="P452" s="40">
        <f>IFERROR(IF(OR(ISBLANK(L452),ISBLANK(E452)),"",IF(E452="Long",(L452-H452),(H452-L452))/VLOOKUP(C452,設定!$B$9:$D$23,2,FALSE)),"")</f>
        <v/>
      </c>
      <c r="Q452" s="41">
        <f>IFERROR(IF(OR(ISBLANK(P452),N452=0),"",P452/N452),"")</f>
        <v/>
      </c>
      <c r="R452" s="41">
        <f>IFERROR(IF(ISBLANK(Q452),R451,IF(ISNUMBER(R451),R451,0)+Q452),"")</f>
        <v/>
      </c>
      <c r="S452" s="42">
        <f>IFERROR(IF(OR(ISBLANK(P452),ISBLANK(K452)),"",P452*K452*VLOOKUP(C452,設定!$B$9:$D$23,3,FALSE)),"")</f>
        <v/>
      </c>
      <c r="T452" s="35" t="n"/>
    </row>
    <row r="453">
      <c r="A453" s="43">
        <f>IF(ISBLANK(B453),"",COUNTA($B$2:B453))</f>
        <v/>
      </c>
      <c r="B453" s="44" t="n"/>
      <c r="C453" s="45" t="n"/>
      <c r="D453" s="45" t="n"/>
      <c r="E453" s="45" t="n"/>
      <c r="F453" s="43" t="n"/>
      <c r="G453" s="46" t="n"/>
      <c r="H453" s="47" t="n"/>
      <c r="I453" s="47" t="n"/>
      <c r="J453" s="47" t="n"/>
      <c r="K453" s="48" t="n"/>
      <c r="L453" s="47" t="n"/>
      <c r="M453" s="45" t="n"/>
      <c r="N453" s="49">
        <f>IFERROR(IF(ISBLANK(H453),"",ABS(H453-I453)/VLOOKUP(C453,設定!$B$9:$D$23,2,FALSE)),"")</f>
        <v/>
      </c>
      <c r="O453" s="48">
        <f>IFERROR(IF(ISBLANK(J453),"",ABS(J453-H453)/ABS(H453-I453)),"")</f>
        <v/>
      </c>
      <c r="P453" s="50">
        <f>IFERROR(IF(OR(ISBLANK(L453),ISBLANK(E453)),"",IF(E453="Long",(L453-H453),(H453-L453))/VLOOKUP(C453,設定!$B$9:$D$23,2,FALSE)),"")</f>
        <v/>
      </c>
      <c r="Q453" s="51">
        <f>IFERROR(IF(OR(ISBLANK(P453),N453=0),"",P453/N453),"")</f>
        <v/>
      </c>
      <c r="R453" s="51">
        <f>IFERROR(IF(ISBLANK(Q453),R452,IF(ISNUMBER(R452),R452,0)+Q453),"")</f>
        <v/>
      </c>
      <c r="S453" s="52">
        <f>IFERROR(IF(OR(ISBLANK(P453),ISBLANK(K453)),"",P453*K453*VLOOKUP(C453,設定!$B$9:$D$23,3,FALSE)),"")</f>
        <v/>
      </c>
      <c r="T453" s="45" t="n"/>
    </row>
    <row r="454">
      <c r="A454" s="33">
        <f>IF(ISBLANK(B454),"",COUNTA($B$2:B454))</f>
        <v/>
      </c>
      <c r="B454" s="34" t="n"/>
      <c r="C454" s="35" t="n"/>
      <c r="D454" s="35" t="n"/>
      <c r="E454" s="35" t="n"/>
      <c r="F454" s="33" t="n"/>
      <c r="G454" s="36" t="n"/>
      <c r="H454" s="37" t="n"/>
      <c r="I454" s="37" t="n"/>
      <c r="J454" s="37" t="n"/>
      <c r="K454" s="38" t="n"/>
      <c r="L454" s="37" t="n"/>
      <c r="M454" s="35" t="n"/>
      <c r="N454" s="39">
        <f>IFERROR(IF(ISBLANK(H454),"",ABS(H454-I454)/VLOOKUP(C454,設定!$B$9:$D$23,2,FALSE)),"")</f>
        <v/>
      </c>
      <c r="O454" s="38">
        <f>IFERROR(IF(ISBLANK(J454),"",ABS(J454-H454)/ABS(H454-I454)),"")</f>
        <v/>
      </c>
      <c r="P454" s="40">
        <f>IFERROR(IF(OR(ISBLANK(L454),ISBLANK(E454)),"",IF(E454="Long",(L454-H454),(H454-L454))/VLOOKUP(C454,設定!$B$9:$D$23,2,FALSE)),"")</f>
        <v/>
      </c>
      <c r="Q454" s="41">
        <f>IFERROR(IF(OR(ISBLANK(P454),N454=0),"",P454/N454),"")</f>
        <v/>
      </c>
      <c r="R454" s="41">
        <f>IFERROR(IF(ISBLANK(Q454),R453,IF(ISNUMBER(R453),R453,0)+Q454),"")</f>
        <v/>
      </c>
      <c r="S454" s="42">
        <f>IFERROR(IF(OR(ISBLANK(P454),ISBLANK(K454)),"",P454*K454*VLOOKUP(C454,設定!$B$9:$D$23,3,FALSE)),"")</f>
        <v/>
      </c>
      <c r="T454" s="35" t="n"/>
    </row>
    <row r="455">
      <c r="A455" s="43">
        <f>IF(ISBLANK(B455),"",COUNTA($B$2:B455))</f>
        <v/>
      </c>
      <c r="B455" s="44" t="n"/>
      <c r="C455" s="45" t="n"/>
      <c r="D455" s="45" t="n"/>
      <c r="E455" s="45" t="n"/>
      <c r="F455" s="43" t="n"/>
      <c r="G455" s="46" t="n"/>
      <c r="H455" s="47" t="n"/>
      <c r="I455" s="47" t="n"/>
      <c r="J455" s="47" t="n"/>
      <c r="K455" s="48" t="n"/>
      <c r="L455" s="47" t="n"/>
      <c r="M455" s="45" t="n"/>
      <c r="N455" s="49">
        <f>IFERROR(IF(ISBLANK(H455),"",ABS(H455-I455)/VLOOKUP(C455,設定!$B$9:$D$23,2,FALSE)),"")</f>
        <v/>
      </c>
      <c r="O455" s="48">
        <f>IFERROR(IF(ISBLANK(J455),"",ABS(J455-H455)/ABS(H455-I455)),"")</f>
        <v/>
      </c>
      <c r="P455" s="50">
        <f>IFERROR(IF(OR(ISBLANK(L455),ISBLANK(E455)),"",IF(E455="Long",(L455-H455),(H455-L455))/VLOOKUP(C455,設定!$B$9:$D$23,2,FALSE)),"")</f>
        <v/>
      </c>
      <c r="Q455" s="51">
        <f>IFERROR(IF(OR(ISBLANK(P455),N455=0),"",P455/N455),"")</f>
        <v/>
      </c>
      <c r="R455" s="51">
        <f>IFERROR(IF(ISBLANK(Q455),R454,IF(ISNUMBER(R454),R454,0)+Q455),"")</f>
        <v/>
      </c>
      <c r="S455" s="52">
        <f>IFERROR(IF(OR(ISBLANK(P455),ISBLANK(K455)),"",P455*K455*VLOOKUP(C455,設定!$B$9:$D$23,3,FALSE)),"")</f>
        <v/>
      </c>
      <c r="T455" s="45" t="n"/>
    </row>
    <row r="456">
      <c r="A456" s="33">
        <f>IF(ISBLANK(B456),"",COUNTA($B$2:B456))</f>
        <v/>
      </c>
      <c r="B456" s="34" t="n"/>
      <c r="C456" s="35" t="n"/>
      <c r="D456" s="35" t="n"/>
      <c r="E456" s="35" t="n"/>
      <c r="F456" s="33" t="n"/>
      <c r="G456" s="36" t="n"/>
      <c r="H456" s="37" t="n"/>
      <c r="I456" s="37" t="n"/>
      <c r="J456" s="37" t="n"/>
      <c r="K456" s="38" t="n"/>
      <c r="L456" s="37" t="n"/>
      <c r="M456" s="35" t="n"/>
      <c r="N456" s="39">
        <f>IFERROR(IF(ISBLANK(H456),"",ABS(H456-I456)/VLOOKUP(C456,設定!$B$9:$D$23,2,FALSE)),"")</f>
        <v/>
      </c>
      <c r="O456" s="38">
        <f>IFERROR(IF(ISBLANK(J456),"",ABS(J456-H456)/ABS(H456-I456)),"")</f>
        <v/>
      </c>
      <c r="P456" s="40">
        <f>IFERROR(IF(OR(ISBLANK(L456),ISBLANK(E456)),"",IF(E456="Long",(L456-H456),(H456-L456))/VLOOKUP(C456,設定!$B$9:$D$23,2,FALSE)),"")</f>
        <v/>
      </c>
      <c r="Q456" s="41">
        <f>IFERROR(IF(OR(ISBLANK(P456),N456=0),"",P456/N456),"")</f>
        <v/>
      </c>
      <c r="R456" s="41">
        <f>IFERROR(IF(ISBLANK(Q456),R455,IF(ISNUMBER(R455),R455,0)+Q456),"")</f>
        <v/>
      </c>
      <c r="S456" s="42">
        <f>IFERROR(IF(OR(ISBLANK(P456),ISBLANK(K456)),"",P456*K456*VLOOKUP(C456,設定!$B$9:$D$23,3,FALSE)),"")</f>
        <v/>
      </c>
      <c r="T456" s="35" t="n"/>
    </row>
    <row r="457">
      <c r="A457" s="43">
        <f>IF(ISBLANK(B457),"",COUNTA($B$2:B457))</f>
        <v/>
      </c>
      <c r="B457" s="44" t="n"/>
      <c r="C457" s="45" t="n"/>
      <c r="D457" s="45" t="n"/>
      <c r="E457" s="45" t="n"/>
      <c r="F457" s="43" t="n"/>
      <c r="G457" s="46" t="n"/>
      <c r="H457" s="47" t="n"/>
      <c r="I457" s="47" t="n"/>
      <c r="J457" s="47" t="n"/>
      <c r="K457" s="48" t="n"/>
      <c r="L457" s="47" t="n"/>
      <c r="M457" s="45" t="n"/>
      <c r="N457" s="49">
        <f>IFERROR(IF(ISBLANK(H457),"",ABS(H457-I457)/VLOOKUP(C457,設定!$B$9:$D$23,2,FALSE)),"")</f>
        <v/>
      </c>
      <c r="O457" s="48">
        <f>IFERROR(IF(ISBLANK(J457),"",ABS(J457-H457)/ABS(H457-I457)),"")</f>
        <v/>
      </c>
      <c r="P457" s="50">
        <f>IFERROR(IF(OR(ISBLANK(L457),ISBLANK(E457)),"",IF(E457="Long",(L457-H457),(H457-L457))/VLOOKUP(C457,設定!$B$9:$D$23,2,FALSE)),"")</f>
        <v/>
      </c>
      <c r="Q457" s="51">
        <f>IFERROR(IF(OR(ISBLANK(P457),N457=0),"",P457/N457),"")</f>
        <v/>
      </c>
      <c r="R457" s="51">
        <f>IFERROR(IF(ISBLANK(Q457),R456,IF(ISNUMBER(R456),R456,0)+Q457),"")</f>
        <v/>
      </c>
      <c r="S457" s="52">
        <f>IFERROR(IF(OR(ISBLANK(P457),ISBLANK(K457)),"",P457*K457*VLOOKUP(C457,設定!$B$9:$D$23,3,FALSE)),"")</f>
        <v/>
      </c>
      <c r="T457" s="45" t="n"/>
    </row>
    <row r="458">
      <c r="A458" s="33">
        <f>IF(ISBLANK(B458),"",COUNTA($B$2:B458))</f>
        <v/>
      </c>
      <c r="B458" s="34" t="n"/>
      <c r="C458" s="35" t="n"/>
      <c r="D458" s="35" t="n"/>
      <c r="E458" s="35" t="n"/>
      <c r="F458" s="33" t="n"/>
      <c r="G458" s="36" t="n"/>
      <c r="H458" s="37" t="n"/>
      <c r="I458" s="37" t="n"/>
      <c r="J458" s="37" t="n"/>
      <c r="K458" s="38" t="n"/>
      <c r="L458" s="37" t="n"/>
      <c r="M458" s="35" t="n"/>
      <c r="N458" s="39">
        <f>IFERROR(IF(ISBLANK(H458),"",ABS(H458-I458)/VLOOKUP(C458,設定!$B$9:$D$23,2,FALSE)),"")</f>
        <v/>
      </c>
      <c r="O458" s="38">
        <f>IFERROR(IF(ISBLANK(J458),"",ABS(J458-H458)/ABS(H458-I458)),"")</f>
        <v/>
      </c>
      <c r="P458" s="40">
        <f>IFERROR(IF(OR(ISBLANK(L458),ISBLANK(E458)),"",IF(E458="Long",(L458-H458),(H458-L458))/VLOOKUP(C458,設定!$B$9:$D$23,2,FALSE)),"")</f>
        <v/>
      </c>
      <c r="Q458" s="41">
        <f>IFERROR(IF(OR(ISBLANK(P458),N458=0),"",P458/N458),"")</f>
        <v/>
      </c>
      <c r="R458" s="41">
        <f>IFERROR(IF(ISBLANK(Q458),R457,IF(ISNUMBER(R457),R457,0)+Q458),"")</f>
        <v/>
      </c>
      <c r="S458" s="42">
        <f>IFERROR(IF(OR(ISBLANK(P458),ISBLANK(K458)),"",P458*K458*VLOOKUP(C458,設定!$B$9:$D$23,3,FALSE)),"")</f>
        <v/>
      </c>
      <c r="T458" s="35" t="n"/>
    </row>
    <row r="459">
      <c r="A459" s="43">
        <f>IF(ISBLANK(B459),"",COUNTA($B$2:B459))</f>
        <v/>
      </c>
      <c r="B459" s="44" t="n"/>
      <c r="C459" s="45" t="n"/>
      <c r="D459" s="45" t="n"/>
      <c r="E459" s="45" t="n"/>
      <c r="F459" s="43" t="n"/>
      <c r="G459" s="46" t="n"/>
      <c r="H459" s="47" t="n"/>
      <c r="I459" s="47" t="n"/>
      <c r="J459" s="47" t="n"/>
      <c r="K459" s="48" t="n"/>
      <c r="L459" s="47" t="n"/>
      <c r="M459" s="45" t="n"/>
      <c r="N459" s="49">
        <f>IFERROR(IF(ISBLANK(H459),"",ABS(H459-I459)/VLOOKUP(C459,設定!$B$9:$D$23,2,FALSE)),"")</f>
        <v/>
      </c>
      <c r="O459" s="48">
        <f>IFERROR(IF(ISBLANK(J459),"",ABS(J459-H459)/ABS(H459-I459)),"")</f>
        <v/>
      </c>
      <c r="P459" s="50">
        <f>IFERROR(IF(OR(ISBLANK(L459),ISBLANK(E459)),"",IF(E459="Long",(L459-H459),(H459-L459))/VLOOKUP(C459,設定!$B$9:$D$23,2,FALSE)),"")</f>
        <v/>
      </c>
      <c r="Q459" s="51">
        <f>IFERROR(IF(OR(ISBLANK(P459),N459=0),"",P459/N459),"")</f>
        <v/>
      </c>
      <c r="R459" s="51">
        <f>IFERROR(IF(ISBLANK(Q459),R458,IF(ISNUMBER(R458),R458,0)+Q459),"")</f>
        <v/>
      </c>
      <c r="S459" s="52">
        <f>IFERROR(IF(OR(ISBLANK(P459),ISBLANK(K459)),"",P459*K459*VLOOKUP(C459,設定!$B$9:$D$23,3,FALSE)),"")</f>
        <v/>
      </c>
      <c r="T459" s="45" t="n"/>
    </row>
    <row r="460">
      <c r="A460" s="33">
        <f>IF(ISBLANK(B460),"",COUNTA($B$2:B460))</f>
        <v/>
      </c>
      <c r="B460" s="34" t="n"/>
      <c r="C460" s="35" t="n"/>
      <c r="D460" s="35" t="n"/>
      <c r="E460" s="35" t="n"/>
      <c r="F460" s="33" t="n"/>
      <c r="G460" s="36" t="n"/>
      <c r="H460" s="37" t="n"/>
      <c r="I460" s="37" t="n"/>
      <c r="J460" s="37" t="n"/>
      <c r="K460" s="38" t="n"/>
      <c r="L460" s="37" t="n"/>
      <c r="M460" s="35" t="n"/>
      <c r="N460" s="39">
        <f>IFERROR(IF(ISBLANK(H460),"",ABS(H460-I460)/VLOOKUP(C460,設定!$B$9:$D$23,2,FALSE)),"")</f>
        <v/>
      </c>
      <c r="O460" s="38">
        <f>IFERROR(IF(ISBLANK(J460),"",ABS(J460-H460)/ABS(H460-I460)),"")</f>
        <v/>
      </c>
      <c r="P460" s="40">
        <f>IFERROR(IF(OR(ISBLANK(L460),ISBLANK(E460)),"",IF(E460="Long",(L460-H460),(H460-L460))/VLOOKUP(C460,設定!$B$9:$D$23,2,FALSE)),"")</f>
        <v/>
      </c>
      <c r="Q460" s="41">
        <f>IFERROR(IF(OR(ISBLANK(P460),N460=0),"",P460/N460),"")</f>
        <v/>
      </c>
      <c r="R460" s="41">
        <f>IFERROR(IF(ISBLANK(Q460),R459,IF(ISNUMBER(R459),R459,0)+Q460),"")</f>
        <v/>
      </c>
      <c r="S460" s="42">
        <f>IFERROR(IF(OR(ISBLANK(P460),ISBLANK(K460)),"",P460*K460*VLOOKUP(C460,設定!$B$9:$D$23,3,FALSE)),"")</f>
        <v/>
      </c>
      <c r="T460" s="35" t="n"/>
    </row>
    <row r="461">
      <c r="A461" s="43">
        <f>IF(ISBLANK(B461),"",COUNTA($B$2:B461))</f>
        <v/>
      </c>
      <c r="B461" s="44" t="n"/>
      <c r="C461" s="45" t="n"/>
      <c r="D461" s="45" t="n"/>
      <c r="E461" s="45" t="n"/>
      <c r="F461" s="43" t="n"/>
      <c r="G461" s="46" t="n"/>
      <c r="H461" s="47" t="n"/>
      <c r="I461" s="47" t="n"/>
      <c r="J461" s="47" t="n"/>
      <c r="K461" s="48" t="n"/>
      <c r="L461" s="47" t="n"/>
      <c r="M461" s="45" t="n"/>
      <c r="N461" s="49">
        <f>IFERROR(IF(ISBLANK(H461),"",ABS(H461-I461)/VLOOKUP(C461,設定!$B$9:$D$23,2,FALSE)),"")</f>
        <v/>
      </c>
      <c r="O461" s="48">
        <f>IFERROR(IF(ISBLANK(J461),"",ABS(J461-H461)/ABS(H461-I461)),"")</f>
        <v/>
      </c>
      <c r="P461" s="50">
        <f>IFERROR(IF(OR(ISBLANK(L461),ISBLANK(E461)),"",IF(E461="Long",(L461-H461),(H461-L461))/VLOOKUP(C461,設定!$B$9:$D$23,2,FALSE)),"")</f>
        <v/>
      </c>
      <c r="Q461" s="51">
        <f>IFERROR(IF(OR(ISBLANK(P461),N461=0),"",P461/N461),"")</f>
        <v/>
      </c>
      <c r="R461" s="51">
        <f>IFERROR(IF(ISBLANK(Q461),R460,IF(ISNUMBER(R460),R460,0)+Q461),"")</f>
        <v/>
      </c>
      <c r="S461" s="52">
        <f>IFERROR(IF(OR(ISBLANK(P461),ISBLANK(K461)),"",P461*K461*VLOOKUP(C461,設定!$B$9:$D$23,3,FALSE)),"")</f>
        <v/>
      </c>
      <c r="T461" s="45" t="n"/>
    </row>
    <row r="462">
      <c r="A462" s="33">
        <f>IF(ISBLANK(B462),"",COUNTA($B$2:B462))</f>
        <v/>
      </c>
      <c r="B462" s="34" t="n"/>
      <c r="C462" s="35" t="n"/>
      <c r="D462" s="35" t="n"/>
      <c r="E462" s="35" t="n"/>
      <c r="F462" s="33" t="n"/>
      <c r="G462" s="36" t="n"/>
      <c r="H462" s="37" t="n"/>
      <c r="I462" s="37" t="n"/>
      <c r="J462" s="37" t="n"/>
      <c r="K462" s="38" t="n"/>
      <c r="L462" s="37" t="n"/>
      <c r="M462" s="35" t="n"/>
      <c r="N462" s="39">
        <f>IFERROR(IF(ISBLANK(H462),"",ABS(H462-I462)/VLOOKUP(C462,設定!$B$9:$D$23,2,FALSE)),"")</f>
        <v/>
      </c>
      <c r="O462" s="38">
        <f>IFERROR(IF(ISBLANK(J462),"",ABS(J462-H462)/ABS(H462-I462)),"")</f>
        <v/>
      </c>
      <c r="P462" s="40">
        <f>IFERROR(IF(OR(ISBLANK(L462),ISBLANK(E462)),"",IF(E462="Long",(L462-H462),(H462-L462))/VLOOKUP(C462,設定!$B$9:$D$23,2,FALSE)),"")</f>
        <v/>
      </c>
      <c r="Q462" s="41">
        <f>IFERROR(IF(OR(ISBLANK(P462),N462=0),"",P462/N462),"")</f>
        <v/>
      </c>
      <c r="R462" s="41">
        <f>IFERROR(IF(ISBLANK(Q462),R461,IF(ISNUMBER(R461),R461,0)+Q462),"")</f>
        <v/>
      </c>
      <c r="S462" s="42">
        <f>IFERROR(IF(OR(ISBLANK(P462),ISBLANK(K462)),"",P462*K462*VLOOKUP(C462,設定!$B$9:$D$23,3,FALSE)),"")</f>
        <v/>
      </c>
      <c r="T462" s="35" t="n"/>
    </row>
    <row r="463">
      <c r="A463" s="43">
        <f>IF(ISBLANK(B463),"",COUNTA($B$2:B463))</f>
        <v/>
      </c>
      <c r="B463" s="44" t="n"/>
      <c r="C463" s="45" t="n"/>
      <c r="D463" s="45" t="n"/>
      <c r="E463" s="45" t="n"/>
      <c r="F463" s="43" t="n"/>
      <c r="G463" s="46" t="n"/>
      <c r="H463" s="47" t="n"/>
      <c r="I463" s="47" t="n"/>
      <c r="J463" s="47" t="n"/>
      <c r="K463" s="48" t="n"/>
      <c r="L463" s="47" t="n"/>
      <c r="M463" s="45" t="n"/>
      <c r="N463" s="49">
        <f>IFERROR(IF(ISBLANK(H463),"",ABS(H463-I463)/VLOOKUP(C463,設定!$B$9:$D$23,2,FALSE)),"")</f>
        <v/>
      </c>
      <c r="O463" s="48">
        <f>IFERROR(IF(ISBLANK(J463),"",ABS(J463-H463)/ABS(H463-I463)),"")</f>
        <v/>
      </c>
      <c r="P463" s="50">
        <f>IFERROR(IF(OR(ISBLANK(L463),ISBLANK(E463)),"",IF(E463="Long",(L463-H463),(H463-L463))/VLOOKUP(C463,設定!$B$9:$D$23,2,FALSE)),"")</f>
        <v/>
      </c>
      <c r="Q463" s="51">
        <f>IFERROR(IF(OR(ISBLANK(P463),N463=0),"",P463/N463),"")</f>
        <v/>
      </c>
      <c r="R463" s="51">
        <f>IFERROR(IF(ISBLANK(Q463),R462,IF(ISNUMBER(R462),R462,0)+Q463),"")</f>
        <v/>
      </c>
      <c r="S463" s="52">
        <f>IFERROR(IF(OR(ISBLANK(P463),ISBLANK(K463)),"",P463*K463*VLOOKUP(C463,設定!$B$9:$D$23,3,FALSE)),"")</f>
        <v/>
      </c>
      <c r="T463" s="45" t="n"/>
    </row>
    <row r="464">
      <c r="A464" s="33">
        <f>IF(ISBLANK(B464),"",COUNTA($B$2:B464))</f>
        <v/>
      </c>
      <c r="B464" s="34" t="n"/>
      <c r="C464" s="35" t="n"/>
      <c r="D464" s="35" t="n"/>
      <c r="E464" s="35" t="n"/>
      <c r="F464" s="33" t="n"/>
      <c r="G464" s="36" t="n"/>
      <c r="H464" s="37" t="n"/>
      <c r="I464" s="37" t="n"/>
      <c r="J464" s="37" t="n"/>
      <c r="K464" s="38" t="n"/>
      <c r="L464" s="37" t="n"/>
      <c r="M464" s="35" t="n"/>
      <c r="N464" s="39">
        <f>IFERROR(IF(ISBLANK(H464),"",ABS(H464-I464)/VLOOKUP(C464,設定!$B$9:$D$23,2,FALSE)),"")</f>
        <v/>
      </c>
      <c r="O464" s="38">
        <f>IFERROR(IF(ISBLANK(J464),"",ABS(J464-H464)/ABS(H464-I464)),"")</f>
        <v/>
      </c>
      <c r="P464" s="40">
        <f>IFERROR(IF(OR(ISBLANK(L464),ISBLANK(E464)),"",IF(E464="Long",(L464-H464),(H464-L464))/VLOOKUP(C464,設定!$B$9:$D$23,2,FALSE)),"")</f>
        <v/>
      </c>
      <c r="Q464" s="41">
        <f>IFERROR(IF(OR(ISBLANK(P464),N464=0),"",P464/N464),"")</f>
        <v/>
      </c>
      <c r="R464" s="41">
        <f>IFERROR(IF(ISBLANK(Q464),R463,IF(ISNUMBER(R463),R463,0)+Q464),"")</f>
        <v/>
      </c>
      <c r="S464" s="42">
        <f>IFERROR(IF(OR(ISBLANK(P464),ISBLANK(K464)),"",P464*K464*VLOOKUP(C464,設定!$B$9:$D$23,3,FALSE)),"")</f>
        <v/>
      </c>
      <c r="T464" s="35" t="n"/>
    </row>
    <row r="465">
      <c r="A465" s="43">
        <f>IF(ISBLANK(B465),"",COUNTA($B$2:B465))</f>
        <v/>
      </c>
      <c r="B465" s="44" t="n"/>
      <c r="C465" s="45" t="n"/>
      <c r="D465" s="45" t="n"/>
      <c r="E465" s="45" t="n"/>
      <c r="F465" s="43" t="n"/>
      <c r="G465" s="46" t="n"/>
      <c r="H465" s="47" t="n"/>
      <c r="I465" s="47" t="n"/>
      <c r="J465" s="47" t="n"/>
      <c r="K465" s="48" t="n"/>
      <c r="L465" s="47" t="n"/>
      <c r="M465" s="45" t="n"/>
      <c r="N465" s="49">
        <f>IFERROR(IF(ISBLANK(H465),"",ABS(H465-I465)/VLOOKUP(C465,設定!$B$9:$D$23,2,FALSE)),"")</f>
        <v/>
      </c>
      <c r="O465" s="48">
        <f>IFERROR(IF(ISBLANK(J465),"",ABS(J465-H465)/ABS(H465-I465)),"")</f>
        <v/>
      </c>
      <c r="P465" s="50">
        <f>IFERROR(IF(OR(ISBLANK(L465),ISBLANK(E465)),"",IF(E465="Long",(L465-H465),(H465-L465))/VLOOKUP(C465,設定!$B$9:$D$23,2,FALSE)),"")</f>
        <v/>
      </c>
      <c r="Q465" s="51">
        <f>IFERROR(IF(OR(ISBLANK(P465),N465=0),"",P465/N465),"")</f>
        <v/>
      </c>
      <c r="R465" s="51">
        <f>IFERROR(IF(ISBLANK(Q465),R464,IF(ISNUMBER(R464),R464,0)+Q465),"")</f>
        <v/>
      </c>
      <c r="S465" s="52">
        <f>IFERROR(IF(OR(ISBLANK(P465),ISBLANK(K465)),"",P465*K465*VLOOKUP(C465,設定!$B$9:$D$23,3,FALSE)),"")</f>
        <v/>
      </c>
      <c r="T465" s="45" t="n"/>
    </row>
    <row r="466">
      <c r="A466" s="33">
        <f>IF(ISBLANK(B466),"",COUNTA($B$2:B466))</f>
        <v/>
      </c>
      <c r="B466" s="34" t="n"/>
      <c r="C466" s="35" t="n"/>
      <c r="D466" s="35" t="n"/>
      <c r="E466" s="35" t="n"/>
      <c r="F466" s="33" t="n"/>
      <c r="G466" s="36" t="n"/>
      <c r="H466" s="37" t="n"/>
      <c r="I466" s="37" t="n"/>
      <c r="J466" s="37" t="n"/>
      <c r="K466" s="38" t="n"/>
      <c r="L466" s="37" t="n"/>
      <c r="M466" s="35" t="n"/>
      <c r="N466" s="39">
        <f>IFERROR(IF(ISBLANK(H466),"",ABS(H466-I466)/VLOOKUP(C466,設定!$B$9:$D$23,2,FALSE)),"")</f>
        <v/>
      </c>
      <c r="O466" s="38">
        <f>IFERROR(IF(ISBLANK(J466),"",ABS(J466-H466)/ABS(H466-I466)),"")</f>
        <v/>
      </c>
      <c r="P466" s="40">
        <f>IFERROR(IF(OR(ISBLANK(L466),ISBLANK(E466)),"",IF(E466="Long",(L466-H466),(H466-L466))/VLOOKUP(C466,設定!$B$9:$D$23,2,FALSE)),"")</f>
        <v/>
      </c>
      <c r="Q466" s="41">
        <f>IFERROR(IF(OR(ISBLANK(P466),N466=0),"",P466/N466),"")</f>
        <v/>
      </c>
      <c r="R466" s="41">
        <f>IFERROR(IF(ISBLANK(Q466),R465,IF(ISNUMBER(R465),R465,0)+Q466),"")</f>
        <v/>
      </c>
      <c r="S466" s="42">
        <f>IFERROR(IF(OR(ISBLANK(P466),ISBLANK(K466)),"",P466*K466*VLOOKUP(C466,設定!$B$9:$D$23,3,FALSE)),"")</f>
        <v/>
      </c>
      <c r="T466" s="35" t="n"/>
    </row>
    <row r="467">
      <c r="A467" s="43">
        <f>IF(ISBLANK(B467),"",COUNTA($B$2:B467))</f>
        <v/>
      </c>
      <c r="B467" s="44" t="n"/>
      <c r="C467" s="45" t="n"/>
      <c r="D467" s="45" t="n"/>
      <c r="E467" s="45" t="n"/>
      <c r="F467" s="43" t="n"/>
      <c r="G467" s="46" t="n"/>
      <c r="H467" s="47" t="n"/>
      <c r="I467" s="47" t="n"/>
      <c r="J467" s="47" t="n"/>
      <c r="K467" s="48" t="n"/>
      <c r="L467" s="47" t="n"/>
      <c r="M467" s="45" t="n"/>
      <c r="N467" s="49">
        <f>IFERROR(IF(ISBLANK(H467),"",ABS(H467-I467)/VLOOKUP(C467,設定!$B$9:$D$23,2,FALSE)),"")</f>
        <v/>
      </c>
      <c r="O467" s="48">
        <f>IFERROR(IF(ISBLANK(J467),"",ABS(J467-H467)/ABS(H467-I467)),"")</f>
        <v/>
      </c>
      <c r="P467" s="50">
        <f>IFERROR(IF(OR(ISBLANK(L467),ISBLANK(E467)),"",IF(E467="Long",(L467-H467),(H467-L467))/VLOOKUP(C467,設定!$B$9:$D$23,2,FALSE)),"")</f>
        <v/>
      </c>
      <c r="Q467" s="51">
        <f>IFERROR(IF(OR(ISBLANK(P467),N467=0),"",P467/N467),"")</f>
        <v/>
      </c>
      <c r="R467" s="51">
        <f>IFERROR(IF(ISBLANK(Q467),R466,IF(ISNUMBER(R466),R466,0)+Q467),"")</f>
        <v/>
      </c>
      <c r="S467" s="52">
        <f>IFERROR(IF(OR(ISBLANK(P467),ISBLANK(K467)),"",P467*K467*VLOOKUP(C467,設定!$B$9:$D$23,3,FALSE)),"")</f>
        <v/>
      </c>
      <c r="T467" s="45" t="n"/>
    </row>
    <row r="468">
      <c r="A468" s="33">
        <f>IF(ISBLANK(B468),"",COUNTA($B$2:B468))</f>
        <v/>
      </c>
      <c r="B468" s="34" t="n"/>
      <c r="C468" s="35" t="n"/>
      <c r="D468" s="35" t="n"/>
      <c r="E468" s="35" t="n"/>
      <c r="F468" s="33" t="n"/>
      <c r="G468" s="36" t="n"/>
      <c r="H468" s="37" t="n"/>
      <c r="I468" s="37" t="n"/>
      <c r="J468" s="37" t="n"/>
      <c r="K468" s="38" t="n"/>
      <c r="L468" s="37" t="n"/>
      <c r="M468" s="35" t="n"/>
      <c r="N468" s="39">
        <f>IFERROR(IF(ISBLANK(H468),"",ABS(H468-I468)/VLOOKUP(C468,設定!$B$9:$D$23,2,FALSE)),"")</f>
        <v/>
      </c>
      <c r="O468" s="38">
        <f>IFERROR(IF(ISBLANK(J468),"",ABS(J468-H468)/ABS(H468-I468)),"")</f>
        <v/>
      </c>
      <c r="P468" s="40">
        <f>IFERROR(IF(OR(ISBLANK(L468),ISBLANK(E468)),"",IF(E468="Long",(L468-H468),(H468-L468))/VLOOKUP(C468,設定!$B$9:$D$23,2,FALSE)),"")</f>
        <v/>
      </c>
      <c r="Q468" s="41">
        <f>IFERROR(IF(OR(ISBLANK(P468),N468=0),"",P468/N468),"")</f>
        <v/>
      </c>
      <c r="R468" s="41">
        <f>IFERROR(IF(ISBLANK(Q468),R467,IF(ISNUMBER(R467),R467,0)+Q468),"")</f>
        <v/>
      </c>
      <c r="S468" s="42">
        <f>IFERROR(IF(OR(ISBLANK(P468),ISBLANK(K468)),"",P468*K468*VLOOKUP(C468,設定!$B$9:$D$23,3,FALSE)),"")</f>
        <v/>
      </c>
      <c r="T468" s="35" t="n"/>
    </row>
    <row r="469">
      <c r="A469" s="43">
        <f>IF(ISBLANK(B469),"",COUNTA($B$2:B469))</f>
        <v/>
      </c>
      <c r="B469" s="44" t="n"/>
      <c r="C469" s="45" t="n"/>
      <c r="D469" s="45" t="n"/>
      <c r="E469" s="45" t="n"/>
      <c r="F469" s="43" t="n"/>
      <c r="G469" s="46" t="n"/>
      <c r="H469" s="47" t="n"/>
      <c r="I469" s="47" t="n"/>
      <c r="J469" s="47" t="n"/>
      <c r="K469" s="48" t="n"/>
      <c r="L469" s="47" t="n"/>
      <c r="M469" s="45" t="n"/>
      <c r="N469" s="49">
        <f>IFERROR(IF(ISBLANK(H469),"",ABS(H469-I469)/VLOOKUP(C469,設定!$B$9:$D$23,2,FALSE)),"")</f>
        <v/>
      </c>
      <c r="O469" s="48">
        <f>IFERROR(IF(ISBLANK(J469),"",ABS(J469-H469)/ABS(H469-I469)),"")</f>
        <v/>
      </c>
      <c r="P469" s="50">
        <f>IFERROR(IF(OR(ISBLANK(L469),ISBLANK(E469)),"",IF(E469="Long",(L469-H469),(H469-L469))/VLOOKUP(C469,設定!$B$9:$D$23,2,FALSE)),"")</f>
        <v/>
      </c>
      <c r="Q469" s="51">
        <f>IFERROR(IF(OR(ISBLANK(P469),N469=0),"",P469/N469),"")</f>
        <v/>
      </c>
      <c r="R469" s="51">
        <f>IFERROR(IF(ISBLANK(Q469),R468,IF(ISNUMBER(R468),R468,0)+Q469),"")</f>
        <v/>
      </c>
      <c r="S469" s="52">
        <f>IFERROR(IF(OR(ISBLANK(P469),ISBLANK(K469)),"",P469*K469*VLOOKUP(C469,設定!$B$9:$D$23,3,FALSE)),"")</f>
        <v/>
      </c>
      <c r="T469" s="45" t="n"/>
    </row>
    <row r="470">
      <c r="A470" s="33">
        <f>IF(ISBLANK(B470),"",COUNTA($B$2:B470))</f>
        <v/>
      </c>
      <c r="B470" s="34" t="n"/>
      <c r="C470" s="35" t="n"/>
      <c r="D470" s="35" t="n"/>
      <c r="E470" s="35" t="n"/>
      <c r="F470" s="33" t="n"/>
      <c r="G470" s="36" t="n"/>
      <c r="H470" s="37" t="n"/>
      <c r="I470" s="37" t="n"/>
      <c r="J470" s="37" t="n"/>
      <c r="K470" s="38" t="n"/>
      <c r="L470" s="37" t="n"/>
      <c r="M470" s="35" t="n"/>
      <c r="N470" s="39">
        <f>IFERROR(IF(ISBLANK(H470),"",ABS(H470-I470)/VLOOKUP(C470,設定!$B$9:$D$23,2,FALSE)),"")</f>
        <v/>
      </c>
      <c r="O470" s="38">
        <f>IFERROR(IF(ISBLANK(J470),"",ABS(J470-H470)/ABS(H470-I470)),"")</f>
        <v/>
      </c>
      <c r="P470" s="40">
        <f>IFERROR(IF(OR(ISBLANK(L470),ISBLANK(E470)),"",IF(E470="Long",(L470-H470),(H470-L470))/VLOOKUP(C470,設定!$B$9:$D$23,2,FALSE)),"")</f>
        <v/>
      </c>
      <c r="Q470" s="41">
        <f>IFERROR(IF(OR(ISBLANK(P470),N470=0),"",P470/N470),"")</f>
        <v/>
      </c>
      <c r="R470" s="41">
        <f>IFERROR(IF(ISBLANK(Q470),R469,IF(ISNUMBER(R469),R469,0)+Q470),"")</f>
        <v/>
      </c>
      <c r="S470" s="42">
        <f>IFERROR(IF(OR(ISBLANK(P470),ISBLANK(K470)),"",P470*K470*VLOOKUP(C470,設定!$B$9:$D$23,3,FALSE)),"")</f>
        <v/>
      </c>
      <c r="T470" s="35" t="n"/>
    </row>
    <row r="471">
      <c r="A471" s="43">
        <f>IF(ISBLANK(B471),"",COUNTA($B$2:B471))</f>
        <v/>
      </c>
      <c r="B471" s="44" t="n"/>
      <c r="C471" s="45" t="n"/>
      <c r="D471" s="45" t="n"/>
      <c r="E471" s="45" t="n"/>
      <c r="F471" s="43" t="n"/>
      <c r="G471" s="46" t="n"/>
      <c r="H471" s="47" t="n"/>
      <c r="I471" s="47" t="n"/>
      <c r="J471" s="47" t="n"/>
      <c r="K471" s="48" t="n"/>
      <c r="L471" s="47" t="n"/>
      <c r="M471" s="45" t="n"/>
      <c r="N471" s="49">
        <f>IFERROR(IF(ISBLANK(H471),"",ABS(H471-I471)/VLOOKUP(C471,設定!$B$9:$D$23,2,FALSE)),"")</f>
        <v/>
      </c>
      <c r="O471" s="48">
        <f>IFERROR(IF(ISBLANK(J471),"",ABS(J471-H471)/ABS(H471-I471)),"")</f>
        <v/>
      </c>
      <c r="P471" s="50">
        <f>IFERROR(IF(OR(ISBLANK(L471),ISBLANK(E471)),"",IF(E471="Long",(L471-H471),(H471-L471))/VLOOKUP(C471,設定!$B$9:$D$23,2,FALSE)),"")</f>
        <v/>
      </c>
      <c r="Q471" s="51">
        <f>IFERROR(IF(OR(ISBLANK(P471),N471=0),"",P471/N471),"")</f>
        <v/>
      </c>
      <c r="R471" s="51">
        <f>IFERROR(IF(ISBLANK(Q471),R470,IF(ISNUMBER(R470),R470,0)+Q471),"")</f>
        <v/>
      </c>
      <c r="S471" s="52">
        <f>IFERROR(IF(OR(ISBLANK(P471),ISBLANK(K471)),"",P471*K471*VLOOKUP(C471,設定!$B$9:$D$23,3,FALSE)),"")</f>
        <v/>
      </c>
      <c r="T471" s="45" t="n"/>
    </row>
    <row r="472">
      <c r="A472" s="33">
        <f>IF(ISBLANK(B472),"",COUNTA($B$2:B472))</f>
        <v/>
      </c>
      <c r="B472" s="34" t="n"/>
      <c r="C472" s="35" t="n"/>
      <c r="D472" s="35" t="n"/>
      <c r="E472" s="35" t="n"/>
      <c r="F472" s="33" t="n"/>
      <c r="G472" s="36" t="n"/>
      <c r="H472" s="37" t="n"/>
      <c r="I472" s="37" t="n"/>
      <c r="J472" s="37" t="n"/>
      <c r="K472" s="38" t="n"/>
      <c r="L472" s="37" t="n"/>
      <c r="M472" s="35" t="n"/>
      <c r="N472" s="39">
        <f>IFERROR(IF(ISBLANK(H472),"",ABS(H472-I472)/VLOOKUP(C472,設定!$B$9:$D$23,2,FALSE)),"")</f>
        <v/>
      </c>
      <c r="O472" s="38">
        <f>IFERROR(IF(ISBLANK(J472),"",ABS(J472-H472)/ABS(H472-I472)),"")</f>
        <v/>
      </c>
      <c r="P472" s="40">
        <f>IFERROR(IF(OR(ISBLANK(L472),ISBLANK(E472)),"",IF(E472="Long",(L472-H472),(H472-L472))/VLOOKUP(C472,設定!$B$9:$D$23,2,FALSE)),"")</f>
        <v/>
      </c>
      <c r="Q472" s="41">
        <f>IFERROR(IF(OR(ISBLANK(P472),N472=0),"",P472/N472),"")</f>
        <v/>
      </c>
      <c r="R472" s="41">
        <f>IFERROR(IF(ISBLANK(Q472),R471,IF(ISNUMBER(R471),R471,0)+Q472),"")</f>
        <v/>
      </c>
      <c r="S472" s="42">
        <f>IFERROR(IF(OR(ISBLANK(P472),ISBLANK(K472)),"",P472*K472*VLOOKUP(C472,設定!$B$9:$D$23,3,FALSE)),"")</f>
        <v/>
      </c>
      <c r="T472" s="35" t="n"/>
    </row>
    <row r="473">
      <c r="A473" s="43">
        <f>IF(ISBLANK(B473),"",COUNTA($B$2:B473))</f>
        <v/>
      </c>
      <c r="B473" s="44" t="n"/>
      <c r="C473" s="45" t="n"/>
      <c r="D473" s="45" t="n"/>
      <c r="E473" s="45" t="n"/>
      <c r="F473" s="43" t="n"/>
      <c r="G473" s="46" t="n"/>
      <c r="H473" s="47" t="n"/>
      <c r="I473" s="47" t="n"/>
      <c r="J473" s="47" t="n"/>
      <c r="K473" s="48" t="n"/>
      <c r="L473" s="47" t="n"/>
      <c r="M473" s="45" t="n"/>
      <c r="N473" s="49">
        <f>IFERROR(IF(ISBLANK(H473),"",ABS(H473-I473)/VLOOKUP(C473,設定!$B$9:$D$23,2,FALSE)),"")</f>
        <v/>
      </c>
      <c r="O473" s="48">
        <f>IFERROR(IF(ISBLANK(J473),"",ABS(J473-H473)/ABS(H473-I473)),"")</f>
        <v/>
      </c>
      <c r="P473" s="50">
        <f>IFERROR(IF(OR(ISBLANK(L473),ISBLANK(E473)),"",IF(E473="Long",(L473-H473),(H473-L473))/VLOOKUP(C473,設定!$B$9:$D$23,2,FALSE)),"")</f>
        <v/>
      </c>
      <c r="Q473" s="51">
        <f>IFERROR(IF(OR(ISBLANK(P473),N473=0),"",P473/N473),"")</f>
        <v/>
      </c>
      <c r="R473" s="51">
        <f>IFERROR(IF(ISBLANK(Q473),R472,IF(ISNUMBER(R472),R472,0)+Q473),"")</f>
        <v/>
      </c>
      <c r="S473" s="52">
        <f>IFERROR(IF(OR(ISBLANK(P473),ISBLANK(K473)),"",P473*K473*VLOOKUP(C473,設定!$B$9:$D$23,3,FALSE)),"")</f>
        <v/>
      </c>
      <c r="T473" s="45" t="n"/>
    </row>
    <row r="474">
      <c r="A474" s="33">
        <f>IF(ISBLANK(B474),"",COUNTA($B$2:B474))</f>
        <v/>
      </c>
      <c r="B474" s="34" t="n"/>
      <c r="C474" s="35" t="n"/>
      <c r="D474" s="35" t="n"/>
      <c r="E474" s="35" t="n"/>
      <c r="F474" s="33" t="n"/>
      <c r="G474" s="36" t="n"/>
      <c r="H474" s="37" t="n"/>
      <c r="I474" s="37" t="n"/>
      <c r="J474" s="37" t="n"/>
      <c r="K474" s="38" t="n"/>
      <c r="L474" s="37" t="n"/>
      <c r="M474" s="35" t="n"/>
      <c r="N474" s="39">
        <f>IFERROR(IF(ISBLANK(H474),"",ABS(H474-I474)/VLOOKUP(C474,設定!$B$9:$D$23,2,FALSE)),"")</f>
        <v/>
      </c>
      <c r="O474" s="38">
        <f>IFERROR(IF(ISBLANK(J474),"",ABS(J474-H474)/ABS(H474-I474)),"")</f>
        <v/>
      </c>
      <c r="P474" s="40">
        <f>IFERROR(IF(OR(ISBLANK(L474),ISBLANK(E474)),"",IF(E474="Long",(L474-H474),(H474-L474))/VLOOKUP(C474,設定!$B$9:$D$23,2,FALSE)),"")</f>
        <v/>
      </c>
      <c r="Q474" s="41">
        <f>IFERROR(IF(OR(ISBLANK(P474),N474=0),"",P474/N474),"")</f>
        <v/>
      </c>
      <c r="R474" s="41">
        <f>IFERROR(IF(ISBLANK(Q474),R473,IF(ISNUMBER(R473),R473,0)+Q474),"")</f>
        <v/>
      </c>
      <c r="S474" s="42">
        <f>IFERROR(IF(OR(ISBLANK(P474),ISBLANK(K474)),"",P474*K474*VLOOKUP(C474,設定!$B$9:$D$23,3,FALSE)),"")</f>
        <v/>
      </c>
      <c r="T474" s="35" t="n"/>
    </row>
    <row r="475">
      <c r="A475" s="43">
        <f>IF(ISBLANK(B475),"",COUNTA($B$2:B475))</f>
        <v/>
      </c>
      <c r="B475" s="44" t="n"/>
      <c r="C475" s="45" t="n"/>
      <c r="D475" s="45" t="n"/>
      <c r="E475" s="45" t="n"/>
      <c r="F475" s="43" t="n"/>
      <c r="G475" s="46" t="n"/>
      <c r="H475" s="47" t="n"/>
      <c r="I475" s="47" t="n"/>
      <c r="J475" s="47" t="n"/>
      <c r="K475" s="48" t="n"/>
      <c r="L475" s="47" t="n"/>
      <c r="M475" s="45" t="n"/>
      <c r="N475" s="49">
        <f>IFERROR(IF(ISBLANK(H475),"",ABS(H475-I475)/VLOOKUP(C475,設定!$B$9:$D$23,2,FALSE)),"")</f>
        <v/>
      </c>
      <c r="O475" s="48">
        <f>IFERROR(IF(ISBLANK(J475),"",ABS(J475-H475)/ABS(H475-I475)),"")</f>
        <v/>
      </c>
      <c r="P475" s="50">
        <f>IFERROR(IF(OR(ISBLANK(L475),ISBLANK(E475)),"",IF(E475="Long",(L475-H475),(H475-L475))/VLOOKUP(C475,設定!$B$9:$D$23,2,FALSE)),"")</f>
        <v/>
      </c>
      <c r="Q475" s="51">
        <f>IFERROR(IF(OR(ISBLANK(P475),N475=0),"",P475/N475),"")</f>
        <v/>
      </c>
      <c r="R475" s="51">
        <f>IFERROR(IF(ISBLANK(Q475),R474,IF(ISNUMBER(R474),R474,0)+Q475),"")</f>
        <v/>
      </c>
      <c r="S475" s="52">
        <f>IFERROR(IF(OR(ISBLANK(P475),ISBLANK(K475)),"",P475*K475*VLOOKUP(C475,設定!$B$9:$D$23,3,FALSE)),"")</f>
        <v/>
      </c>
      <c r="T475" s="45" t="n"/>
    </row>
    <row r="476">
      <c r="A476" s="33">
        <f>IF(ISBLANK(B476),"",COUNTA($B$2:B476))</f>
        <v/>
      </c>
      <c r="B476" s="34" t="n"/>
      <c r="C476" s="35" t="n"/>
      <c r="D476" s="35" t="n"/>
      <c r="E476" s="35" t="n"/>
      <c r="F476" s="33" t="n"/>
      <c r="G476" s="36" t="n"/>
      <c r="H476" s="37" t="n"/>
      <c r="I476" s="37" t="n"/>
      <c r="J476" s="37" t="n"/>
      <c r="K476" s="38" t="n"/>
      <c r="L476" s="37" t="n"/>
      <c r="M476" s="35" t="n"/>
      <c r="N476" s="39">
        <f>IFERROR(IF(ISBLANK(H476),"",ABS(H476-I476)/VLOOKUP(C476,設定!$B$9:$D$23,2,FALSE)),"")</f>
        <v/>
      </c>
      <c r="O476" s="38">
        <f>IFERROR(IF(ISBLANK(J476),"",ABS(J476-H476)/ABS(H476-I476)),"")</f>
        <v/>
      </c>
      <c r="P476" s="40">
        <f>IFERROR(IF(OR(ISBLANK(L476),ISBLANK(E476)),"",IF(E476="Long",(L476-H476),(H476-L476))/VLOOKUP(C476,設定!$B$9:$D$23,2,FALSE)),"")</f>
        <v/>
      </c>
      <c r="Q476" s="41">
        <f>IFERROR(IF(OR(ISBLANK(P476),N476=0),"",P476/N476),"")</f>
        <v/>
      </c>
      <c r="R476" s="41">
        <f>IFERROR(IF(ISBLANK(Q476),R475,IF(ISNUMBER(R475),R475,0)+Q476),"")</f>
        <v/>
      </c>
      <c r="S476" s="42">
        <f>IFERROR(IF(OR(ISBLANK(P476),ISBLANK(K476)),"",P476*K476*VLOOKUP(C476,設定!$B$9:$D$23,3,FALSE)),"")</f>
        <v/>
      </c>
      <c r="T476" s="35" t="n"/>
    </row>
    <row r="477">
      <c r="A477" s="43">
        <f>IF(ISBLANK(B477),"",COUNTA($B$2:B477))</f>
        <v/>
      </c>
      <c r="B477" s="44" t="n"/>
      <c r="C477" s="45" t="n"/>
      <c r="D477" s="45" t="n"/>
      <c r="E477" s="45" t="n"/>
      <c r="F477" s="43" t="n"/>
      <c r="G477" s="46" t="n"/>
      <c r="H477" s="47" t="n"/>
      <c r="I477" s="47" t="n"/>
      <c r="J477" s="47" t="n"/>
      <c r="K477" s="48" t="n"/>
      <c r="L477" s="47" t="n"/>
      <c r="M477" s="45" t="n"/>
      <c r="N477" s="49">
        <f>IFERROR(IF(ISBLANK(H477),"",ABS(H477-I477)/VLOOKUP(C477,設定!$B$9:$D$23,2,FALSE)),"")</f>
        <v/>
      </c>
      <c r="O477" s="48">
        <f>IFERROR(IF(ISBLANK(J477),"",ABS(J477-H477)/ABS(H477-I477)),"")</f>
        <v/>
      </c>
      <c r="P477" s="50">
        <f>IFERROR(IF(OR(ISBLANK(L477),ISBLANK(E477)),"",IF(E477="Long",(L477-H477),(H477-L477))/VLOOKUP(C477,設定!$B$9:$D$23,2,FALSE)),"")</f>
        <v/>
      </c>
      <c r="Q477" s="51">
        <f>IFERROR(IF(OR(ISBLANK(P477),N477=0),"",P477/N477),"")</f>
        <v/>
      </c>
      <c r="R477" s="51">
        <f>IFERROR(IF(ISBLANK(Q477),R476,IF(ISNUMBER(R476),R476,0)+Q477),"")</f>
        <v/>
      </c>
      <c r="S477" s="52">
        <f>IFERROR(IF(OR(ISBLANK(P477),ISBLANK(K477)),"",P477*K477*VLOOKUP(C477,設定!$B$9:$D$23,3,FALSE)),"")</f>
        <v/>
      </c>
      <c r="T477" s="45" t="n"/>
    </row>
    <row r="478">
      <c r="A478" s="33">
        <f>IF(ISBLANK(B478),"",COUNTA($B$2:B478))</f>
        <v/>
      </c>
      <c r="B478" s="34" t="n"/>
      <c r="C478" s="35" t="n"/>
      <c r="D478" s="35" t="n"/>
      <c r="E478" s="35" t="n"/>
      <c r="F478" s="33" t="n"/>
      <c r="G478" s="36" t="n"/>
      <c r="H478" s="37" t="n"/>
      <c r="I478" s="37" t="n"/>
      <c r="J478" s="37" t="n"/>
      <c r="K478" s="38" t="n"/>
      <c r="L478" s="37" t="n"/>
      <c r="M478" s="35" t="n"/>
      <c r="N478" s="39">
        <f>IFERROR(IF(ISBLANK(H478),"",ABS(H478-I478)/VLOOKUP(C478,設定!$B$9:$D$23,2,FALSE)),"")</f>
        <v/>
      </c>
      <c r="O478" s="38">
        <f>IFERROR(IF(ISBLANK(J478),"",ABS(J478-H478)/ABS(H478-I478)),"")</f>
        <v/>
      </c>
      <c r="P478" s="40">
        <f>IFERROR(IF(OR(ISBLANK(L478),ISBLANK(E478)),"",IF(E478="Long",(L478-H478),(H478-L478))/VLOOKUP(C478,設定!$B$9:$D$23,2,FALSE)),"")</f>
        <v/>
      </c>
      <c r="Q478" s="41">
        <f>IFERROR(IF(OR(ISBLANK(P478),N478=0),"",P478/N478),"")</f>
        <v/>
      </c>
      <c r="R478" s="41">
        <f>IFERROR(IF(ISBLANK(Q478),R477,IF(ISNUMBER(R477),R477,0)+Q478),"")</f>
        <v/>
      </c>
      <c r="S478" s="42">
        <f>IFERROR(IF(OR(ISBLANK(P478),ISBLANK(K478)),"",P478*K478*VLOOKUP(C478,設定!$B$9:$D$23,3,FALSE)),"")</f>
        <v/>
      </c>
      <c r="T478" s="35" t="n"/>
    </row>
    <row r="479">
      <c r="A479" s="43">
        <f>IF(ISBLANK(B479),"",COUNTA($B$2:B479))</f>
        <v/>
      </c>
      <c r="B479" s="44" t="n"/>
      <c r="C479" s="45" t="n"/>
      <c r="D479" s="45" t="n"/>
      <c r="E479" s="45" t="n"/>
      <c r="F479" s="43" t="n"/>
      <c r="G479" s="46" t="n"/>
      <c r="H479" s="47" t="n"/>
      <c r="I479" s="47" t="n"/>
      <c r="J479" s="47" t="n"/>
      <c r="K479" s="48" t="n"/>
      <c r="L479" s="47" t="n"/>
      <c r="M479" s="45" t="n"/>
      <c r="N479" s="49">
        <f>IFERROR(IF(ISBLANK(H479),"",ABS(H479-I479)/VLOOKUP(C479,設定!$B$9:$D$23,2,FALSE)),"")</f>
        <v/>
      </c>
      <c r="O479" s="48">
        <f>IFERROR(IF(ISBLANK(J479),"",ABS(J479-H479)/ABS(H479-I479)),"")</f>
        <v/>
      </c>
      <c r="P479" s="50">
        <f>IFERROR(IF(OR(ISBLANK(L479),ISBLANK(E479)),"",IF(E479="Long",(L479-H479),(H479-L479))/VLOOKUP(C479,設定!$B$9:$D$23,2,FALSE)),"")</f>
        <v/>
      </c>
      <c r="Q479" s="51">
        <f>IFERROR(IF(OR(ISBLANK(P479),N479=0),"",P479/N479),"")</f>
        <v/>
      </c>
      <c r="R479" s="51">
        <f>IFERROR(IF(ISBLANK(Q479),R478,IF(ISNUMBER(R478),R478,0)+Q479),"")</f>
        <v/>
      </c>
      <c r="S479" s="52">
        <f>IFERROR(IF(OR(ISBLANK(P479),ISBLANK(K479)),"",P479*K479*VLOOKUP(C479,設定!$B$9:$D$23,3,FALSE)),"")</f>
        <v/>
      </c>
      <c r="T479" s="45" t="n"/>
    </row>
    <row r="480">
      <c r="A480" s="33">
        <f>IF(ISBLANK(B480),"",COUNTA($B$2:B480))</f>
        <v/>
      </c>
      <c r="B480" s="34" t="n"/>
      <c r="C480" s="35" t="n"/>
      <c r="D480" s="35" t="n"/>
      <c r="E480" s="35" t="n"/>
      <c r="F480" s="33" t="n"/>
      <c r="G480" s="36" t="n"/>
      <c r="H480" s="37" t="n"/>
      <c r="I480" s="37" t="n"/>
      <c r="J480" s="37" t="n"/>
      <c r="K480" s="38" t="n"/>
      <c r="L480" s="37" t="n"/>
      <c r="M480" s="35" t="n"/>
      <c r="N480" s="39">
        <f>IFERROR(IF(ISBLANK(H480),"",ABS(H480-I480)/VLOOKUP(C480,設定!$B$9:$D$23,2,FALSE)),"")</f>
        <v/>
      </c>
      <c r="O480" s="38">
        <f>IFERROR(IF(ISBLANK(J480),"",ABS(J480-H480)/ABS(H480-I480)),"")</f>
        <v/>
      </c>
      <c r="P480" s="40">
        <f>IFERROR(IF(OR(ISBLANK(L480),ISBLANK(E480)),"",IF(E480="Long",(L480-H480),(H480-L480))/VLOOKUP(C480,設定!$B$9:$D$23,2,FALSE)),"")</f>
        <v/>
      </c>
      <c r="Q480" s="41">
        <f>IFERROR(IF(OR(ISBLANK(P480),N480=0),"",P480/N480),"")</f>
        <v/>
      </c>
      <c r="R480" s="41">
        <f>IFERROR(IF(ISBLANK(Q480),R479,IF(ISNUMBER(R479),R479,0)+Q480),"")</f>
        <v/>
      </c>
      <c r="S480" s="42">
        <f>IFERROR(IF(OR(ISBLANK(P480),ISBLANK(K480)),"",P480*K480*VLOOKUP(C480,設定!$B$9:$D$23,3,FALSE)),"")</f>
        <v/>
      </c>
      <c r="T480" s="35" t="n"/>
    </row>
    <row r="481">
      <c r="A481" s="43">
        <f>IF(ISBLANK(B481),"",COUNTA($B$2:B481))</f>
        <v/>
      </c>
      <c r="B481" s="44" t="n"/>
      <c r="C481" s="45" t="n"/>
      <c r="D481" s="45" t="n"/>
      <c r="E481" s="45" t="n"/>
      <c r="F481" s="43" t="n"/>
      <c r="G481" s="46" t="n"/>
      <c r="H481" s="47" t="n"/>
      <c r="I481" s="47" t="n"/>
      <c r="J481" s="47" t="n"/>
      <c r="K481" s="48" t="n"/>
      <c r="L481" s="47" t="n"/>
      <c r="M481" s="45" t="n"/>
      <c r="N481" s="49">
        <f>IFERROR(IF(ISBLANK(H481),"",ABS(H481-I481)/VLOOKUP(C481,設定!$B$9:$D$23,2,FALSE)),"")</f>
        <v/>
      </c>
      <c r="O481" s="48">
        <f>IFERROR(IF(ISBLANK(J481),"",ABS(J481-H481)/ABS(H481-I481)),"")</f>
        <v/>
      </c>
      <c r="P481" s="50">
        <f>IFERROR(IF(OR(ISBLANK(L481),ISBLANK(E481)),"",IF(E481="Long",(L481-H481),(H481-L481))/VLOOKUP(C481,設定!$B$9:$D$23,2,FALSE)),"")</f>
        <v/>
      </c>
      <c r="Q481" s="51">
        <f>IFERROR(IF(OR(ISBLANK(P481),N481=0),"",P481/N481),"")</f>
        <v/>
      </c>
      <c r="R481" s="51">
        <f>IFERROR(IF(ISBLANK(Q481),R480,IF(ISNUMBER(R480),R480,0)+Q481),"")</f>
        <v/>
      </c>
      <c r="S481" s="52">
        <f>IFERROR(IF(OR(ISBLANK(P481),ISBLANK(K481)),"",P481*K481*VLOOKUP(C481,設定!$B$9:$D$23,3,FALSE)),"")</f>
        <v/>
      </c>
      <c r="T481" s="45" t="n"/>
    </row>
    <row r="482">
      <c r="A482" s="33">
        <f>IF(ISBLANK(B482),"",COUNTA($B$2:B482))</f>
        <v/>
      </c>
      <c r="B482" s="34" t="n"/>
      <c r="C482" s="35" t="n"/>
      <c r="D482" s="35" t="n"/>
      <c r="E482" s="35" t="n"/>
      <c r="F482" s="33" t="n"/>
      <c r="G482" s="36" t="n"/>
      <c r="H482" s="37" t="n"/>
      <c r="I482" s="37" t="n"/>
      <c r="J482" s="37" t="n"/>
      <c r="K482" s="38" t="n"/>
      <c r="L482" s="37" t="n"/>
      <c r="M482" s="35" t="n"/>
      <c r="N482" s="39">
        <f>IFERROR(IF(ISBLANK(H482),"",ABS(H482-I482)/VLOOKUP(C482,設定!$B$9:$D$23,2,FALSE)),"")</f>
        <v/>
      </c>
      <c r="O482" s="38">
        <f>IFERROR(IF(ISBLANK(J482),"",ABS(J482-H482)/ABS(H482-I482)),"")</f>
        <v/>
      </c>
      <c r="P482" s="40">
        <f>IFERROR(IF(OR(ISBLANK(L482),ISBLANK(E482)),"",IF(E482="Long",(L482-H482),(H482-L482))/VLOOKUP(C482,設定!$B$9:$D$23,2,FALSE)),"")</f>
        <v/>
      </c>
      <c r="Q482" s="41">
        <f>IFERROR(IF(OR(ISBLANK(P482),N482=0),"",P482/N482),"")</f>
        <v/>
      </c>
      <c r="R482" s="41">
        <f>IFERROR(IF(ISBLANK(Q482),R481,IF(ISNUMBER(R481),R481,0)+Q482),"")</f>
        <v/>
      </c>
      <c r="S482" s="42">
        <f>IFERROR(IF(OR(ISBLANK(P482),ISBLANK(K482)),"",P482*K482*VLOOKUP(C482,設定!$B$9:$D$23,3,FALSE)),"")</f>
        <v/>
      </c>
      <c r="T482" s="35" t="n"/>
    </row>
    <row r="483">
      <c r="A483" s="43">
        <f>IF(ISBLANK(B483),"",COUNTA($B$2:B483))</f>
        <v/>
      </c>
      <c r="B483" s="44" t="n"/>
      <c r="C483" s="45" t="n"/>
      <c r="D483" s="45" t="n"/>
      <c r="E483" s="45" t="n"/>
      <c r="F483" s="43" t="n"/>
      <c r="G483" s="46" t="n"/>
      <c r="H483" s="47" t="n"/>
      <c r="I483" s="47" t="n"/>
      <c r="J483" s="47" t="n"/>
      <c r="K483" s="48" t="n"/>
      <c r="L483" s="47" t="n"/>
      <c r="M483" s="45" t="n"/>
      <c r="N483" s="49">
        <f>IFERROR(IF(ISBLANK(H483),"",ABS(H483-I483)/VLOOKUP(C483,設定!$B$9:$D$23,2,FALSE)),"")</f>
        <v/>
      </c>
      <c r="O483" s="48">
        <f>IFERROR(IF(ISBLANK(J483),"",ABS(J483-H483)/ABS(H483-I483)),"")</f>
        <v/>
      </c>
      <c r="P483" s="50">
        <f>IFERROR(IF(OR(ISBLANK(L483),ISBLANK(E483)),"",IF(E483="Long",(L483-H483),(H483-L483))/VLOOKUP(C483,設定!$B$9:$D$23,2,FALSE)),"")</f>
        <v/>
      </c>
      <c r="Q483" s="51">
        <f>IFERROR(IF(OR(ISBLANK(P483),N483=0),"",P483/N483),"")</f>
        <v/>
      </c>
      <c r="R483" s="51">
        <f>IFERROR(IF(ISBLANK(Q483),R482,IF(ISNUMBER(R482),R482,0)+Q483),"")</f>
        <v/>
      </c>
      <c r="S483" s="52">
        <f>IFERROR(IF(OR(ISBLANK(P483),ISBLANK(K483)),"",P483*K483*VLOOKUP(C483,設定!$B$9:$D$23,3,FALSE)),"")</f>
        <v/>
      </c>
      <c r="T483" s="45" t="n"/>
    </row>
    <row r="484">
      <c r="A484" s="33">
        <f>IF(ISBLANK(B484),"",COUNTA($B$2:B484))</f>
        <v/>
      </c>
      <c r="B484" s="34" t="n"/>
      <c r="C484" s="35" t="n"/>
      <c r="D484" s="35" t="n"/>
      <c r="E484" s="35" t="n"/>
      <c r="F484" s="33" t="n"/>
      <c r="G484" s="36" t="n"/>
      <c r="H484" s="37" t="n"/>
      <c r="I484" s="37" t="n"/>
      <c r="J484" s="37" t="n"/>
      <c r="K484" s="38" t="n"/>
      <c r="L484" s="37" t="n"/>
      <c r="M484" s="35" t="n"/>
      <c r="N484" s="39">
        <f>IFERROR(IF(ISBLANK(H484),"",ABS(H484-I484)/VLOOKUP(C484,設定!$B$9:$D$23,2,FALSE)),"")</f>
        <v/>
      </c>
      <c r="O484" s="38">
        <f>IFERROR(IF(ISBLANK(J484),"",ABS(J484-H484)/ABS(H484-I484)),"")</f>
        <v/>
      </c>
      <c r="P484" s="40">
        <f>IFERROR(IF(OR(ISBLANK(L484),ISBLANK(E484)),"",IF(E484="Long",(L484-H484),(H484-L484))/VLOOKUP(C484,設定!$B$9:$D$23,2,FALSE)),"")</f>
        <v/>
      </c>
      <c r="Q484" s="41">
        <f>IFERROR(IF(OR(ISBLANK(P484),N484=0),"",P484/N484),"")</f>
        <v/>
      </c>
      <c r="R484" s="41">
        <f>IFERROR(IF(ISBLANK(Q484),R483,IF(ISNUMBER(R483),R483,0)+Q484),"")</f>
        <v/>
      </c>
      <c r="S484" s="42">
        <f>IFERROR(IF(OR(ISBLANK(P484),ISBLANK(K484)),"",P484*K484*VLOOKUP(C484,設定!$B$9:$D$23,3,FALSE)),"")</f>
        <v/>
      </c>
      <c r="T484" s="35" t="n"/>
    </row>
    <row r="485">
      <c r="A485" s="43">
        <f>IF(ISBLANK(B485),"",COUNTA($B$2:B485))</f>
        <v/>
      </c>
      <c r="B485" s="44" t="n"/>
      <c r="C485" s="45" t="n"/>
      <c r="D485" s="45" t="n"/>
      <c r="E485" s="45" t="n"/>
      <c r="F485" s="43" t="n"/>
      <c r="G485" s="46" t="n"/>
      <c r="H485" s="47" t="n"/>
      <c r="I485" s="47" t="n"/>
      <c r="J485" s="47" t="n"/>
      <c r="K485" s="48" t="n"/>
      <c r="L485" s="47" t="n"/>
      <c r="M485" s="45" t="n"/>
      <c r="N485" s="49">
        <f>IFERROR(IF(ISBLANK(H485),"",ABS(H485-I485)/VLOOKUP(C485,設定!$B$9:$D$23,2,FALSE)),"")</f>
        <v/>
      </c>
      <c r="O485" s="48">
        <f>IFERROR(IF(ISBLANK(J485),"",ABS(J485-H485)/ABS(H485-I485)),"")</f>
        <v/>
      </c>
      <c r="P485" s="50">
        <f>IFERROR(IF(OR(ISBLANK(L485),ISBLANK(E485)),"",IF(E485="Long",(L485-H485),(H485-L485))/VLOOKUP(C485,設定!$B$9:$D$23,2,FALSE)),"")</f>
        <v/>
      </c>
      <c r="Q485" s="51">
        <f>IFERROR(IF(OR(ISBLANK(P485),N485=0),"",P485/N485),"")</f>
        <v/>
      </c>
      <c r="R485" s="51">
        <f>IFERROR(IF(ISBLANK(Q485),R484,IF(ISNUMBER(R484),R484,0)+Q485),"")</f>
        <v/>
      </c>
      <c r="S485" s="52">
        <f>IFERROR(IF(OR(ISBLANK(P485),ISBLANK(K485)),"",P485*K485*VLOOKUP(C485,設定!$B$9:$D$23,3,FALSE)),"")</f>
        <v/>
      </c>
      <c r="T485" s="45" t="n"/>
    </row>
    <row r="486">
      <c r="A486" s="33">
        <f>IF(ISBLANK(B486),"",COUNTA($B$2:B486))</f>
        <v/>
      </c>
      <c r="B486" s="34" t="n"/>
      <c r="C486" s="35" t="n"/>
      <c r="D486" s="35" t="n"/>
      <c r="E486" s="35" t="n"/>
      <c r="F486" s="33" t="n"/>
      <c r="G486" s="36" t="n"/>
      <c r="H486" s="37" t="n"/>
      <c r="I486" s="37" t="n"/>
      <c r="J486" s="37" t="n"/>
      <c r="K486" s="38" t="n"/>
      <c r="L486" s="37" t="n"/>
      <c r="M486" s="35" t="n"/>
      <c r="N486" s="39">
        <f>IFERROR(IF(ISBLANK(H486),"",ABS(H486-I486)/VLOOKUP(C486,設定!$B$9:$D$23,2,FALSE)),"")</f>
        <v/>
      </c>
      <c r="O486" s="38">
        <f>IFERROR(IF(ISBLANK(J486),"",ABS(J486-H486)/ABS(H486-I486)),"")</f>
        <v/>
      </c>
      <c r="P486" s="40">
        <f>IFERROR(IF(OR(ISBLANK(L486),ISBLANK(E486)),"",IF(E486="Long",(L486-H486),(H486-L486))/VLOOKUP(C486,設定!$B$9:$D$23,2,FALSE)),"")</f>
        <v/>
      </c>
      <c r="Q486" s="41">
        <f>IFERROR(IF(OR(ISBLANK(P486),N486=0),"",P486/N486),"")</f>
        <v/>
      </c>
      <c r="R486" s="41">
        <f>IFERROR(IF(ISBLANK(Q486),R485,IF(ISNUMBER(R485),R485,0)+Q486),"")</f>
        <v/>
      </c>
      <c r="S486" s="42">
        <f>IFERROR(IF(OR(ISBLANK(P486),ISBLANK(K486)),"",P486*K486*VLOOKUP(C486,設定!$B$9:$D$23,3,FALSE)),"")</f>
        <v/>
      </c>
      <c r="T486" s="35" t="n"/>
    </row>
    <row r="487">
      <c r="A487" s="43">
        <f>IF(ISBLANK(B487),"",COUNTA($B$2:B487))</f>
        <v/>
      </c>
      <c r="B487" s="44" t="n"/>
      <c r="C487" s="45" t="n"/>
      <c r="D487" s="45" t="n"/>
      <c r="E487" s="45" t="n"/>
      <c r="F487" s="43" t="n"/>
      <c r="G487" s="46" t="n"/>
      <c r="H487" s="47" t="n"/>
      <c r="I487" s="47" t="n"/>
      <c r="J487" s="47" t="n"/>
      <c r="K487" s="48" t="n"/>
      <c r="L487" s="47" t="n"/>
      <c r="M487" s="45" t="n"/>
      <c r="N487" s="49">
        <f>IFERROR(IF(ISBLANK(H487),"",ABS(H487-I487)/VLOOKUP(C487,設定!$B$9:$D$23,2,FALSE)),"")</f>
        <v/>
      </c>
      <c r="O487" s="48">
        <f>IFERROR(IF(ISBLANK(J487),"",ABS(J487-H487)/ABS(H487-I487)),"")</f>
        <v/>
      </c>
      <c r="P487" s="50">
        <f>IFERROR(IF(OR(ISBLANK(L487),ISBLANK(E487)),"",IF(E487="Long",(L487-H487),(H487-L487))/VLOOKUP(C487,設定!$B$9:$D$23,2,FALSE)),"")</f>
        <v/>
      </c>
      <c r="Q487" s="51">
        <f>IFERROR(IF(OR(ISBLANK(P487),N487=0),"",P487/N487),"")</f>
        <v/>
      </c>
      <c r="R487" s="51">
        <f>IFERROR(IF(ISBLANK(Q487),R486,IF(ISNUMBER(R486),R486,0)+Q487),"")</f>
        <v/>
      </c>
      <c r="S487" s="52">
        <f>IFERROR(IF(OR(ISBLANK(P487),ISBLANK(K487)),"",P487*K487*VLOOKUP(C487,設定!$B$9:$D$23,3,FALSE)),"")</f>
        <v/>
      </c>
      <c r="T487" s="45" t="n"/>
    </row>
    <row r="488">
      <c r="A488" s="33">
        <f>IF(ISBLANK(B488),"",COUNTA($B$2:B488))</f>
        <v/>
      </c>
      <c r="B488" s="34" t="n"/>
      <c r="C488" s="35" t="n"/>
      <c r="D488" s="35" t="n"/>
      <c r="E488" s="35" t="n"/>
      <c r="F488" s="33" t="n"/>
      <c r="G488" s="36" t="n"/>
      <c r="H488" s="37" t="n"/>
      <c r="I488" s="37" t="n"/>
      <c r="J488" s="37" t="n"/>
      <c r="K488" s="38" t="n"/>
      <c r="L488" s="37" t="n"/>
      <c r="M488" s="35" t="n"/>
      <c r="N488" s="39">
        <f>IFERROR(IF(ISBLANK(H488),"",ABS(H488-I488)/VLOOKUP(C488,設定!$B$9:$D$23,2,FALSE)),"")</f>
        <v/>
      </c>
      <c r="O488" s="38">
        <f>IFERROR(IF(ISBLANK(J488),"",ABS(J488-H488)/ABS(H488-I488)),"")</f>
        <v/>
      </c>
      <c r="P488" s="40">
        <f>IFERROR(IF(OR(ISBLANK(L488),ISBLANK(E488)),"",IF(E488="Long",(L488-H488),(H488-L488))/VLOOKUP(C488,設定!$B$9:$D$23,2,FALSE)),"")</f>
        <v/>
      </c>
      <c r="Q488" s="41">
        <f>IFERROR(IF(OR(ISBLANK(P488),N488=0),"",P488/N488),"")</f>
        <v/>
      </c>
      <c r="R488" s="41">
        <f>IFERROR(IF(ISBLANK(Q488),R487,IF(ISNUMBER(R487),R487,0)+Q488),"")</f>
        <v/>
      </c>
      <c r="S488" s="42">
        <f>IFERROR(IF(OR(ISBLANK(P488),ISBLANK(K488)),"",P488*K488*VLOOKUP(C488,設定!$B$9:$D$23,3,FALSE)),"")</f>
        <v/>
      </c>
      <c r="T488" s="35" t="n"/>
    </row>
    <row r="489">
      <c r="A489" s="43">
        <f>IF(ISBLANK(B489),"",COUNTA($B$2:B489))</f>
        <v/>
      </c>
      <c r="B489" s="44" t="n"/>
      <c r="C489" s="45" t="n"/>
      <c r="D489" s="45" t="n"/>
      <c r="E489" s="45" t="n"/>
      <c r="F489" s="43" t="n"/>
      <c r="G489" s="46" t="n"/>
      <c r="H489" s="47" t="n"/>
      <c r="I489" s="47" t="n"/>
      <c r="J489" s="47" t="n"/>
      <c r="K489" s="48" t="n"/>
      <c r="L489" s="47" t="n"/>
      <c r="M489" s="45" t="n"/>
      <c r="N489" s="49">
        <f>IFERROR(IF(ISBLANK(H489),"",ABS(H489-I489)/VLOOKUP(C489,設定!$B$9:$D$23,2,FALSE)),"")</f>
        <v/>
      </c>
      <c r="O489" s="48">
        <f>IFERROR(IF(ISBLANK(J489),"",ABS(J489-H489)/ABS(H489-I489)),"")</f>
        <v/>
      </c>
      <c r="P489" s="50">
        <f>IFERROR(IF(OR(ISBLANK(L489),ISBLANK(E489)),"",IF(E489="Long",(L489-H489),(H489-L489))/VLOOKUP(C489,設定!$B$9:$D$23,2,FALSE)),"")</f>
        <v/>
      </c>
      <c r="Q489" s="51">
        <f>IFERROR(IF(OR(ISBLANK(P489),N489=0),"",P489/N489),"")</f>
        <v/>
      </c>
      <c r="R489" s="51">
        <f>IFERROR(IF(ISBLANK(Q489),R488,IF(ISNUMBER(R488),R488,0)+Q489),"")</f>
        <v/>
      </c>
      <c r="S489" s="52">
        <f>IFERROR(IF(OR(ISBLANK(P489),ISBLANK(K489)),"",P489*K489*VLOOKUP(C489,設定!$B$9:$D$23,3,FALSE)),"")</f>
        <v/>
      </c>
      <c r="T489" s="45" t="n"/>
    </row>
    <row r="490">
      <c r="A490" s="33">
        <f>IF(ISBLANK(B490),"",COUNTA($B$2:B490))</f>
        <v/>
      </c>
      <c r="B490" s="34" t="n"/>
      <c r="C490" s="35" t="n"/>
      <c r="D490" s="35" t="n"/>
      <c r="E490" s="35" t="n"/>
      <c r="F490" s="33" t="n"/>
      <c r="G490" s="36" t="n"/>
      <c r="H490" s="37" t="n"/>
      <c r="I490" s="37" t="n"/>
      <c r="J490" s="37" t="n"/>
      <c r="K490" s="38" t="n"/>
      <c r="L490" s="37" t="n"/>
      <c r="M490" s="35" t="n"/>
      <c r="N490" s="39">
        <f>IFERROR(IF(ISBLANK(H490),"",ABS(H490-I490)/VLOOKUP(C490,設定!$B$9:$D$23,2,FALSE)),"")</f>
        <v/>
      </c>
      <c r="O490" s="38">
        <f>IFERROR(IF(ISBLANK(J490),"",ABS(J490-H490)/ABS(H490-I490)),"")</f>
        <v/>
      </c>
      <c r="P490" s="40">
        <f>IFERROR(IF(OR(ISBLANK(L490),ISBLANK(E490)),"",IF(E490="Long",(L490-H490),(H490-L490))/VLOOKUP(C490,設定!$B$9:$D$23,2,FALSE)),"")</f>
        <v/>
      </c>
      <c r="Q490" s="41">
        <f>IFERROR(IF(OR(ISBLANK(P490),N490=0),"",P490/N490),"")</f>
        <v/>
      </c>
      <c r="R490" s="41">
        <f>IFERROR(IF(ISBLANK(Q490),R489,IF(ISNUMBER(R489),R489,0)+Q490),"")</f>
        <v/>
      </c>
      <c r="S490" s="42">
        <f>IFERROR(IF(OR(ISBLANK(P490),ISBLANK(K490)),"",P490*K490*VLOOKUP(C490,設定!$B$9:$D$23,3,FALSE)),"")</f>
        <v/>
      </c>
      <c r="T490" s="35" t="n"/>
    </row>
    <row r="491">
      <c r="A491" s="43">
        <f>IF(ISBLANK(B491),"",COUNTA($B$2:B491))</f>
        <v/>
      </c>
      <c r="B491" s="44" t="n"/>
      <c r="C491" s="45" t="n"/>
      <c r="D491" s="45" t="n"/>
      <c r="E491" s="45" t="n"/>
      <c r="F491" s="43" t="n"/>
      <c r="G491" s="46" t="n"/>
      <c r="H491" s="47" t="n"/>
      <c r="I491" s="47" t="n"/>
      <c r="J491" s="47" t="n"/>
      <c r="K491" s="48" t="n"/>
      <c r="L491" s="47" t="n"/>
      <c r="M491" s="45" t="n"/>
      <c r="N491" s="49">
        <f>IFERROR(IF(ISBLANK(H491),"",ABS(H491-I491)/VLOOKUP(C491,設定!$B$9:$D$23,2,FALSE)),"")</f>
        <v/>
      </c>
      <c r="O491" s="48">
        <f>IFERROR(IF(ISBLANK(J491),"",ABS(J491-H491)/ABS(H491-I491)),"")</f>
        <v/>
      </c>
      <c r="P491" s="50">
        <f>IFERROR(IF(OR(ISBLANK(L491),ISBLANK(E491)),"",IF(E491="Long",(L491-H491),(H491-L491))/VLOOKUP(C491,設定!$B$9:$D$23,2,FALSE)),"")</f>
        <v/>
      </c>
      <c r="Q491" s="51">
        <f>IFERROR(IF(OR(ISBLANK(P491),N491=0),"",P491/N491),"")</f>
        <v/>
      </c>
      <c r="R491" s="51">
        <f>IFERROR(IF(ISBLANK(Q491),R490,IF(ISNUMBER(R490),R490,0)+Q491),"")</f>
        <v/>
      </c>
      <c r="S491" s="52">
        <f>IFERROR(IF(OR(ISBLANK(P491),ISBLANK(K491)),"",P491*K491*VLOOKUP(C491,設定!$B$9:$D$23,3,FALSE)),"")</f>
        <v/>
      </c>
      <c r="T491" s="45" t="n"/>
    </row>
    <row r="492">
      <c r="A492" s="33">
        <f>IF(ISBLANK(B492),"",COUNTA($B$2:B492))</f>
        <v/>
      </c>
      <c r="B492" s="34" t="n"/>
      <c r="C492" s="35" t="n"/>
      <c r="D492" s="35" t="n"/>
      <c r="E492" s="35" t="n"/>
      <c r="F492" s="33" t="n"/>
      <c r="G492" s="36" t="n"/>
      <c r="H492" s="37" t="n"/>
      <c r="I492" s="37" t="n"/>
      <c r="J492" s="37" t="n"/>
      <c r="K492" s="38" t="n"/>
      <c r="L492" s="37" t="n"/>
      <c r="M492" s="35" t="n"/>
      <c r="N492" s="39">
        <f>IFERROR(IF(ISBLANK(H492),"",ABS(H492-I492)/VLOOKUP(C492,設定!$B$9:$D$23,2,FALSE)),"")</f>
        <v/>
      </c>
      <c r="O492" s="38">
        <f>IFERROR(IF(ISBLANK(J492),"",ABS(J492-H492)/ABS(H492-I492)),"")</f>
        <v/>
      </c>
      <c r="P492" s="40">
        <f>IFERROR(IF(OR(ISBLANK(L492),ISBLANK(E492)),"",IF(E492="Long",(L492-H492),(H492-L492))/VLOOKUP(C492,設定!$B$9:$D$23,2,FALSE)),"")</f>
        <v/>
      </c>
      <c r="Q492" s="41">
        <f>IFERROR(IF(OR(ISBLANK(P492),N492=0),"",P492/N492),"")</f>
        <v/>
      </c>
      <c r="R492" s="41">
        <f>IFERROR(IF(ISBLANK(Q492),R491,IF(ISNUMBER(R491),R491,0)+Q492),"")</f>
        <v/>
      </c>
      <c r="S492" s="42">
        <f>IFERROR(IF(OR(ISBLANK(P492),ISBLANK(K492)),"",P492*K492*VLOOKUP(C492,設定!$B$9:$D$23,3,FALSE)),"")</f>
        <v/>
      </c>
      <c r="T492" s="35" t="n"/>
    </row>
    <row r="493">
      <c r="A493" s="43">
        <f>IF(ISBLANK(B493),"",COUNTA($B$2:B493))</f>
        <v/>
      </c>
      <c r="B493" s="44" t="n"/>
      <c r="C493" s="45" t="n"/>
      <c r="D493" s="45" t="n"/>
      <c r="E493" s="45" t="n"/>
      <c r="F493" s="43" t="n"/>
      <c r="G493" s="46" t="n"/>
      <c r="H493" s="47" t="n"/>
      <c r="I493" s="47" t="n"/>
      <c r="J493" s="47" t="n"/>
      <c r="K493" s="48" t="n"/>
      <c r="L493" s="47" t="n"/>
      <c r="M493" s="45" t="n"/>
      <c r="N493" s="49">
        <f>IFERROR(IF(ISBLANK(H493),"",ABS(H493-I493)/VLOOKUP(C493,設定!$B$9:$D$23,2,FALSE)),"")</f>
        <v/>
      </c>
      <c r="O493" s="48">
        <f>IFERROR(IF(ISBLANK(J493),"",ABS(J493-H493)/ABS(H493-I493)),"")</f>
        <v/>
      </c>
      <c r="P493" s="50">
        <f>IFERROR(IF(OR(ISBLANK(L493),ISBLANK(E493)),"",IF(E493="Long",(L493-H493),(H493-L493))/VLOOKUP(C493,設定!$B$9:$D$23,2,FALSE)),"")</f>
        <v/>
      </c>
      <c r="Q493" s="51">
        <f>IFERROR(IF(OR(ISBLANK(P493),N493=0),"",P493/N493),"")</f>
        <v/>
      </c>
      <c r="R493" s="51">
        <f>IFERROR(IF(ISBLANK(Q493),R492,IF(ISNUMBER(R492),R492,0)+Q493),"")</f>
        <v/>
      </c>
      <c r="S493" s="52">
        <f>IFERROR(IF(OR(ISBLANK(P493),ISBLANK(K493)),"",P493*K493*VLOOKUP(C493,設定!$B$9:$D$23,3,FALSE)),"")</f>
        <v/>
      </c>
      <c r="T493" s="45" t="n"/>
    </row>
    <row r="494">
      <c r="A494" s="33">
        <f>IF(ISBLANK(B494),"",COUNTA($B$2:B494))</f>
        <v/>
      </c>
      <c r="B494" s="34" t="n"/>
      <c r="C494" s="35" t="n"/>
      <c r="D494" s="35" t="n"/>
      <c r="E494" s="35" t="n"/>
      <c r="F494" s="33" t="n"/>
      <c r="G494" s="36" t="n"/>
      <c r="H494" s="37" t="n"/>
      <c r="I494" s="37" t="n"/>
      <c r="J494" s="37" t="n"/>
      <c r="K494" s="38" t="n"/>
      <c r="L494" s="37" t="n"/>
      <c r="M494" s="35" t="n"/>
      <c r="N494" s="39">
        <f>IFERROR(IF(ISBLANK(H494),"",ABS(H494-I494)/VLOOKUP(C494,設定!$B$9:$D$23,2,FALSE)),"")</f>
        <v/>
      </c>
      <c r="O494" s="38">
        <f>IFERROR(IF(ISBLANK(J494),"",ABS(J494-H494)/ABS(H494-I494)),"")</f>
        <v/>
      </c>
      <c r="P494" s="40">
        <f>IFERROR(IF(OR(ISBLANK(L494),ISBLANK(E494)),"",IF(E494="Long",(L494-H494),(H494-L494))/VLOOKUP(C494,設定!$B$9:$D$23,2,FALSE)),"")</f>
        <v/>
      </c>
      <c r="Q494" s="41">
        <f>IFERROR(IF(OR(ISBLANK(P494),N494=0),"",P494/N494),"")</f>
        <v/>
      </c>
      <c r="R494" s="41">
        <f>IFERROR(IF(ISBLANK(Q494),R493,IF(ISNUMBER(R493),R493,0)+Q494),"")</f>
        <v/>
      </c>
      <c r="S494" s="42">
        <f>IFERROR(IF(OR(ISBLANK(P494),ISBLANK(K494)),"",P494*K494*VLOOKUP(C494,設定!$B$9:$D$23,3,FALSE)),"")</f>
        <v/>
      </c>
      <c r="T494" s="35" t="n"/>
    </row>
    <row r="495">
      <c r="A495" s="43">
        <f>IF(ISBLANK(B495),"",COUNTA($B$2:B495))</f>
        <v/>
      </c>
      <c r="B495" s="44" t="n"/>
      <c r="C495" s="45" t="n"/>
      <c r="D495" s="45" t="n"/>
      <c r="E495" s="45" t="n"/>
      <c r="F495" s="43" t="n"/>
      <c r="G495" s="46" t="n"/>
      <c r="H495" s="47" t="n"/>
      <c r="I495" s="47" t="n"/>
      <c r="J495" s="47" t="n"/>
      <c r="K495" s="48" t="n"/>
      <c r="L495" s="47" t="n"/>
      <c r="M495" s="45" t="n"/>
      <c r="N495" s="49">
        <f>IFERROR(IF(ISBLANK(H495),"",ABS(H495-I495)/VLOOKUP(C495,設定!$B$9:$D$23,2,FALSE)),"")</f>
        <v/>
      </c>
      <c r="O495" s="48">
        <f>IFERROR(IF(ISBLANK(J495),"",ABS(J495-H495)/ABS(H495-I495)),"")</f>
        <v/>
      </c>
      <c r="P495" s="50">
        <f>IFERROR(IF(OR(ISBLANK(L495),ISBLANK(E495)),"",IF(E495="Long",(L495-H495),(H495-L495))/VLOOKUP(C495,設定!$B$9:$D$23,2,FALSE)),"")</f>
        <v/>
      </c>
      <c r="Q495" s="51">
        <f>IFERROR(IF(OR(ISBLANK(P495),N495=0),"",P495/N495),"")</f>
        <v/>
      </c>
      <c r="R495" s="51">
        <f>IFERROR(IF(ISBLANK(Q495),R494,IF(ISNUMBER(R494),R494,0)+Q495),"")</f>
        <v/>
      </c>
      <c r="S495" s="52">
        <f>IFERROR(IF(OR(ISBLANK(P495),ISBLANK(K495)),"",P495*K495*VLOOKUP(C495,設定!$B$9:$D$23,3,FALSE)),"")</f>
        <v/>
      </c>
      <c r="T495" s="45" t="n"/>
    </row>
    <row r="496">
      <c r="A496" s="33">
        <f>IF(ISBLANK(B496),"",COUNTA($B$2:B496))</f>
        <v/>
      </c>
      <c r="B496" s="34" t="n"/>
      <c r="C496" s="35" t="n"/>
      <c r="D496" s="35" t="n"/>
      <c r="E496" s="35" t="n"/>
      <c r="F496" s="33" t="n"/>
      <c r="G496" s="36" t="n"/>
      <c r="H496" s="37" t="n"/>
      <c r="I496" s="37" t="n"/>
      <c r="J496" s="37" t="n"/>
      <c r="K496" s="38" t="n"/>
      <c r="L496" s="37" t="n"/>
      <c r="M496" s="35" t="n"/>
      <c r="N496" s="39">
        <f>IFERROR(IF(ISBLANK(H496),"",ABS(H496-I496)/VLOOKUP(C496,設定!$B$9:$D$23,2,FALSE)),"")</f>
        <v/>
      </c>
      <c r="O496" s="38">
        <f>IFERROR(IF(ISBLANK(J496),"",ABS(J496-H496)/ABS(H496-I496)),"")</f>
        <v/>
      </c>
      <c r="P496" s="40">
        <f>IFERROR(IF(OR(ISBLANK(L496),ISBLANK(E496)),"",IF(E496="Long",(L496-H496),(H496-L496))/VLOOKUP(C496,設定!$B$9:$D$23,2,FALSE)),"")</f>
        <v/>
      </c>
      <c r="Q496" s="41">
        <f>IFERROR(IF(OR(ISBLANK(P496),N496=0),"",P496/N496),"")</f>
        <v/>
      </c>
      <c r="R496" s="41">
        <f>IFERROR(IF(ISBLANK(Q496),R495,IF(ISNUMBER(R495),R495,0)+Q496),"")</f>
        <v/>
      </c>
      <c r="S496" s="42">
        <f>IFERROR(IF(OR(ISBLANK(P496),ISBLANK(K496)),"",P496*K496*VLOOKUP(C496,設定!$B$9:$D$23,3,FALSE)),"")</f>
        <v/>
      </c>
      <c r="T496" s="35" t="n"/>
    </row>
    <row r="497">
      <c r="A497" s="43">
        <f>IF(ISBLANK(B497),"",COUNTA($B$2:B497))</f>
        <v/>
      </c>
      <c r="B497" s="44" t="n"/>
      <c r="C497" s="45" t="n"/>
      <c r="D497" s="45" t="n"/>
      <c r="E497" s="45" t="n"/>
      <c r="F497" s="43" t="n"/>
      <c r="G497" s="46" t="n"/>
      <c r="H497" s="47" t="n"/>
      <c r="I497" s="47" t="n"/>
      <c r="J497" s="47" t="n"/>
      <c r="K497" s="48" t="n"/>
      <c r="L497" s="47" t="n"/>
      <c r="M497" s="45" t="n"/>
      <c r="N497" s="49">
        <f>IFERROR(IF(ISBLANK(H497),"",ABS(H497-I497)/VLOOKUP(C497,設定!$B$9:$D$23,2,FALSE)),"")</f>
        <v/>
      </c>
      <c r="O497" s="48">
        <f>IFERROR(IF(ISBLANK(J497),"",ABS(J497-H497)/ABS(H497-I497)),"")</f>
        <v/>
      </c>
      <c r="P497" s="50">
        <f>IFERROR(IF(OR(ISBLANK(L497),ISBLANK(E497)),"",IF(E497="Long",(L497-H497),(H497-L497))/VLOOKUP(C497,設定!$B$9:$D$23,2,FALSE)),"")</f>
        <v/>
      </c>
      <c r="Q497" s="51">
        <f>IFERROR(IF(OR(ISBLANK(P497),N497=0),"",P497/N497),"")</f>
        <v/>
      </c>
      <c r="R497" s="51">
        <f>IFERROR(IF(ISBLANK(Q497),R496,IF(ISNUMBER(R496),R496,0)+Q497),"")</f>
        <v/>
      </c>
      <c r="S497" s="52">
        <f>IFERROR(IF(OR(ISBLANK(P497),ISBLANK(K497)),"",P497*K497*VLOOKUP(C497,設定!$B$9:$D$23,3,FALSE)),"")</f>
        <v/>
      </c>
      <c r="T497" s="45" t="n"/>
    </row>
    <row r="498">
      <c r="A498" s="33">
        <f>IF(ISBLANK(B498),"",COUNTA($B$2:B498))</f>
        <v/>
      </c>
      <c r="B498" s="34" t="n"/>
      <c r="C498" s="35" t="n"/>
      <c r="D498" s="35" t="n"/>
      <c r="E498" s="35" t="n"/>
      <c r="F498" s="33" t="n"/>
      <c r="G498" s="36" t="n"/>
      <c r="H498" s="37" t="n"/>
      <c r="I498" s="37" t="n"/>
      <c r="J498" s="37" t="n"/>
      <c r="K498" s="38" t="n"/>
      <c r="L498" s="37" t="n"/>
      <c r="M498" s="35" t="n"/>
      <c r="N498" s="39">
        <f>IFERROR(IF(ISBLANK(H498),"",ABS(H498-I498)/VLOOKUP(C498,設定!$B$9:$D$23,2,FALSE)),"")</f>
        <v/>
      </c>
      <c r="O498" s="38">
        <f>IFERROR(IF(ISBLANK(J498),"",ABS(J498-H498)/ABS(H498-I498)),"")</f>
        <v/>
      </c>
      <c r="P498" s="40">
        <f>IFERROR(IF(OR(ISBLANK(L498),ISBLANK(E498)),"",IF(E498="Long",(L498-H498),(H498-L498))/VLOOKUP(C498,設定!$B$9:$D$23,2,FALSE)),"")</f>
        <v/>
      </c>
      <c r="Q498" s="41">
        <f>IFERROR(IF(OR(ISBLANK(P498),N498=0),"",P498/N498),"")</f>
        <v/>
      </c>
      <c r="R498" s="41">
        <f>IFERROR(IF(ISBLANK(Q498),R497,IF(ISNUMBER(R497),R497,0)+Q498),"")</f>
        <v/>
      </c>
      <c r="S498" s="42">
        <f>IFERROR(IF(OR(ISBLANK(P498),ISBLANK(K498)),"",P498*K498*VLOOKUP(C498,設定!$B$9:$D$23,3,FALSE)),"")</f>
        <v/>
      </c>
      <c r="T498" s="35" t="n"/>
    </row>
    <row r="499">
      <c r="A499" s="43">
        <f>IF(ISBLANK(B499),"",COUNTA($B$2:B499))</f>
        <v/>
      </c>
      <c r="B499" s="44" t="n"/>
      <c r="C499" s="45" t="n"/>
      <c r="D499" s="45" t="n"/>
      <c r="E499" s="45" t="n"/>
      <c r="F499" s="43" t="n"/>
      <c r="G499" s="46" t="n"/>
      <c r="H499" s="47" t="n"/>
      <c r="I499" s="47" t="n"/>
      <c r="J499" s="47" t="n"/>
      <c r="K499" s="48" t="n"/>
      <c r="L499" s="47" t="n"/>
      <c r="M499" s="45" t="n"/>
      <c r="N499" s="49">
        <f>IFERROR(IF(ISBLANK(H499),"",ABS(H499-I499)/VLOOKUP(C499,設定!$B$9:$D$23,2,FALSE)),"")</f>
        <v/>
      </c>
      <c r="O499" s="48">
        <f>IFERROR(IF(ISBLANK(J499),"",ABS(J499-H499)/ABS(H499-I499)),"")</f>
        <v/>
      </c>
      <c r="P499" s="50">
        <f>IFERROR(IF(OR(ISBLANK(L499),ISBLANK(E499)),"",IF(E499="Long",(L499-H499),(H499-L499))/VLOOKUP(C499,設定!$B$9:$D$23,2,FALSE)),"")</f>
        <v/>
      </c>
      <c r="Q499" s="51">
        <f>IFERROR(IF(OR(ISBLANK(P499),N499=0),"",P499/N499),"")</f>
        <v/>
      </c>
      <c r="R499" s="51">
        <f>IFERROR(IF(ISBLANK(Q499),R498,IF(ISNUMBER(R498),R498,0)+Q499),"")</f>
        <v/>
      </c>
      <c r="S499" s="52">
        <f>IFERROR(IF(OR(ISBLANK(P499),ISBLANK(K499)),"",P499*K499*VLOOKUP(C499,設定!$B$9:$D$23,3,FALSE)),"")</f>
        <v/>
      </c>
      <c r="T499" s="45" t="n"/>
    </row>
    <row r="500">
      <c r="A500" s="33">
        <f>IF(ISBLANK(B500),"",COUNTA($B$2:B500))</f>
        <v/>
      </c>
      <c r="B500" s="34" t="n"/>
      <c r="C500" s="35" t="n"/>
      <c r="D500" s="35" t="n"/>
      <c r="E500" s="35" t="n"/>
      <c r="F500" s="33" t="n"/>
      <c r="G500" s="36" t="n"/>
      <c r="H500" s="37" t="n"/>
      <c r="I500" s="37" t="n"/>
      <c r="J500" s="37" t="n"/>
      <c r="K500" s="38" t="n"/>
      <c r="L500" s="37" t="n"/>
      <c r="M500" s="35" t="n"/>
      <c r="N500" s="39">
        <f>IFERROR(IF(ISBLANK(H500),"",ABS(H500-I500)/VLOOKUP(C500,設定!$B$9:$D$23,2,FALSE)),"")</f>
        <v/>
      </c>
      <c r="O500" s="38">
        <f>IFERROR(IF(ISBLANK(J500),"",ABS(J500-H500)/ABS(H500-I500)),"")</f>
        <v/>
      </c>
      <c r="P500" s="40">
        <f>IFERROR(IF(OR(ISBLANK(L500),ISBLANK(E500)),"",IF(E500="Long",(L500-H500),(H500-L500))/VLOOKUP(C500,設定!$B$9:$D$23,2,FALSE)),"")</f>
        <v/>
      </c>
      <c r="Q500" s="41">
        <f>IFERROR(IF(OR(ISBLANK(P500),N500=0),"",P500/N500),"")</f>
        <v/>
      </c>
      <c r="R500" s="41">
        <f>IFERROR(IF(ISBLANK(Q500),R499,IF(ISNUMBER(R499),R499,0)+Q500),"")</f>
        <v/>
      </c>
      <c r="S500" s="42">
        <f>IFERROR(IF(OR(ISBLANK(P500),ISBLANK(K500)),"",P500*K500*VLOOKUP(C500,設定!$B$9:$D$23,3,FALSE)),"")</f>
        <v/>
      </c>
      <c r="T500" s="35" t="n"/>
    </row>
    <row r="501">
      <c r="A501" s="43">
        <f>IF(ISBLANK(B501),"",COUNTA($B$2:B501))</f>
        <v/>
      </c>
      <c r="B501" s="44" t="n"/>
      <c r="C501" s="45" t="n"/>
      <c r="D501" s="45" t="n"/>
      <c r="E501" s="45" t="n"/>
      <c r="F501" s="43" t="n"/>
      <c r="G501" s="46" t="n"/>
      <c r="H501" s="47" t="n"/>
      <c r="I501" s="47" t="n"/>
      <c r="J501" s="47" t="n"/>
      <c r="K501" s="48" t="n"/>
      <c r="L501" s="47" t="n"/>
      <c r="M501" s="45" t="n"/>
      <c r="N501" s="49">
        <f>IFERROR(IF(ISBLANK(H501),"",ABS(H501-I501)/VLOOKUP(C501,設定!$B$9:$D$23,2,FALSE)),"")</f>
        <v/>
      </c>
      <c r="O501" s="48">
        <f>IFERROR(IF(ISBLANK(J501),"",ABS(J501-H501)/ABS(H501-I501)),"")</f>
        <v/>
      </c>
      <c r="P501" s="50">
        <f>IFERROR(IF(OR(ISBLANK(L501),ISBLANK(E501)),"",IF(E501="Long",(L501-H501),(H501-L501))/VLOOKUP(C501,設定!$B$9:$D$23,2,FALSE)),"")</f>
        <v/>
      </c>
      <c r="Q501" s="51">
        <f>IFERROR(IF(OR(ISBLANK(P501),N501=0),"",P501/N501),"")</f>
        <v/>
      </c>
      <c r="R501" s="51">
        <f>IFERROR(IF(ISBLANK(Q501),R500,IF(ISNUMBER(R500),R500,0)+Q501),"")</f>
        <v/>
      </c>
      <c r="S501" s="52">
        <f>IFERROR(IF(OR(ISBLANK(P501),ISBLANK(K501)),"",P501*K501*VLOOKUP(C501,設定!$B$9:$D$23,3,FALSE)),"")</f>
        <v/>
      </c>
      <c r="T501" s="45" t="n"/>
    </row>
  </sheetData>
  <conditionalFormatting sqref="Q2:Q50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S2:S501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M2:M501">
    <cfRule type="expression" priority="5" dxfId="0">
      <formula>$M2="TP"</formula>
    </cfRule>
    <cfRule type="expression" priority="6" dxfId="1">
      <formula>$M2="SL"</formula>
    </cfRule>
  </conditionalFormatting>
  <dataValidations count="4">
    <dataValidation sqref="C2:C501" showDropDown="0" showInputMessage="0" showErrorMessage="0" allowBlank="1" type="list">
      <formula1>"USD/JPY,EUR/USD,GBP/USD,AUD/USD,NZD/USD,USD/CAD,USD/CHF,EUR/JPY,GBP/JPY,AUD/JPY,NZD/JPY,CAD/JPY,CHF/JPY,ZAR/JPY,EUR/GBP"</formula1>
    </dataValidation>
    <dataValidation sqref="D2:D501" showDropDown="0" showInputMessage="0" showErrorMessage="0" allowBlank="1" type="list">
      <formula1>"TRIPLE,ORZ,PDHL,BOTH,CLAUDE"</formula1>
    </dataValidation>
    <dataValidation sqref="E2:E501" showDropDown="0" showInputMessage="0" showErrorMessage="0" allowBlank="1" type="list">
      <formula1>"Long,Short"</formula1>
    </dataValidation>
    <dataValidation sqref="M2:M501" showDropDown="0" showInputMessage="0" showErrorMessage="0" allowBlank="1" type="list">
      <formula1>"TP,SL,手動,強制,建値撤退"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0" customWidth="1" min="4" max="4"/>
  </cols>
  <sheetData>
    <row r="2" ht="30" customHeight="1">
      <c r="B2" s="53" t="inlineStr">
        <is>
          <t>⚙️  設定 / Configuration</t>
        </is>
      </c>
    </row>
    <row r="3">
      <c r="B3" s="11" t="inlineStr">
        <is>
          <t>開始残高 (¥)</t>
        </is>
      </c>
      <c r="C3" s="54" t="n">
        <v>1000000</v>
      </c>
    </row>
    <row r="4">
      <c r="B4" s="11" t="inlineStr">
        <is>
          <t>1 トレード リスク (%)</t>
        </is>
      </c>
      <c r="C4" s="55" t="n">
        <v>0.5</v>
      </c>
    </row>
    <row r="5">
      <c r="B5" s="11" t="inlineStr">
        <is>
          <t>USD/JPY 概算レート</t>
        </is>
      </c>
      <c r="C5" s="56" t="n">
        <v>155</v>
      </c>
    </row>
    <row r="7" ht="22" customHeight="1">
      <c r="B7" s="10" t="inlineStr">
        <is>
          <t>💱  通貨ペア別 pip 設定</t>
        </is>
      </c>
    </row>
    <row r="8">
      <c r="B8" s="14" t="inlineStr">
        <is>
          <t>通貨ペア</t>
        </is>
      </c>
      <c r="C8" s="14" t="inlineStr">
        <is>
          <t>pip サイズ</t>
        </is>
      </c>
      <c r="D8" s="14" t="inlineStr">
        <is>
          <t>1pip × 1 lot (¥)</t>
        </is>
      </c>
    </row>
    <row r="9">
      <c r="B9" s="23" t="inlineStr">
        <is>
          <t>USD/JPY</t>
        </is>
      </c>
      <c r="C9" s="57" t="n">
        <v>0.01</v>
      </c>
      <c r="D9" s="58" t="n">
        <v>1000</v>
      </c>
    </row>
    <row r="10">
      <c r="B10" s="26" t="inlineStr">
        <is>
          <t>EUR/USD</t>
        </is>
      </c>
      <c r="C10" s="59" t="n">
        <v>0.0001</v>
      </c>
      <c r="D10" s="60">
        <f>10*$C$5</f>
        <v/>
      </c>
    </row>
    <row r="11">
      <c r="B11" s="23" t="inlineStr">
        <is>
          <t>GBP/USD</t>
        </is>
      </c>
      <c r="C11" s="57" t="n">
        <v>0.0001</v>
      </c>
      <c r="D11" s="58">
        <f>10*$C$5</f>
        <v/>
      </c>
    </row>
    <row r="12">
      <c r="B12" s="26" t="inlineStr">
        <is>
          <t>AUD/USD</t>
        </is>
      </c>
      <c r="C12" s="59" t="n">
        <v>0.0001</v>
      </c>
      <c r="D12" s="60">
        <f>10*$C$5</f>
        <v/>
      </c>
    </row>
    <row r="13">
      <c r="B13" s="23" t="inlineStr">
        <is>
          <t>NZD/USD</t>
        </is>
      </c>
      <c r="C13" s="57" t="n">
        <v>0.0001</v>
      </c>
      <c r="D13" s="58">
        <f>10*$C$5</f>
        <v/>
      </c>
    </row>
    <row r="14">
      <c r="B14" s="26" t="inlineStr">
        <is>
          <t>USD/CAD</t>
        </is>
      </c>
      <c r="C14" s="59" t="n">
        <v>0.0001</v>
      </c>
      <c r="D14" s="60">
        <f>10*$C$5</f>
        <v/>
      </c>
    </row>
    <row r="15">
      <c r="B15" s="23" t="inlineStr">
        <is>
          <t>USD/CHF</t>
        </is>
      </c>
      <c r="C15" s="57" t="n">
        <v>0.0001</v>
      </c>
      <c r="D15" s="58">
        <f>10*$C$5</f>
        <v/>
      </c>
    </row>
    <row r="16">
      <c r="B16" s="26" t="inlineStr">
        <is>
          <t>EUR/JPY</t>
        </is>
      </c>
      <c r="C16" s="59" t="n">
        <v>0.01</v>
      </c>
      <c r="D16" s="60" t="n">
        <v>1000</v>
      </c>
    </row>
    <row r="17">
      <c r="B17" s="23" t="inlineStr">
        <is>
          <t>GBP/JPY</t>
        </is>
      </c>
      <c r="C17" s="57" t="n">
        <v>0.01</v>
      </c>
      <c r="D17" s="58" t="n">
        <v>1000</v>
      </c>
    </row>
    <row r="18">
      <c r="B18" s="26" t="inlineStr">
        <is>
          <t>AUD/JPY</t>
        </is>
      </c>
      <c r="C18" s="59" t="n">
        <v>0.01</v>
      </c>
      <c r="D18" s="60" t="n">
        <v>1000</v>
      </c>
    </row>
    <row r="19">
      <c r="B19" s="23" t="inlineStr">
        <is>
          <t>NZD/JPY</t>
        </is>
      </c>
      <c r="C19" s="57" t="n">
        <v>0.01</v>
      </c>
      <c r="D19" s="58" t="n">
        <v>1000</v>
      </c>
    </row>
    <row r="20">
      <c r="B20" s="26" t="inlineStr">
        <is>
          <t>CAD/JPY</t>
        </is>
      </c>
      <c r="C20" s="59" t="n">
        <v>0.01</v>
      </c>
      <c r="D20" s="60" t="n">
        <v>1000</v>
      </c>
    </row>
    <row r="21">
      <c r="B21" s="23" t="inlineStr">
        <is>
          <t>CHF/JPY</t>
        </is>
      </c>
      <c r="C21" s="57" t="n">
        <v>0.01</v>
      </c>
      <c r="D21" s="58" t="n">
        <v>1000</v>
      </c>
    </row>
    <row r="22">
      <c r="B22" s="26" t="inlineStr">
        <is>
          <t>ZAR/JPY</t>
        </is>
      </c>
      <c r="C22" s="59" t="n">
        <v>0.01</v>
      </c>
      <c r="D22" s="60" t="n">
        <v>1000</v>
      </c>
    </row>
    <row r="23">
      <c r="B23" s="23" t="inlineStr">
        <is>
          <t>EUR/GBP</t>
        </is>
      </c>
      <c r="C23" s="57" t="n">
        <v>0.0001</v>
      </c>
      <c r="D23" s="58">
        <f>10*$C$5</f>
        <v/>
      </c>
    </row>
    <row r="25">
      <c r="B25" s="61" t="inlineStr">
        <is>
          <t>📌 黄色いセル (C3〜C5) を自分の運用に合わせて変更してください。
・「開始残高」: 口座にいくらから始めるか
・「1 トレード リスク」: 1 つのトレードで失っても良い % (推奨 0.3〜1.0%)
・「USD/JPY 概算レート」: 非 JPY ペアの円換算用。月次で更新を推奨</t>
        </is>
      </c>
    </row>
    <row r="26"/>
    <row r="27"/>
    <row r="28"/>
  </sheetData>
  <mergeCells count="3">
    <mergeCell ref="B7:D7"/>
    <mergeCell ref="B25:D2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2026-05-14T11:20:12Z</dcterms:created>
  <dcterms:modified xsi:type="dcterms:W3CDTF">2026-05-14T11:20:12Z</dcterms:modified>
</cp:coreProperties>
</file>